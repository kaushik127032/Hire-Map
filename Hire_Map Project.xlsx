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Desktop\excel\"/>
    </mc:Choice>
  </mc:AlternateContent>
  <xr:revisionPtr revIDLastSave="0" documentId="13_ncr:1_{8B45FEC1-B1F1-47E8-B592-2472154B322A}" xr6:coauthVersionLast="47" xr6:coauthVersionMax="47" xr10:uidLastSave="{00000000-0000-0000-0000-000000000000}"/>
  <bookViews>
    <workbookView xWindow="-108" yWindow="-108" windowWidth="23256" windowHeight="12576" firstSheet="7" activeTab="8" xr2:uid="{C05CC5C8-B30D-429B-AB21-4D5CBAA25078}"/>
  </bookViews>
  <sheets>
    <sheet name="Sheet1" sheetId="9" r:id="rId1"/>
    <sheet name="Sheet2" sheetId="10" r:id="rId2"/>
    <sheet name="Sheet3" sheetId="11" r:id="rId3"/>
    <sheet name="Sheet4" sheetId="12" r:id="rId4"/>
    <sheet name="Sheet5" sheetId="13" r:id="rId5"/>
    <sheet name="Sheet6" sheetId="14" r:id="rId6"/>
    <sheet name="Sheet7" sheetId="15" r:id="rId7"/>
    <sheet name="recruitment_data" sheetId="1" r:id="rId8"/>
    <sheet name="HireMao_Dashboard" sheetId="8" r:id="rId9"/>
    <sheet name="Analysis" sheetId="2" r:id="rId10"/>
    <sheet name="primaryS.Pivot" sheetId="3" r:id="rId11"/>
  </sheets>
  <definedNames>
    <definedName name="_xlnm._FilterDatabase" localSheetId="7" hidden="1">recruitment_data!$A$1:$X$1501</definedName>
    <definedName name="_xlcn.WorksheetConnection_recruitment_dataAX" hidden="1">recruitment_data!$A:$X</definedName>
    <definedName name="Slicer_Education_Name">#N/A</definedName>
    <definedName name="Slicer_Experience_Level">#N/A</definedName>
    <definedName name="Slicer_Gender_Name">#N/A</definedName>
    <definedName name="Slicer_Hiring_Decision_Name">#N/A</definedName>
    <definedName name="Slicer_Readiness_Category">#N/A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ecruitment_data!$A:$X"/>
        </x15:modelTables>
      </x15:dataModel>
    </ext>
  </extLst>
</workbook>
</file>

<file path=xl/calcChain.xml><?xml version="1.0" encoding="utf-8"?>
<calcChain xmlns="http://schemas.openxmlformats.org/spreadsheetml/2006/main">
  <c r="M5" i="8" l="1"/>
  <c r="J5" i="8"/>
  <c r="D5" i="8"/>
  <c r="A5" i="8"/>
  <c r="B8" i="2"/>
  <c r="B7" i="2"/>
  <c r="B6" i="2"/>
  <c r="B2" i="2"/>
  <c r="W3" i="1"/>
  <c r="X3" i="1" s="1"/>
  <c r="W4" i="1"/>
  <c r="X4" i="1" s="1"/>
  <c r="W5" i="1"/>
  <c r="X5" i="1" s="1"/>
  <c r="W6" i="1"/>
  <c r="X6" i="1" s="1"/>
  <c r="W7" i="1"/>
  <c r="X7" i="1" s="1"/>
  <c r="W8" i="1"/>
  <c r="X8" i="1" s="1"/>
  <c r="W9" i="1"/>
  <c r="X9" i="1" s="1"/>
  <c r="W10" i="1"/>
  <c r="X10" i="1" s="1"/>
  <c r="W11" i="1"/>
  <c r="X11" i="1" s="1"/>
  <c r="W12" i="1"/>
  <c r="X12" i="1" s="1"/>
  <c r="W13" i="1"/>
  <c r="X13" i="1" s="1"/>
  <c r="W14" i="1"/>
  <c r="X14" i="1" s="1"/>
  <c r="W15" i="1"/>
  <c r="X15" i="1" s="1"/>
  <c r="W16" i="1"/>
  <c r="X16" i="1" s="1"/>
  <c r="W17" i="1"/>
  <c r="X17" i="1" s="1"/>
  <c r="W18" i="1"/>
  <c r="X18" i="1" s="1"/>
  <c r="W19" i="1"/>
  <c r="X19" i="1" s="1"/>
  <c r="W20" i="1"/>
  <c r="X20" i="1" s="1"/>
  <c r="W21" i="1"/>
  <c r="X21" i="1" s="1"/>
  <c r="W22" i="1"/>
  <c r="X22" i="1" s="1"/>
  <c r="W23" i="1"/>
  <c r="X23" i="1" s="1"/>
  <c r="W24" i="1"/>
  <c r="X24" i="1" s="1"/>
  <c r="W25" i="1"/>
  <c r="X25" i="1" s="1"/>
  <c r="W26" i="1"/>
  <c r="X26" i="1" s="1"/>
  <c r="W27" i="1"/>
  <c r="X27" i="1" s="1"/>
  <c r="W28" i="1"/>
  <c r="X28" i="1" s="1"/>
  <c r="W29" i="1"/>
  <c r="X29" i="1" s="1"/>
  <c r="W30" i="1"/>
  <c r="X30" i="1" s="1"/>
  <c r="W31" i="1"/>
  <c r="X31" i="1" s="1"/>
  <c r="W32" i="1"/>
  <c r="X32" i="1" s="1"/>
  <c r="W33" i="1"/>
  <c r="X33" i="1" s="1"/>
  <c r="W34" i="1"/>
  <c r="X34" i="1" s="1"/>
  <c r="W35" i="1"/>
  <c r="X35" i="1" s="1"/>
  <c r="W36" i="1"/>
  <c r="X36" i="1" s="1"/>
  <c r="W37" i="1"/>
  <c r="X37" i="1" s="1"/>
  <c r="W38" i="1"/>
  <c r="X38" i="1" s="1"/>
  <c r="W39" i="1"/>
  <c r="X39" i="1" s="1"/>
  <c r="W40" i="1"/>
  <c r="X40" i="1" s="1"/>
  <c r="W41" i="1"/>
  <c r="X41" i="1" s="1"/>
  <c r="W42" i="1"/>
  <c r="X42" i="1" s="1"/>
  <c r="W43" i="1"/>
  <c r="X43" i="1" s="1"/>
  <c r="W44" i="1"/>
  <c r="X44" i="1" s="1"/>
  <c r="W45" i="1"/>
  <c r="X45" i="1" s="1"/>
  <c r="W46" i="1"/>
  <c r="X46" i="1" s="1"/>
  <c r="W47" i="1"/>
  <c r="X47" i="1" s="1"/>
  <c r="W48" i="1"/>
  <c r="X48" i="1" s="1"/>
  <c r="W49" i="1"/>
  <c r="X49" i="1" s="1"/>
  <c r="W50" i="1"/>
  <c r="X50" i="1" s="1"/>
  <c r="W51" i="1"/>
  <c r="X51" i="1" s="1"/>
  <c r="W52" i="1"/>
  <c r="X52" i="1" s="1"/>
  <c r="W53" i="1"/>
  <c r="X53" i="1" s="1"/>
  <c r="W54" i="1"/>
  <c r="X54" i="1" s="1"/>
  <c r="W55" i="1"/>
  <c r="X55" i="1" s="1"/>
  <c r="W56" i="1"/>
  <c r="X56" i="1" s="1"/>
  <c r="W57" i="1"/>
  <c r="X57" i="1" s="1"/>
  <c r="W58" i="1"/>
  <c r="X58" i="1" s="1"/>
  <c r="W59" i="1"/>
  <c r="X59" i="1" s="1"/>
  <c r="W60" i="1"/>
  <c r="X60" i="1" s="1"/>
  <c r="W61" i="1"/>
  <c r="X61" i="1" s="1"/>
  <c r="W62" i="1"/>
  <c r="X62" i="1" s="1"/>
  <c r="W63" i="1"/>
  <c r="X63" i="1" s="1"/>
  <c r="W64" i="1"/>
  <c r="X64" i="1" s="1"/>
  <c r="W65" i="1"/>
  <c r="X65" i="1" s="1"/>
  <c r="W66" i="1"/>
  <c r="X66" i="1" s="1"/>
  <c r="W67" i="1"/>
  <c r="X67" i="1" s="1"/>
  <c r="W68" i="1"/>
  <c r="X68" i="1" s="1"/>
  <c r="W69" i="1"/>
  <c r="X69" i="1" s="1"/>
  <c r="W70" i="1"/>
  <c r="X70" i="1" s="1"/>
  <c r="W71" i="1"/>
  <c r="X71" i="1" s="1"/>
  <c r="W72" i="1"/>
  <c r="X72" i="1" s="1"/>
  <c r="W73" i="1"/>
  <c r="X73" i="1" s="1"/>
  <c r="W74" i="1"/>
  <c r="X74" i="1" s="1"/>
  <c r="W75" i="1"/>
  <c r="X75" i="1" s="1"/>
  <c r="W76" i="1"/>
  <c r="X76" i="1" s="1"/>
  <c r="W77" i="1"/>
  <c r="X77" i="1" s="1"/>
  <c r="W78" i="1"/>
  <c r="X78" i="1" s="1"/>
  <c r="W79" i="1"/>
  <c r="X79" i="1" s="1"/>
  <c r="W80" i="1"/>
  <c r="X80" i="1" s="1"/>
  <c r="W81" i="1"/>
  <c r="X81" i="1" s="1"/>
  <c r="W82" i="1"/>
  <c r="X82" i="1" s="1"/>
  <c r="W83" i="1"/>
  <c r="X83" i="1" s="1"/>
  <c r="W84" i="1"/>
  <c r="X84" i="1" s="1"/>
  <c r="W85" i="1"/>
  <c r="X85" i="1" s="1"/>
  <c r="W86" i="1"/>
  <c r="X86" i="1" s="1"/>
  <c r="W87" i="1"/>
  <c r="X87" i="1" s="1"/>
  <c r="W88" i="1"/>
  <c r="X88" i="1" s="1"/>
  <c r="W89" i="1"/>
  <c r="X89" i="1" s="1"/>
  <c r="W90" i="1"/>
  <c r="X90" i="1" s="1"/>
  <c r="W91" i="1"/>
  <c r="X91" i="1" s="1"/>
  <c r="W92" i="1"/>
  <c r="X92" i="1" s="1"/>
  <c r="W93" i="1"/>
  <c r="X93" i="1" s="1"/>
  <c r="W94" i="1"/>
  <c r="X94" i="1" s="1"/>
  <c r="W95" i="1"/>
  <c r="X95" i="1" s="1"/>
  <c r="W96" i="1"/>
  <c r="X96" i="1" s="1"/>
  <c r="W97" i="1"/>
  <c r="X97" i="1" s="1"/>
  <c r="W98" i="1"/>
  <c r="X98" i="1" s="1"/>
  <c r="W99" i="1"/>
  <c r="X99" i="1" s="1"/>
  <c r="W100" i="1"/>
  <c r="X100" i="1" s="1"/>
  <c r="W101" i="1"/>
  <c r="X101" i="1" s="1"/>
  <c r="W102" i="1"/>
  <c r="X102" i="1" s="1"/>
  <c r="W103" i="1"/>
  <c r="X103" i="1" s="1"/>
  <c r="W104" i="1"/>
  <c r="X104" i="1" s="1"/>
  <c r="W105" i="1"/>
  <c r="X105" i="1" s="1"/>
  <c r="W106" i="1"/>
  <c r="X106" i="1" s="1"/>
  <c r="W107" i="1"/>
  <c r="X107" i="1" s="1"/>
  <c r="W108" i="1"/>
  <c r="X108" i="1" s="1"/>
  <c r="W109" i="1"/>
  <c r="X109" i="1" s="1"/>
  <c r="W110" i="1"/>
  <c r="X110" i="1" s="1"/>
  <c r="W111" i="1"/>
  <c r="X111" i="1" s="1"/>
  <c r="W112" i="1"/>
  <c r="X112" i="1" s="1"/>
  <c r="W113" i="1"/>
  <c r="X113" i="1" s="1"/>
  <c r="W114" i="1"/>
  <c r="X114" i="1" s="1"/>
  <c r="W115" i="1"/>
  <c r="X115" i="1" s="1"/>
  <c r="W116" i="1"/>
  <c r="X116" i="1" s="1"/>
  <c r="W117" i="1"/>
  <c r="X117" i="1" s="1"/>
  <c r="W118" i="1"/>
  <c r="X118" i="1" s="1"/>
  <c r="W119" i="1"/>
  <c r="X119" i="1" s="1"/>
  <c r="W120" i="1"/>
  <c r="X120" i="1" s="1"/>
  <c r="W121" i="1"/>
  <c r="X121" i="1" s="1"/>
  <c r="W122" i="1"/>
  <c r="X122" i="1" s="1"/>
  <c r="W123" i="1"/>
  <c r="X123" i="1" s="1"/>
  <c r="W124" i="1"/>
  <c r="X124" i="1" s="1"/>
  <c r="W125" i="1"/>
  <c r="X125" i="1" s="1"/>
  <c r="W126" i="1"/>
  <c r="X126" i="1" s="1"/>
  <c r="W127" i="1"/>
  <c r="X127" i="1" s="1"/>
  <c r="W128" i="1"/>
  <c r="X128" i="1" s="1"/>
  <c r="W129" i="1"/>
  <c r="X129" i="1" s="1"/>
  <c r="W130" i="1"/>
  <c r="X130" i="1" s="1"/>
  <c r="W131" i="1"/>
  <c r="X131" i="1" s="1"/>
  <c r="W132" i="1"/>
  <c r="X132" i="1" s="1"/>
  <c r="W133" i="1"/>
  <c r="X133" i="1" s="1"/>
  <c r="W134" i="1"/>
  <c r="X134" i="1" s="1"/>
  <c r="W135" i="1"/>
  <c r="X135" i="1" s="1"/>
  <c r="W136" i="1"/>
  <c r="X136" i="1" s="1"/>
  <c r="W137" i="1"/>
  <c r="X137" i="1" s="1"/>
  <c r="W138" i="1"/>
  <c r="X138" i="1" s="1"/>
  <c r="W139" i="1"/>
  <c r="X139" i="1" s="1"/>
  <c r="W140" i="1"/>
  <c r="X140" i="1" s="1"/>
  <c r="W141" i="1"/>
  <c r="X141" i="1" s="1"/>
  <c r="W142" i="1"/>
  <c r="X142" i="1" s="1"/>
  <c r="W143" i="1"/>
  <c r="X143" i="1" s="1"/>
  <c r="W144" i="1"/>
  <c r="X144" i="1" s="1"/>
  <c r="W145" i="1"/>
  <c r="X145" i="1" s="1"/>
  <c r="W146" i="1"/>
  <c r="X146" i="1" s="1"/>
  <c r="W147" i="1"/>
  <c r="X147" i="1" s="1"/>
  <c r="W148" i="1"/>
  <c r="X148" i="1" s="1"/>
  <c r="W149" i="1"/>
  <c r="X149" i="1" s="1"/>
  <c r="W150" i="1"/>
  <c r="X150" i="1" s="1"/>
  <c r="W151" i="1"/>
  <c r="X151" i="1" s="1"/>
  <c r="W152" i="1"/>
  <c r="X152" i="1" s="1"/>
  <c r="W153" i="1"/>
  <c r="X153" i="1" s="1"/>
  <c r="W154" i="1"/>
  <c r="X154" i="1" s="1"/>
  <c r="W155" i="1"/>
  <c r="X155" i="1" s="1"/>
  <c r="W156" i="1"/>
  <c r="X156" i="1" s="1"/>
  <c r="W157" i="1"/>
  <c r="X157" i="1" s="1"/>
  <c r="W158" i="1"/>
  <c r="X158" i="1" s="1"/>
  <c r="W159" i="1"/>
  <c r="X159" i="1" s="1"/>
  <c r="W160" i="1"/>
  <c r="X160" i="1" s="1"/>
  <c r="W161" i="1"/>
  <c r="X161" i="1" s="1"/>
  <c r="W162" i="1"/>
  <c r="X162" i="1" s="1"/>
  <c r="W163" i="1"/>
  <c r="X163" i="1" s="1"/>
  <c r="W164" i="1"/>
  <c r="X164" i="1" s="1"/>
  <c r="W165" i="1"/>
  <c r="X165" i="1" s="1"/>
  <c r="W166" i="1"/>
  <c r="X166" i="1" s="1"/>
  <c r="W167" i="1"/>
  <c r="X167" i="1" s="1"/>
  <c r="W168" i="1"/>
  <c r="X168" i="1" s="1"/>
  <c r="W169" i="1"/>
  <c r="X169" i="1" s="1"/>
  <c r="W170" i="1"/>
  <c r="X170" i="1" s="1"/>
  <c r="W171" i="1"/>
  <c r="X171" i="1" s="1"/>
  <c r="W172" i="1"/>
  <c r="X172" i="1" s="1"/>
  <c r="W173" i="1"/>
  <c r="X173" i="1" s="1"/>
  <c r="W174" i="1"/>
  <c r="X174" i="1" s="1"/>
  <c r="W175" i="1"/>
  <c r="X175" i="1" s="1"/>
  <c r="W176" i="1"/>
  <c r="X176" i="1" s="1"/>
  <c r="W177" i="1"/>
  <c r="X177" i="1" s="1"/>
  <c r="W178" i="1"/>
  <c r="X178" i="1" s="1"/>
  <c r="W179" i="1"/>
  <c r="X179" i="1" s="1"/>
  <c r="W180" i="1"/>
  <c r="X180" i="1" s="1"/>
  <c r="W181" i="1"/>
  <c r="X181" i="1" s="1"/>
  <c r="W182" i="1"/>
  <c r="X182" i="1" s="1"/>
  <c r="W183" i="1"/>
  <c r="X183" i="1" s="1"/>
  <c r="W184" i="1"/>
  <c r="X184" i="1" s="1"/>
  <c r="W185" i="1"/>
  <c r="X185" i="1" s="1"/>
  <c r="W186" i="1"/>
  <c r="X186" i="1" s="1"/>
  <c r="W187" i="1"/>
  <c r="X187" i="1" s="1"/>
  <c r="W188" i="1"/>
  <c r="X188" i="1" s="1"/>
  <c r="W189" i="1"/>
  <c r="X189" i="1" s="1"/>
  <c r="W190" i="1"/>
  <c r="X190" i="1" s="1"/>
  <c r="W191" i="1"/>
  <c r="X191" i="1" s="1"/>
  <c r="W192" i="1"/>
  <c r="X192" i="1" s="1"/>
  <c r="W193" i="1"/>
  <c r="X193" i="1" s="1"/>
  <c r="W194" i="1"/>
  <c r="X194" i="1" s="1"/>
  <c r="W195" i="1"/>
  <c r="X195" i="1" s="1"/>
  <c r="W196" i="1"/>
  <c r="X196" i="1" s="1"/>
  <c r="W197" i="1"/>
  <c r="X197" i="1" s="1"/>
  <c r="W198" i="1"/>
  <c r="X198" i="1" s="1"/>
  <c r="W199" i="1"/>
  <c r="X199" i="1" s="1"/>
  <c r="W200" i="1"/>
  <c r="X200" i="1" s="1"/>
  <c r="W201" i="1"/>
  <c r="X201" i="1" s="1"/>
  <c r="W202" i="1"/>
  <c r="X202" i="1" s="1"/>
  <c r="W203" i="1"/>
  <c r="X203" i="1" s="1"/>
  <c r="W204" i="1"/>
  <c r="X204" i="1" s="1"/>
  <c r="W205" i="1"/>
  <c r="X205" i="1" s="1"/>
  <c r="W206" i="1"/>
  <c r="X206" i="1" s="1"/>
  <c r="W207" i="1"/>
  <c r="X207" i="1" s="1"/>
  <c r="W208" i="1"/>
  <c r="X208" i="1" s="1"/>
  <c r="W209" i="1"/>
  <c r="X209" i="1" s="1"/>
  <c r="W210" i="1"/>
  <c r="X210" i="1" s="1"/>
  <c r="W211" i="1"/>
  <c r="X211" i="1" s="1"/>
  <c r="W212" i="1"/>
  <c r="X212" i="1" s="1"/>
  <c r="W213" i="1"/>
  <c r="X213" i="1" s="1"/>
  <c r="W214" i="1"/>
  <c r="X214" i="1" s="1"/>
  <c r="W215" i="1"/>
  <c r="X215" i="1" s="1"/>
  <c r="W216" i="1"/>
  <c r="X216" i="1" s="1"/>
  <c r="W217" i="1"/>
  <c r="X217" i="1" s="1"/>
  <c r="W218" i="1"/>
  <c r="X218" i="1" s="1"/>
  <c r="W219" i="1"/>
  <c r="X219" i="1" s="1"/>
  <c r="W220" i="1"/>
  <c r="X220" i="1" s="1"/>
  <c r="W221" i="1"/>
  <c r="X221" i="1" s="1"/>
  <c r="W222" i="1"/>
  <c r="X222" i="1" s="1"/>
  <c r="W223" i="1"/>
  <c r="X223" i="1" s="1"/>
  <c r="W224" i="1"/>
  <c r="X224" i="1" s="1"/>
  <c r="W225" i="1"/>
  <c r="X225" i="1" s="1"/>
  <c r="W226" i="1"/>
  <c r="X226" i="1" s="1"/>
  <c r="W227" i="1"/>
  <c r="X227" i="1" s="1"/>
  <c r="W228" i="1"/>
  <c r="X228" i="1" s="1"/>
  <c r="W229" i="1"/>
  <c r="X229" i="1" s="1"/>
  <c r="W230" i="1"/>
  <c r="X230" i="1" s="1"/>
  <c r="W231" i="1"/>
  <c r="X231" i="1" s="1"/>
  <c r="W232" i="1"/>
  <c r="X232" i="1" s="1"/>
  <c r="W233" i="1"/>
  <c r="X233" i="1" s="1"/>
  <c r="W234" i="1"/>
  <c r="X234" i="1" s="1"/>
  <c r="W235" i="1"/>
  <c r="X235" i="1" s="1"/>
  <c r="W236" i="1"/>
  <c r="X236" i="1" s="1"/>
  <c r="W237" i="1"/>
  <c r="X237" i="1" s="1"/>
  <c r="W238" i="1"/>
  <c r="X238" i="1" s="1"/>
  <c r="W239" i="1"/>
  <c r="X239" i="1" s="1"/>
  <c r="W240" i="1"/>
  <c r="X240" i="1" s="1"/>
  <c r="W241" i="1"/>
  <c r="X241" i="1" s="1"/>
  <c r="W242" i="1"/>
  <c r="X242" i="1" s="1"/>
  <c r="W243" i="1"/>
  <c r="X243" i="1" s="1"/>
  <c r="W244" i="1"/>
  <c r="X244" i="1" s="1"/>
  <c r="W245" i="1"/>
  <c r="X245" i="1" s="1"/>
  <c r="W246" i="1"/>
  <c r="X246" i="1" s="1"/>
  <c r="W247" i="1"/>
  <c r="X247" i="1" s="1"/>
  <c r="W248" i="1"/>
  <c r="X248" i="1" s="1"/>
  <c r="W249" i="1"/>
  <c r="X249" i="1" s="1"/>
  <c r="W250" i="1"/>
  <c r="X250" i="1" s="1"/>
  <c r="W251" i="1"/>
  <c r="X251" i="1" s="1"/>
  <c r="W252" i="1"/>
  <c r="X252" i="1" s="1"/>
  <c r="W253" i="1"/>
  <c r="X253" i="1" s="1"/>
  <c r="W254" i="1"/>
  <c r="X254" i="1" s="1"/>
  <c r="W255" i="1"/>
  <c r="X255" i="1" s="1"/>
  <c r="W256" i="1"/>
  <c r="X256" i="1" s="1"/>
  <c r="W257" i="1"/>
  <c r="X257" i="1" s="1"/>
  <c r="W258" i="1"/>
  <c r="X258" i="1" s="1"/>
  <c r="W259" i="1"/>
  <c r="X259" i="1" s="1"/>
  <c r="W260" i="1"/>
  <c r="X260" i="1" s="1"/>
  <c r="W261" i="1"/>
  <c r="X261" i="1" s="1"/>
  <c r="W262" i="1"/>
  <c r="X262" i="1" s="1"/>
  <c r="W263" i="1"/>
  <c r="X263" i="1" s="1"/>
  <c r="W264" i="1"/>
  <c r="X264" i="1" s="1"/>
  <c r="W265" i="1"/>
  <c r="X265" i="1" s="1"/>
  <c r="W266" i="1"/>
  <c r="X266" i="1" s="1"/>
  <c r="W267" i="1"/>
  <c r="X267" i="1" s="1"/>
  <c r="W268" i="1"/>
  <c r="X268" i="1" s="1"/>
  <c r="W269" i="1"/>
  <c r="X269" i="1" s="1"/>
  <c r="W270" i="1"/>
  <c r="X270" i="1" s="1"/>
  <c r="W271" i="1"/>
  <c r="X271" i="1" s="1"/>
  <c r="W272" i="1"/>
  <c r="X272" i="1" s="1"/>
  <c r="W273" i="1"/>
  <c r="X273" i="1" s="1"/>
  <c r="W274" i="1"/>
  <c r="X274" i="1" s="1"/>
  <c r="W275" i="1"/>
  <c r="X275" i="1" s="1"/>
  <c r="W276" i="1"/>
  <c r="X276" i="1" s="1"/>
  <c r="W277" i="1"/>
  <c r="X277" i="1" s="1"/>
  <c r="W278" i="1"/>
  <c r="X278" i="1" s="1"/>
  <c r="W279" i="1"/>
  <c r="X279" i="1" s="1"/>
  <c r="W280" i="1"/>
  <c r="X280" i="1" s="1"/>
  <c r="W281" i="1"/>
  <c r="X281" i="1" s="1"/>
  <c r="W282" i="1"/>
  <c r="X282" i="1" s="1"/>
  <c r="W283" i="1"/>
  <c r="X283" i="1" s="1"/>
  <c r="W284" i="1"/>
  <c r="X284" i="1" s="1"/>
  <c r="W285" i="1"/>
  <c r="X285" i="1" s="1"/>
  <c r="W286" i="1"/>
  <c r="X286" i="1" s="1"/>
  <c r="W287" i="1"/>
  <c r="X287" i="1" s="1"/>
  <c r="W288" i="1"/>
  <c r="X288" i="1" s="1"/>
  <c r="W289" i="1"/>
  <c r="X289" i="1" s="1"/>
  <c r="W290" i="1"/>
  <c r="X290" i="1" s="1"/>
  <c r="W291" i="1"/>
  <c r="X291" i="1" s="1"/>
  <c r="W292" i="1"/>
  <c r="X292" i="1" s="1"/>
  <c r="W293" i="1"/>
  <c r="X293" i="1" s="1"/>
  <c r="W294" i="1"/>
  <c r="X294" i="1" s="1"/>
  <c r="W295" i="1"/>
  <c r="X295" i="1" s="1"/>
  <c r="W296" i="1"/>
  <c r="X296" i="1" s="1"/>
  <c r="W297" i="1"/>
  <c r="X297" i="1" s="1"/>
  <c r="W298" i="1"/>
  <c r="X298" i="1" s="1"/>
  <c r="W299" i="1"/>
  <c r="X299" i="1" s="1"/>
  <c r="W300" i="1"/>
  <c r="X300" i="1" s="1"/>
  <c r="W301" i="1"/>
  <c r="X301" i="1" s="1"/>
  <c r="W302" i="1"/>
  <c r="X302" i="1" s="1"/>
  <c r="W303" i="1"/>
  <c r="X303" i="1" s="1"/>
  <c r="W304" i="1"/>
  <c r="X304" i="1" s="1"/>
  <c r="W305" i="1"/>
  <c r="X305" i="1" s="1"/>
  <c r="W306" i="1"/>
  <c r="X306" i="1" s="1"/>
  <c r="W307" i="1"/>
  <c r="X307" i="1" s="1"/>
  <c r="W308" i="1"/>
  <c r="X308" i="1" s="1"/>
  <c r="W309" i="1"/>
  <c r="X309" i="1" s="1"/>
  <c r="W310" i="1"/>
  <c r="X310" i="1" s="1"/>
  <c r="W311" i="1"/>
  <c r="X311" i="1" s="1"/>
  <c r="W312" i="1"/>
  <c r="X312" i="1" s="1"/>
  <c r="W313" i="1"/>
  <c r="X313" i="1" s="1"/>
  <c r="W314" i="1"/>
  <c r="X314" i="1" s="1"/>
  <c r="W315" i="1"/>
  <c r="X315" i="1" s="1"/>
  <c r="W316" i="1"/>
  <c r="X316" i="1" s="1"/>
  <c r="W317" i="1"/>
  <c r="X317" i="1" s="1"/>
  <c r="W318" i="1"/>
  <c r="X318" i="1" s="1"/>
  <c r="W319" i="1"/>
  <c r="X319" i="1" s="1"/>
  <c r="W320" i="1"/>
  <c r="X320" i="1" s="1"/>
  <c r="W321" i="1"/>
  <c r="X321" i="1" s="1"/>
  <c r="W322" i="1"/>
  <c r="X322" i="1" s="1"/>
  <c r="W323" i="1"/>
  <c r="X323" i="1" s="1"/>
  <c r="W324" i="1"/>
  <c r="X324" i="1" s="1"/>
  <c r="W325" i="1"/>
  <c r="X325" i="1" s="1"/>
  <c r="W326" i="1"/>
  <c r="X326" i="1" s="1"/>
  <c r="W327" i="1"/>
  <c r="X327" i="1" s="1"/>
  <c r="W328" i="1"/>
  <c r="X328" i="1" s="1"/>
  <c r="W329" i="1"/>
  <c r="X329" i="1" s="1"/>
  <c r="W330" i="1"/>
  <c r="X330" i="1" s="1"/>
  <c r="W331" i="1"/>
  <c r="X331" i="1" s="1"/>
  <c r="W332" i="1"/>
  <c r="X332" i="1" s="1"/>
  <c r="W333" i="1"/>
  <c r="X333" i="1" s="1"/>
  <c r="W334" i="1"/>
  <c r="X334" i="1" s="1"/>
  <c r="W335" i="1"/>
  <c r="X335" i="1" s="1"/>
  <c r="W336" i="1"/>
  <c r="X336" i="1" s="1"/>
  <c r="W337" i="1"/>
  <c r="X337" i="1" s="1"/>
  <c r="W338" i="1"/>
  <c r="X338" i="1" s="1"/>
  <c r="W339" i="1"/>
  <c r="X339" i="1" s="1"/>
  <c r="W340" i="1"/>
  <c r="X340" i="1" s="1"/>
  <c r="W341" i="1"/>
  <c r="X341" i="1" s="1"/>
  <c r="W342" i="1"/>
  <c r="X342" i="1" s="1"/>
  <c r="W343" i="1"/>
  <c r="X343" i="1" s="1"/>
  <c r="W344" i="1"/>
  <c r="X344" i="1" s="1"/>
  <c r="W345" i="1"/>
  <c r="X345" i="1" s="1"/>
  <c r="W346" i="1"/>
  <c r="X346" i="1" s="1"/>
  <c r="W347" i="1"/>
  <c r="X347" i="1" s="1"/>
  <c r="W348" i="1"/>
  <c r="X348" i="1" s="1"/>
  <c r="W349" i="1"/>
  <c r="X349" i="1" s="1"/>
  <c r="W350" i="1"/>
  <c r="X350" i="1" s="1"/>
  <c r="W351" i="1"/>
  <c r="X351" i="1" s="1"/>
  <c r="W352" i="1"/>
  <c r="X352" i="1" s="1"/>
  <c r="W353" i="1"/>
  <c r="X353" i="1" s="1"/>
  <c r="W354" i="1"/>
  <c r="X354" i="1" s="1"/>
  <c r="W355" i="1"/>
  <c r="X355" i="1" s="1"/>
  <c r="W356" i="1"/>
  <c r="X356" i="1" s="1"/>
  <c r="W357" i="1"/>
  <c r="X357" i="1" s="1"/>
  <c r="W358" i="1"/>
  <c r="X358" i="1" s="1"/>
  <c r="W359" i="1"/>
  <c r="X359" i="1" s="1"/>
  <c r="W360" i="1"/>
  <c r="X360" i="1" s="1"/>
  <c r="W361" i="1"/>
  <c r="X361" i="1" s="1"/>
  <c r="W362" i="1"/>
  <c r="X362" i="1" s="1"/>
  <c r="W363" i="1"/>
  <c r="X363" i="1" s="1"/>
  <c r="W364" i="1"/>
  <c r="X364" i="1" s="1"/>
  <c r="W365" i="1"/>
  <c r="X365" i="1" s="1"/>
  <c r="W366" i="1"/>
  <c r="X366" i="1" s="1"/>
  <c r="W367" i="1"/>
  <c r="X367" i="1" s="1"/>
  <c r="W368" i="1"/>
  <c r="X368" i="1" s="1"/>
  <c r="W369" i="1"/>
  <c r="X369" i="1" s="1"/>
  <c r="W370" i="1"/>
  <c r="X370" i="1" s="1"/>
  <c r="W371" i="1"/>
  <c r="X371" i="1" s="1"/>
  <c r="W372" i="1"/>
  <c r="X372" i="1" s="1"/>
  <c r="W373" i="1"/>
  <c r="X373" i="1" s="1"/>
  <c r="W374" i="1"/>
  <c r="X374" i="1" s="1"/>
  <c r="W375" i="1"/>
  <c r="X375" i="1" s="1"/>
  <c r="W376" i="1"/>
  <c r="X376" i="1" s="1"/>
  <c r="W377" i="1"/>
  <c r="X377" i="1" s="1"/>
  <c r="W378" i="1"/>
  <c r="X378" i="1" s="1"/>
  <c r="W379" i="1"/>
  <c r="X379" i="1" s="1"/>
  <c r="W380" i="1"/>
  <c r="X380" i="1" s="1"/>
  <c r="W381" i="1"/>
  <c r="X381" i="1" s="1"/>
  <c r="W382" i="1"/>
  <c r="X382" i="1" s="1"/>
  <c r="W383" i="1"/>
  <c r="X383" i="1" s="1"/>
  <c r="W384" i="1"/>
  <c r="X384" i="1" s="1"/>
  <c r="W385" i="1"/>
  <c r="X385" i="1" s="1"/>
  <c r="W386" i="1"/>
  <c r="X386" i="1" s="1"/>
  <c r="W387" i="1"/>
  <c r="X387" i="1" s="1"/>
  <c r="W388" i="1"/>
  <c r="X388" i="1" s="1"/>
  <c r="W389" i="1"/>
  <c r="X389" i="1" s="1"/>
  <c r="W390" i="1"/>
  <c r="X390" i="1" s="1"/>
  <c r="W391" i="1"/>
  <c r="X391" i="1" s="1"/>
  <c r="W392" i="1"/>
  <c r="X392" i="1" s="1"/>
  <c r="W393" i="1"/>
  <c r="X393" i="1" s="1"/>
  <c r="W394" i="1"/>
  <c r="X394" i="1" s="1"/>
  <c r="W395" i="1"/>
  <c r="X395" i="1" s="1"/>
  <c r="W396" i="1"/>
  <c r="X396" i="1" s="1"/>
  <c r="W397" i="1"/>
  <c r="X397" i="1" s="1"/>
  <c r="W398" i="1"/>
  <c r="X398" i="1" s="1"/>
  <c r="W399" i="1"/>
  <c r="X399" i="1" s="1"/>
  <c r="W400" i="1"/>
  <c r="X400" i="1" s="1"/>
  <c r="W401" i="1"/>
  <c r="X401" i="1" s="1"/>
  <c r="W402" i="1"/>
  <c r="X402" i="1" s="1"/>
  <c r="W403" i="1"/>
  <c r="X403" i="1" s="1"/>
  <c r="W404" i="1"/>
  <c r="X404" i="1" s="1"/>
  <c r="W405" i="1"/>
  <c r="X405" i="1" s="1"/>
  <c r="W406" i="1"/>
  <c r="X406" i="1" s="1"/>
  <c r="W407" i="1"/>
  <c r="X407" i="1" s="1"/>
  <c r="W408" i="1"/>
  <c r="X408" i="1" s="1"/>
  <c r="W409" i="1"/>
  <c r="X409" i="1" s="1"/>
  <c r="W410" i="1"/>
  <c r="X410" i="1" s="1"/>
  <c r="W411" i="1"/>
  <c r="X411" i="1" s="1"/>
  <c r="W412" i="1"/>
  <c r="X412" i="1" s="1"/>
  <c r="W413" i="1"/>
  <c r="X413" i="1" s="1"/>
  <c r="W414" i="1"/>
  <c r="X414" i="1" s="1"/>
  <c r="W415" i="1"/>
  <c r="X415" i="1" s="1"/>
  <c r="W416" i="1"/>
  <c r="X416" i="1" s="1"/>
  <c r="W417" i="1"/>
  <c r="X417" i="1" s="1"/>
  <c r="W418" i="1"/>
  <c r="X418" i="1" s="1"/>
  <c r="W419" i="1"/>
  <c r="X419" i="1" s="1"/>
  <c r="W420" i="1"/>
  <c r="X420" i="1" s="1"/>
  <c r="W421" i="1"/>
  <c r="X421" i="1" s="1"/>
  <c r="W422" i="1"/>
  <c r="X422" i="1" s="1"/>
  <c r="W423" i="1"/>
  <c r="X423" i="1" s="1"/>
  <c r="W424" i="1"/>
  <c r="X424" i="1" s="1"/>
  <c r="W425" i="1"/>
  <c r="X425" i="1" s="1"/>
  <c r="W426" i="1"/>
  <c r="X426" i="1" s="1"/>
  <c r="W427" i="1"/>
  <c r="X427" i="1" s="1"/>
  <c r="W428" i="1"/>
  <c r="X428" i="1" s="1"/>
  <c r="W429" i="1"/>
  <c r="X429" i="1" s="1"/>
  <c r="W430" i="1"/>
  <c r="X430" i="1" s="1"/>
  <c r="W431" i="1"/>
  <c r="X431" i="1" s="1"/>
  <c r="W432" i="1"/>
  <c r="X432" i="1" s="1"/>
  <c r="W433" i="1"/>
  <c r="X433" i="1" s="1"/>
  <c r="W434" i="1"/>
  <c r="X434" i="1" s="1"/>
  <c r="W435" i="1"/>
  <c r="X435" i="1" s="1"/>
  <c r="W436" i="1"/>
  <c r="X436" i="1" s="1"/>
  <c r="W437" i="1"/>
  <c r="X437" i="1" s="1"/>
  <c r="W438" i="1"/>
  <c r="X438" i="1" s="1"/>
  <c r="W439" i="1"/>
  <c r="X439" i="1" s="1"/>
  <c r="W440" i="1"/>
  <c r="X440" i="1" s="1"/>
  <c r="W441" i="1"/>
  <c r="X441" i="1" s="1"/>
  <c r="W442" i="1"/>
  <c r="X442" i="1" s="1"/>
  <c r="W443" i="1"/>
  <c r="X443" i="1" s="1"/>
  <c r="W444" i="1"/>
  <c r="X444" i="1" s="1"/>
  <c r="W445" i="1"/>
  <c r="X445" i="1" s="1"/>
  <c r="W446" i="1"/>
  <c r="X446" i="1" s="1"/>
  <c r="W447" i="1"/>
  <c r="X447" i="1" s="1"/>
  <c r="W448" i="1"/>
  <c r="X448" i="1" s="1"/>
  <c r="W449" i="1"/>
  <c r="X449" i="1" s="1"/>
  <c r="W450" i="1"/>
  <c r="X450" i="1" s="1"/>
  <c r="W451" i="1"/>
  <c r="X451" i="1" s="1"/>
  <c r="W452" i="1"/>
  <c r="X452" i="1" s="1"/>
  <c r="W453" i="1"/>
  <c r="X453" i="1" s="1"/>
  <c r="W454" i="1"/>
  <c r="X454" i="1" s="1"/>
  <c r="W455" i="1"/>
  <c r="X455" i="1" s="1"/>
  <c r="W456" i="1"/>
  <c r="X456" i="1" s="1"/>
  <c r="W457" i="1"/>
  <c r="X457" i="1" s="1"/>
  <c r="W458" i="1"/>
  <c r="X458" i="1" s="1"/>
  <c r="W459" i="1"/>
  <c r="X459" i="1" s="1"/>
  <c r="W460" i="1"/>
  <c r="X460" i="1" s="1"/>
  <c r="W461" i="1"/>
  <c r="X461" i="1" s="1"/>
  <c r="W462" i="1"/>
  <c r="X462" i="1" s="1"/>
  <c r="W463" i="1"/>
  <c r="X463" i="1" s="1"/>
  <c r="W464" i="1"/>
  <c r="X464" i="1" s="1"/>
  <c r="W465" i="1"/>
  <c r="X465" i="1" s="1"/>
  <c r="W466" i="1"/>
  <c r="X466" i="1" s="1"/>
  <c r="W467" i="1"/>
  <c r="X467" i="1" s="1"/>
  <c r="W468" i="1"/>
  <c r="X468" i="1" s="1"/>
  <c r="W469" i="1"/>
  <c r="X469" i="1" s="1"/>
  <c r="W470" i="1"/>
  <c r="X470" i="1" s="1"/>
  <c r="W471" i="1"/>
  <c r="X471" i="1" s="1"/>
  <c r="W472" i="1"/>
  <c r="X472" i="1" s="1"/>
  <c r="W473" i="1"/>
  <c r="X473" i="1" s="1"/>
  <c r="W474" i="1"/>
  <c r="X474" i="1" s="1"/>
  <c r="W475" i="1"/>
  <c r="X475" i="1" s="1"/>
  <c r="W476" i="1"/>
  <c r="X476" i="1" s="1"/>
  <c r="W477" i="1"/>
  <c r="X477" i="1" s="1"/>
  <c r="W478" i="1"/>
  <c r="X478" i="1" s="1"/>
  <c r="W479" i="1"/>
  <c r="X479" i="1" s="1"/>
  <c r="W480" i="1"/>
  <c r="X480" i="1" s="1"/>
  <c r="W481" i="1"/>
  <c r="X481" i="1" s="1"/>
  <c r="W482" i="1"/>
  <c r="X482" i="1" s="1"/>
  <c r="W483" i="1"/>
  <c r="X483" i="1" s="1"/>
  <c r="W484" i="1"/>
  <c r="X484" i="1" s="1"/>
  <c r="W485" i="1"/>
  <c r="X485" i="1" s="1"/>
  <c r="W486" i="1"/>
  <c r="X486" i="1" s="1"/>
  <c r="W487" i="1"/>
  <c r="X487" i="1" s="1"/>
  <c r="W488" i="1"/>
  <c r="X488" i="1" s="1"/>
  <c r="W489" i="1"/>
  <c r="X489" i="1" s="1"/>
  <c r="W490" i="1"/>
  <c r="X490" i="1" s="1"/>
  <c r="W491" i="1"/>
  <c r="X491" i="1" s="1"/>
  <c r="W492" i="1"/>
  <c r="X492" i="1" s="1"/>
  <c r="W493" i="1"/>
  <c r="X493" i="1" s="1"/>
  <c r="W494" i="1"/>
  <c r="X494" i="1" s="1"/>
  <c r="W495" i="1"/>
  <c r="X495" i="1" s="1"/>
  <c r="W496" i="1"/>
  <c r="X496" i="1" s="1"/>
  <c r="W497" i="1"/>
  <c r="X497" i="1" s="1"/>
  <c r="W498" i="1"/>
  <c r="X498" i="1" s="1"/>
  <c r="W499" i="1"/>
  <c r="X499" i="1" s="1"/>
  <c r="W500" i="1"/>
  <c r="X500" i="1" s="1"/>
  <c r="W501" i="1"/>
  <c r="X501" i="1" s="1"/>
  <c r="W502" i="1"/>
  <c r="X502" i="1" s="1"/>
  <c r="W503" i="1"/>
  <c r="X503" i="1" s="1"/>
  <c r="W504" i="1"/>
  <c r="X504" i="1" s="1"/>
  <c r="W505" i="1"/>
  <c r="X505" i="1" s="1"/>
  <c r="W506" i="1"/>
  <c r="X506" i="1" s="1"/>
  <c r="W507" i="1"/>
  <c r="X507" i="1" s="1"/>
  <c r="W508" i="1"/>
  <c r="X508" i="1" s="1"/>
  <c r="W509" i="1"/>
  <c r="X509" i="1" s="1"/>
  <c r="W510" i="1"/>
  <c r="X510" i="1" s="1"/>
  <c r="W511" i="1"/>
  <c r="X511" i="1" s="1"/>
  <c r="W512" i="1"/>
  <c r="X512" i="1" s="1"/>
  <c r="W513" i="1"/>
  <c r="X513" i="1" s="1"/>
  <c r="W514" i="1"/>
  <c r="X514" i="1" s="1"/>
  <c r="W515" i="1"/>
  <c r="X515" i="1" s="1"/>
  <c r="W516" i="1"/>
  <c r="X516" i="1" s="1"/>
  <c r="W517" i="1"/>
  <c r="X517" i="1" s="1"/>
  <c r="W518" i="1"/>
  <c r="X518" i="1" s="1"/>
  <c r="W519" i="1"/>
  <c r="X519" i="1" s="1"/>
  <c r="W520" i="1"/>
  <c r="X520" i="1" s="1"/>
  <c r="W521" i="1"/>
  <c r="X521" i="1" s="1"/>
  <c r="W522" i="1"/>
  <c r="X522" i="1" s="1"/>
  <c r="W523" i="1"/>
  <c r="X523" i="1" s="1"/>
  <c r="W524" i="1"/>
  <c r="X524" i="1" s="1"/>
  <c r="W525" i="1"/>
  <c r="X525" i="1" s="1"/>
  <c r="W526" i="1"/>
  <c r="X526" i="1" s="1"/>
  <c r="W527" i="1"/>
  <c r="X527" i="1" s="1"/>
  <c r="W528" i="1"/>
  <c r="X528" i="1" s="1"/>
  <c r="W529" i="1"/>
  <c r="X529" i="1" s="1"/>
  <c r="W530" i="1"/>
  <c r="X530" i="1" s="1"/>
  <c r="W531" i="1"/>
  <c r="X531" i="1" s="1"/>
  <c r="W532" i="1"/>
  <c r="X532" i="1" s="1"/>
  <c r="W533" i="1"/>
  <c r="X533" i="1" s="1"/>
  <c r="W534" i="1"/>
  <c r="X534" i="1" s="1"/>
  <c r="W535" i="1"/>
  <c r="X535" i="1" s="1"/>
  <c r="W536" i="1"/>
  <c r="X536" i="1" s="1"/>
  <c r="W537" i="1"/>
  <c r="X537" i="1" s="1"/>
  <c r="W538" i="1"/>
  <c r="X538" i="1" s="1"/>
  <c r="W539" i="1"/>
  <c r="X539" i="1" s="1"/>
  <c r="W540" i="1"/>
  <c r="X540" i="1" s="1"/>
  <c r="W541" i="1"/>
  <c r="X541" i="1" s="1"/>
  <c r="W542" i="1"/>
  <c r="X542" i="1" s="1"/>
  <c r="W543" i="1"/>
  <c r="X543" i="1" s="1"/>
  <c r="W544" i="1"/>
  <c r="X544" i="1" s="1"/>
  <c r="W545" i="1"/>
  <c r="X545" i="1" s="1"/>
  <c r="W546" i="1"/>
  <c r="X546" i="1" s="1"/>
  <c r="W547" i="1"/>
  <c r="X547" i="1" s="1"/>
  <c r="W548" i="1"/>
  <c r="X548" i="1" s="1"/>
  <c r="W549" i="1"/>
  <c r="X549" i="1" s="1"/>
  <c r="W550" i="1"/>
  <c r="X550" i="1" s="1"/>
  <c r="W551" i="1"/>
  <c r="X551" i="1" s="1"/>
  <c r="W552" i="1"/>
  <c r="X552" i="1" s="1"/>
  <c r="W553" i="1"/>
  <c r="X553" i="1" s="1"/>
  <c r="W554" i="1"/>
  <c r="X554" i="1" s="1"/>
  <c r="W555" i="1"/>
  <c r="X555" i="1" s="1"/>
  <c r="W556" i="1"/>
  <c r="X556" i="1" s="1"/>
  <c r="W557" i="1"/>
  <c r="X557" i="1" s="1"/>
  <c r="W558" i="1"/>
  <c r="X558" i="1" s="1"/>
  <c r="W559" i="1"/>
  <c r="X559" i="1" s="1"/>
  <c r="W560" i="1"/>
  <c r="X560" i="1" s="1"/>
  <c r="W561" i="1"/>
  <c r="X561" i="1" s="1"/>
  <c r="W562" i="1"/>
  <c r="X562" i="1" s="1"/>
  <c r="W563" i="1"/>
  <c r="X563" i="1" s="1"/>
  <c r="W564" i="1"/>
  <c r="X564" i="1" s="1"/>
  <c r="W565" i="1"/>
  <c r="X565" i="1" s="1"/>
  <c r="W566" i="1"/>
  <c r="X566" i="1" s="1"/>
  <c r="W567" i="1"/>
  <c r="X567" i="1" s="1"/>
  <c r="W568" i="1"/>
  <c r="X568" i="1" s="1"/>
  <c r="W569" i="1"/>
  <c r="X569" i="1" s="1"/>
  <c r="W570" i="1"/>
  <c r="X570" i="1" s="1"/>
  <c r="W571" i="1"/>
  <c r="X571" i="1" s="1"/>
  <c r="W572" i="1"/>
  <c r="X572" i="1" s="1"/>
  <c r="W573" i="1"/>
  <c r="X573" i="1" s="1"/>
  <c r="W574" i="1"/>
  <c r="X574" i="1" s="1"/>
  <c r="W575" i="1"/>
  <c r="X575" i="1" s="1"/>
  <c r="W576" i="1"/>
  <c r="X576" i="1" s="1"/>
  <c r="W577" i="1"/>
  <c r="X577" i="1" s="1"/>
  <c r="W578" i="1"/>
  <c r="X578" i="1" s="1"/>
  <c r="W579" i="1"/>
  <c r="X579" i="1" s="1"/>
  <c r="W580" i="1"/>
  <c r="X580" i="1" s="1"/>
  <c r="W581" i="1"/>
  <c r="X581" i="1" s="1"/>
  <c r="W582" i="1"/>
  <c r="X582" i="1" s="1"/>
  <c r="W583" i="1"/>
  <c r="X583" i="1" s="1"/>
  <c r="W584" i="1"/>
  <c r="X584" i="1" s="1"/>
  <c r="W585" i="1"/>
  <c r="X585" i="1" s="1"/>
  <c r="W586" i="1"/>
  <c r="X586" i="1" s="1"/>
  <c r="W587" i="1"/>
  <c r="X587" i="1" s="1"/>
  <c r="W588" i="1"/>
  <c r="X588" i="1" s="1"/>
  <c r="W589" i="1"/>
  <c r="X589" i="1" s="1"/>
  <c r="W590" i="1"/>
  <c r="X590" i="1" s="1"/>
  <c r="W591" i="1"/>
  <c r="X591" i="1" s="1"/>
  <c r="W592" i="1"/>
  <c r="X592" i="1" s="1"/>
  <c r="W593" i="1"/>
  <c r="X593" i="1" s="1"/>
  <c r="W594" i="1"/>
  <c r="X594" i="1" s="1"/>
  <c r="W595" i="1"/>
  <c r="X595" i="1" s="1"/>
  <c r="W596" i="1"/>
  <c r="X596" i="1" s="1"/>
  <c r="W597" i="1"/>
  <c r="X597" i="1" s="1"/>
  <c r="W598" i="1"/>
  <c r="X598" i="1" s="1"/>
  <c r="W599" i="1"/>
  <c r="X599" i="1" s="1"/>
  <c r="W600" i="1"/>
  <c r="X600" i="1" s="1"/>
  <c r="W601" i="1"/>
  <c r="X601" i="1" s="1"/>
  <c r="W602" i="1"/>
  <c r="X602" i="1" s="1"/>
  <c r="W603" i="1"/>
  <c r="X603" i="1" s="1"/>
  <c r="W604" i="1"/>
  <c r="X604" i="1" s="1"/>
  <c r="W605" i="1"/>
  <c r="X605" i="1" s="1"/>
  <c r="W606" i="1"/>
  <c r="X606" i="1" s="1"/>
  <c r="W607" i="1"/>
  <c r="X607" i="1" s="1"/>
  <c r="W608" i="1"/>
  <c r="X608" i="1" s="1"/>
  <c r="W609" i="1"/>
  <c r="X609" i="1" s="1"/>
  <c r="W610" i="1"/>
  <c r="X610" i="1" s="1"/>
  <c r="W611" i="1"/>
  <c r="X611" i="1" s="1"/>
  <c r="W612" i="1"/>
  <c r="X612" i="1" s="1"/>
  <c r="W613" i="1"/>
  <c r="X613" i="1" s="1"/>
  <c r="W614" i="1"/>
  <c r="X614" i="1" s="1"/>
  <c r="W615" i="1"/>
  <c r="X615" i="1" s="1"/>
  <c r="W616" i="1"/>
  <c r="X616" i="1" s="1"/>
  <c r="W617" i="1"/>
  <c r="X617" i="1" s="1"/>
  <c r="W618" i="1"/>
  <c r="X618" i="1" s="1"/>
  <c r="W619" i="1"/>
  <c r="X619" i="1" s="1"/>
  <c r="W620" i="1"/>
  <c r="X620" i="1" s="1"/>
  <c r="W621" i="1"/>
  <c r="X621" i="1" s="1"/>
  <c r="W622" i="1"/>
  <c r="X622" i="1" s="1"/>
  <c r="W623" i="1"/>
  <c r="X623" i="1" s="1"/>
  <c r="W624" i="1"/>
  <c r="X624" i="1" s="1"/>
  <c r="W625" i="1"/>
  <c r="X625" i="1" s="1"/>
  <c r="W626" i="1"/>
  <c r="X626" i="1" s="1"/>
  <c r="W627" i="1"/>
  <c r="X627" i="1" s="1"/>
  <c r="W628" i="1"/>
  <c r="X628" i="1" s="1"/>
  <c r="W629" i="1"/>
  <c r="X629" i="1" s="1"/>
  <c r="W630" i="1"/>
  <c r="X630" i="1" s="1"/>
  <c r="W631" i="1"/>
  <c r="X631" i="1" s="1"/>
  <c r="W632" i="1"/>
  <c r="X632" i="1" s="1"/>
  <c r="W633" i="1"/>
  <c r="X633" i="1" s="1"/>
  <c r="W634" i="1"/>
  <c r="X634" i="1" s="1"/>
  <c r="W635" i="1"/>
  <c r="X635" i="1" s="1"/>
  <c r="W636" i="1"/>
  <c r="X636" i="1" s="1"/>
  <c r="W637" i="1"/>
  <c r="X637" i="1" s="1"/>
  <c r="W638" i="1"/>
  <c r="X638" i="1" s="1"/>
  <c r="W639" i="1"/>
  <c r="X639" i="1" s="1"/>
  <c r="W640" i="1"/>
  <c r="X640" i="1" s="1"/>
  <c r="W641" i="1"/>
  <c r="X641" i="1" s="1"/>
  <c r="W642" i="1"/>
  <c r="X642" i="1" s="1"/>
  <c r="W643" i="1"/>
  <c r="X643" i="1" s="1"/>
  <c r="W644" i="1"/>
  <c r="X644" i="1" s="1"/>
  <c r="W645" i="1"/>
  <c r="X645" i="1" s="1"/>
  <c r="W646" i="1"/>
  <c r="X646" i="1" s="1"/>
  <c r="W647" i="1"/>
  <c r="X647" i="1" s="1"/>
  <c r="W648" i="1"/>
  <c r="X648" i="1" s="1"/>
  <c r="W649" i="1"/>
  <c r="X649" i="1" s="1"/>
  <c r="W650" i="1"/>
  <c r="X650" i="1" s="1"/>
  <c r="W651" i="1"/>
  <c r="X651" i="1" s="1"/>
  <c r="W652" i="1"/>
  <c r="X652" i="1" s="1"/>
  <c r="W653" i="1"/>
  <c r="X653" i="1" s="1"/>
  <c r="W654" i="1"/>
  <c r="X654" i="1" s="1"/>
  <c r="W655" i="1"/>
  <c r="X655" i="1" s="1"/>
  <c r="W656" i="1"/>
  <c r="X656" i="1" s="1"/>
  <c r="W657" i="1"/>
  <c r="X657" i="1" s="1"/>
  <c r="W658" i="1"/>
  <c r="X658" i="1" s="1"/>
  <c r="W659" i="1"/>
  <c r="X659" i="1" s="1"/>
  <c r="W660" i="1"/>
  <c r="X660" i="1" s="1"/>
  <c r="W661" i="1"/>
  <c r="X661" i="1" s="1"/>
  <c r="W662" i="1"/>
  <c r="X662" i="1" s="1"/>
  <c r="W663" i="1"/>
  <c r="X663" i="1" s="1"/>
  <c r="W664" i="1"/>
  <c r="X664" i="1" s="1"/>
  <c r="W665" i="1"/>
  <c r="X665" i="1" s="1"/>
  <c r="W666" i="1"/>
  <c r="X666" i="1" s="1"/>
  <c r="W667" i="1"/>
  <c r="X667" i="1" s="1"/>
  <c r="W668" i="1"/>
  <c r="X668" i="1" s="1"/>
  <c r="W669" i="1"/>
  <c r="X669" i="1" s="1"/>
  <c r="W670" i="1"/>
  <c r="X670" i="1" s="1"/>
  <c r="W671" i="1"/>
  <c r="X671" i="1" s="1"/>
  <c r="W672" i="1"/>
  <c r="X672" i="1" s="1"/>
  <c r="W673" i="1"/>
  <c r="X673" i="1" s="1"/>
  <c r="W674" i="1"/>
  <c r="X674" i="1" s="1"/>
  <c r="W675" i="1"/>
  <c r="X675" i="1" s="1"/>
  <c r="W676" i="1"/>
  <c r="X676" i="1" s="1"/>
  <c r="W677" i="1"/>
  <c r="X677" i="1" s="1"/>
  <c r="W678" i="1"/>
  <c r="X678" i="1" s="1"/>
  <c r="W679" i="1"/>
  <c r="X679" i="1" s="1"/>
  <c r="W680" i="1"/>
  <c r="X680" i="1" s="1"/>
  <c r="W681" i="1"/>
  <c r="X681" i="1" s="1"/>
  <c r="W682" i="1"/>
  <c r="X682" i="1" s="1"/>
  <c r="W683" i="1"/>
  <c r="X683" i="1" s="1"/>
  <c r="W684" i="1"/>
  <c r="X684" i="1" s="1"/>
  <c r="W685" i="1"/>
  <c r="X685" i="1" s="1"/>
  <c r="W686" i="1"/>
  <c r="X686" i="1" s="1"/>
  <c r="W687" i="1"/>
  <c r="X687" i="1" s="1"/>
  <c r="W688" i="1"/>
  <c r="X688" i="1" s="1"/>
  <c r="W689" i="1"/>
  <c r="X689" i="1" s="1"/>
  <c r="W690" i="1"/>
  <c r="X690" i="1" s="1"/>
  <c r="W691" i="1"/>
  <c r="X691" i="1" s="1"/>
  <c r="W692" i="1"/>
  <c r="X692" i="1" s="1"/>
  <c r="W693" i="1"/>
  <c r="X693" i="1" s="1"/>
  <c r="W694" i="1"/>
  <c r="X694" i="1" s="1"/>
  <c r="W695" i="1"/>
  <c r="X695" i="1" s="1"/>
  <c r="W696" i="1"/>
  <c r="X696" i="1" s="1"/>
  <c r="W697" i="1"/>
  <c r="X697" i="1" s="1"/>
  <c r="W698" i="1"/>
  <c r="X698" i="1" s="1"/>
  <c r="W699" i="1"/>
  <c r="X699" i="1" s="1"/>
  <c r="W700" i="1"/>
  <c r="X700" i="1" s="1"/>
  <c r="W701" i="1"/>
  <c r="X701" i="1" s="1"/>
  <c r="W702" i="1"/>
  <c r="X702" i="1" s="1"/>
  <c r="W703" i="1"/>
  <c r="X703" i="1" s="1"/>
  <c r="W704" i="1"/>
  <c r="X704" i="1" s="1"/>
  <c r="W705" i="1"/>
  <c r="X705" i="1" s="1"/>
  <c r="W706" i="1"/>
  <c r="X706" i="1" s="1"/>
  <c r="W707" i="1"/>
  <c r="X707" i="1" s="1"/>
  <c r="W708" i="1"/>
  <c r="X708" i="1" s="1"/>
  <c r="W709" i="1"/>
  <c r="X709" i="1" s="1"/>
  <c r="W710" i="1"/>
  <c r="X710" i="1" s="1"/>
  <c r="W711" i="1"/>
  <c r="X711" i="1" s="1"/>
  <c r="W712" i="1"/>
  <c r="X712" i="1" s="1"/>
  <c r="W713" i="1"/>
  <c r="X713" i="1" s="1"/>
  <c r="W714" i="1"/>
  <c r="X714" i="1" s="1"/>
  <c r="W715" i="1"/>
  <c r="X715" i="1" s="1"/>
  <c r="W716" i="1"/>
  <c r="X716" i="1" s="1"/>
  <c r="W717" i="1"/>
  <c r="X717" i="1" s="1"/>
  <c r="W718" i="1"/>
  <c r="X718" i="1" s="1"/>
  <c r="W719" i="1"/>
  <c r="X719" i="1" s="1"/>
  <c r="W720" i="1"/>
  <c r="X720" i="1" s="1"/>
  <c r="W721" i="1"/>
  <c r="X721" i="1" s="1"/>
  <c r="W722" i="1"/>
  <c r="X722" i="1" s="1"/>
  <c r="W723" i="1"/>
  <c r="X723" i="1" s="1"/>
  <c r="W724" i="1"/>
  <c r="X724" i="1" s="1"/>
  <c r="W725" i="1"/>
  <c r="X725" i="1" s="1"/>
  <c r="W726" i="1"/>
  <c r="X726" i="1" s="1"/>
  <c r="W727" i="1"/>
  <c r="X727" i="1" s="1"/>
  <c r="W728" i="1"/>
  <c r="X728" i="1" s="1"/>
  <c r="W729" i="1"/>
  <c r="X729" i="1" s="1"/>
  <c r="W730" i="1"/>
  <c r="X730" i="1" s="1"/>
  <c r="W731" i="1"/>
  <c r="X731" i="1" s="1"/>
  <c r="W732" i="1"/>
  <c r="X732" i="1" s="1"/>
  <c r="W733" i="1"/>
  <c r="X733" i="1" s="1"/>
  <c r="W734" i="1"/>
  <c r="X734" i="1" s="1"/>
  <c r="W735" i="1"/>
  <c r="X735" i="1" s="1"/>
  <c r="W736" i="1"/>
  <c r="X736" i="1" s="1"/>
  <c r="W737" i="1"/>
  <c r="X737" i="1" s="1"/>
  <c r="W738" i="1"/>
  <c r="X738" i="1" s="1"/>
  <c r="W739" i="1"/>
  <c r="X739" i="1" s="1"/>
  <c r="W740" i="1"/>
  <c r="X740" i="1" s="1"/>
  <c r="W741" i="1"/>
  <c r="X741" i="1" s="1"/>
  <c r="W742" i="1"/>
  <c r="X742" i="1" s="1"/>
  <c r="W743" i="1"/>
  <c r="X743" i="1" s="1"/>
  <c r="W744" i="1"/>
  <c r="X744" i="1" s="1"/>
  <c r="W745" i="1"/>
  <c r="X745" i="1" s="1"/>
  <c r="W746" i="1"/>
  <c r="X746" i="1" s="1"/>
  <c r="W747" i="1"/>
  <c r="X747" i="1" s="1"/>
  <c r="W748" i="1"/>
  <c r="X748" i="1" s="1"/>
  <c r="W749" i="1"/>
  <c r="X749" i="1" s="1"/>
  <c r="W750" i="1"/>
  <c r="X750" i="1" s="1"/>
  <c r="W751" i="1"/>
  <c r="X751" i="1" s="1"/>
  <c r="W752" i="1"/>
  <c r="X752" i="1" s="1"/>
  <c r="W753" i="1"/>
  <c r="X753" i="1" s="1"/>
  <c r="W754" i="1"/>
  <c r="X754" i="1" s="1"/>
  <c r="W755" i="1"/>
  <c r="X755" i="1" s="1"/>
  <c r="W756" i="1"/>
  <c r="X756" i="1" s="1"/>
  <c r="W757" i="1"/>
  <c r="X757" i="1" s="1"/>
  <c r="W758" i="1"/>
  <c r="X758" i="1" s="1"/>
  <c r="W759" i="1"/>
  <c r="X759" i="1" s="1"/>
  <c r="W760" i="1"/>
  <c r="X760" i="1" s="1"/>
  <c r="W761" i="1"/>
  <c r="X761" i="1" s="1"/>
  <c r="W762" i="1"/>
  <c r="X762" i="1" s="1"/>
  <c r="W763" i="1"/>
  <c r="X763" i="1" s="1"/>
  <c r="W764" i="1"/>
  <c r="X764" i="1" s="1"/>
  <c r="W765" i="1"/>
  <c r="X765" i="1" s="1"/>
  <c r="W766" i="1"/>
  <c r="X766" i="1" s="1"/>
  <c r="W767" i="1"/>
  <c r="X767" i="1" s="1"/>
  <c r="W768" i="1"/>
  <c r="X768" i="1" s="1"/>
  <c r="W769" i="1"/>
  <c r="X769" i="1" s="1"/>
  <c r="W770" i="1"/>
  <c r="X770" i="1" s="1"/>
  <c r="W771" i="1"/>
  <c r="X771" i="1" s="1"/>
  <c r="W772" i="1"/>
  <c r="X772" i="1" s="1"/>
  <c r="W773" i="1"/>
  <c r="X773" i="1" s="1"/>
  <c r="W774" i="1"/>
  <c r="X774" i="1" s="1"/>
  <c r="W775" i="1"/>
  <c r="X775" i="1" s="1"/>
  <c r="W776" i="1"/>
  <c r="X776" i="1" s="1"/>
  <c r="W777" i="1"/>
  <c r="X777" i="1" s="1"/>
  <c r="W778" i="1"/>
  <c r="X778" i="1" s="1"/>
  <c r="W779" i="1"/>
  <c r="X779" i="1" s="1"/>
  <c r="W780" i="1"/>
  <c r="X780" i="1" s="1"/>
  <c r="W781" i="1"/>
  <c r="X781" i="1" s="1"/>
  <c r="W782" i="1"/>
  <c r="X782" i="1" s="1"/>
  <c r="W783" i="1"/>
  <c r="X783" i="1" s="1"/>
  <c r="W784" i="1"/>
  <c r="X784" i="1" s="1"/>
  <c r="W785" i="1"/>
  <c r="X785" i="1" s="1"/>
  <c r="W786" i="1"/>
  <c r="X786" i="1" s="1"/>
  <c r="W787" i="1"/>
  <c r="X787" i="1" s="1"/>
  <c r="W788" i="1"/>
  <c r="X788" i="1" s="1"/>
  <c r="W789" i="1"/>
  <c r="X789" i="1" s="1"/>
  <c r="W790" i="1"/>
  <c r="X790" i="1" s="1"/>
  <c r="W791" i="1"/>
  <c r="X791" i="1" s="1"/>
  <c r="W792" i="1"/>
  <c r="X792" i="1" s="1"/>
  <c r="W793" i="1"/>
  <c r="X793" i="1" s="1"/>
  <c r="W794" i="1"/>
  <c r="X794" i="1" s="1"/>
  <c r="W795" i="1"/>
  <c r="X795" i="1" s="1"/>
  <c r="W796" i="1"/>
  <c r="X796" i="1" s="1"/>
  <c r="W797" i="1"/>
  <c r="X797" i="1" s="1"/>
  <c r="W798" i="1"/>
  <c r="X798" i="1" s="1"/>
  <c r="W799" i="1"/>
  <c r="X799" i="1" s="1"/>
  <c r="W800" i="1"/>
  <c r="X800" i="1" s="1"/>
  <c r="W801" i="1"/>
  <c r="X801" i="1" s="1"/>
  <c r="W802" i="1"/>
  <c r="X802" i="1" s="1"/>
  <c r="W803" i="1"/>
  <c r="X803" i="1" s="1"/>
  <c r="W804" i="1"/>
  <c r="X804" i="1" s="1"/>
  <c r="W805" i="1"/>
  <c r="X805" i="1" s="1"/>
  <c r="W806" i="1"/>
  <c r="X806" i="1" s="1"/>
  <c r="W807" i="1"/>
  <c r="X807" i="1" s="1"/>
  <c r="W808" i="1"/>
  <c r="X808" i="1" s="1"/>
  <c r="W809" i="1"/>
  <c r="X809" i="1" s="1"/>
  <c r="W810" i="1"/>
  <c r="X810" i="1" s="1"/>
  <c r="W811" i="1"/>
  <c r="X811" i="1" s="1"/>
  <c r="W812" i="1"/>
  <c r="X812" i="1" s="1"/>
  <c r="W813" i="1"/>
  <c r="X813" i="1" s="1"/>
  <c r="W814" i="1"/>
  <c r="X814" i="1" s="1"/>
  <c r="W815" i="1"/>
  <c r="X815" i="1" s="1"/>
  <c r="W816" i="1"/>
  <c r="X816" i="1" s="1"/>
  <c r="W817" i="1"/>
  <c r="X817" i="1" s="1"/>
  <c r="W818" i="1"/>
  <c r="X818" i="1" s="1"/>
  <c r="W819" i="1"/>
  <c r="X819" i="1" s="1"/>
  <c r="W820" i="1"/>
  <c r="X820" i="1" s="1"/>
  <c r="W821" i="1"/>
  <c r="X821" i="1" s="1"/>
  <c r="W822" i="1"/>
  <c r="X822" i="1" s="1"/>
  <c r="W823" i="1"/>
  <c r="X823" i="1" s="1"/>
  <c r="W824" i="1"/>
  <c r="X824" i="1" s="1"/>
  <c r="W825" i="1"/>
  <c r="X825" i="1" s="1"/>
  <c r="W826" i="1"/>
  <c r="X826" i="1" s="1"/>
  <c r="W827" i="1"/>
  <c r="X827" i="1" s="1"/>
  <c r="W828" i="1"/>
  <c r="X828" i="1" s="1"/>
  <c r="W829" i="1"/>
  <c r="X829" i="1" s="1"/>
  <c r="W830" i="1"/>
  <c r="X830" i="1" s="1"/>
  <c r="W831" i="1"/>
  <c r="X831" i="1" s="1"/>
  <c r="W832" i="1"/>
  <c r="X832" i="1" s="1"/>
  <c r="W833" i="1"/>
  <c r="X833" i="1" s="1"/>
  <c r="W834" i="1"/>
  <c r="X834" i="1" s="1"/>
  <c r="W835" i="1"/>
  <c r="X835" i="1" s="1"/>
  <c r="W836" i="1"/>
  <c r="X836" i="1" s="1"/>
  <c r="W837" i="1"/>
  <c r="X837" i="1" s="1"/>
  <c r="W838" i="1"/>
  <c r="X838" i="1" s="1"/>
  <c r="W839" i="1"/>
  <c r="X839" i="1" s="1"/>
  <c r="W840" i="1"/>
  <c r="X840" i="1" s="1"/>
  <c r="W841" i="1"/>
  <c r="X841" i="1" s="1"/>
  <c r="W842" i="1"/>
  <c r="X842" i="1" s="1"/>
  <c r="W843" i="1"/>
  <c r="X843" i="1" s="1"/>
  <c r="W844" i="1"/>
  <c r="X844" i="1" s="1"/>
  <c r="W845" i="1"/>
  <c r="X845" i="1" s="1"/>
  <c r="W846" i="1"/>
  <c r="X846" i="1" s="1"/>
  <c r="W847" i="1"/>
  <c r="X847" i="1" s="1"/>
  <c r="W848" i="1"/>
  <c r="X848" i="1" s="1"/>
  <c r="W849" i="1"/>
  <c r="X849" i="1" s="1"/>
  <c r="W850" i="1"/>
  <c r="X850" i="1" s="1"/>
  <c r="W851" i="1"/>
  <c r="X851" i="1" s="1"/>
  <c r="W852" i="1"/>
  <c r="X852" i="1" s="1"/>
  <c r="W853" i="1"/>
  <c r="X853" i="1" s="1"/>
  <c r="W854" i="1"/>
  <c r="X854" i="1" s="1"/>
  <c r="W855" i="1"/>
  <c r="X855" i="1" s="1"/>
  <c r="W856" i="1"/>
  <c r="X856" i="1" s="1"/>
  <c r="W857" i="1"/>
  <c r="X857" i="1" s="1"/>
  <c r="W858" i="1"/>
  <c r="X858" i="1" s="1"/>
  <c r="W859" i="1"/>
  <c r="X859" i="1" s="1"/>
  <c r="W860" i="1"/>
  <c r="X860" i="1" s="1"/>
  <c r="W861" i="1"/>
  <c r="X861" i="1" s="1"/>
  <c r="W862" i="1"/>
  <c r="X862" i="1" s="1"/>
  <c r="W863" i="1"/>
  <c r="X863" i="1" s="1"/>
  <c r="W864" i="1"/>
  <c r="X864" i="1" s="1"/>
  <c r="W865" i="1"/>
  <c r="X865" i="1" s="1"/>
  <c r="W866" i="1"/>
  <c r="X866" i="1" s="1"/>
  <c r="W867" i="1"/>
  <c r="X867" i="1" s="1"/>
  <c r="W868" i="1"/>
  <c r="X868" i="1" s="1"/>
  <c r="W869" i="1"/>
  <c r="X869" i="1" s="1"/>
  <c r="W870" i="1"/>
  <c r="X870" i="1" s="1"/>
  <c r="W871" i="1"/>
  <c r="X871" i="1" s="1"/>
  <c r="W872" i="1"/>
  <c r="X872" i="1" s="1"/>
  <c r="W873" i="1"/>
  <c r="X873" i="1" s="1"/>
  <c r="W874" i="1"/>
  <c r="X874" i="1" s="1"/>
  <c r="W875" i="1"/>
  <c r="X875" i="1" s="1"/>
  <c r="W876" i="1"/>
  <c r="X876" i="1" s="1"/>
  <c r="W877" i="1"/>
  <c r="X877" i="1" s="1"/>
  <c r="W878" i="1"/>
  <c r="X878" i="1" s="1"/>
  <c r="W879" i="1"/>
  <c r="X879" i="1" s="1"/>
  <c r="W880" i="1"/>
  <c r="X880" i="1" s="1"/>
  <c r="W881" i="1"/>
  <c r="X881" i="1" s="1"/>
  <c r="W882" i="1"/>
  <c r="X882" i="1" s="1"/>
  <c r="W883" i="1"/>
  <c r="X883" i="1" s="1"/>
  <c r="W884" i="1"/>
  <c r="X884" i="1" s="1"/>
  <c r="W885" i="1"/>
  <c r="X885" i="1" s="1"/>
  <c r="W886" i="1"/>
  <c r="X886" i="1" s="1"/>
  <c r="W887" i="1"/>
  <c r="X887" i="1" s="1"/>
  <c r="W888" i="1"/>
  <c r="X888" i="1" s="1"/>
  <c r="W889" i="1"/>
  <c r="X889" i="1" s="1"/>
  <c r="W890" i="1"/>
  <c r="X890" i="1" s="1"/>
  <c r="W891" i="1"/>
  <c r="X891" i="1" s="1"/>
  <c r="W892" i="1"/>
  <c r="X892" i="1" s="1"/>
  <c r="W893" i="1"/>
  <c r="X893" i="1" s="1"/>
  <c r="W894" i="1"/>
  <c r="X894" i="1" s="1"/>
  <c r="W895" i="1"/>
  <c r="X895" i="1" s="1"/>
  <c r="W896" i="1"/>
  <c r="X896" i="1" s="1"/>
  <c r="W897" i="1"/>
  <c r="X897" i="1" s="1"/>
  <c r="W898" i="1"/>
  <c r="X898" i="1" s="1"/>
  <c r="W899" i="1"/>
  <c r="X899" i="1" s="1"/>
  <c r="W900" i="1"/>
  <c r="X900" i="1" s="1"/>
  <c r="W901" i="1"/>
  <c r="X901" i="1" s="1"/>
  <c r="W902" i="1"/>
  <c r="X902" i="1" s="1"/>
  <c r="W903" i="1"/>
  <c r="X903" i="1" s="1"/>
  <c r="W904" i="1"/>
  <c r="X904" i="1" s="1"/>
  <c r="W905" i="1"/>
  <c r="X905" i="1" s="1"/>
  <c r="W906" i="1"/>
  <c r="X906" i="1" s="1"/>
  <c r="W907" i="1"/>
  <c r="X907" i="1" s="1"/>
  <c r="W908" i="1"/>
  <c r="X908" i="1" s="1"/>
  <c r="W909" i="1"/>
  <c r="X909" i="1" s="1"/>
  <c r="W910" i="1"/>
  <c r="X910" i="1" s="1"/>
  <c r="W911" i="1"/>
  <c r="X911" i="1" s="1"/>
  <c r="W912" i="1"/>
  <c r="X912" i="1" s="1"/>
  <c r="W913" i="1"/>
  <c r="X913" i="1" s="1"/>
  <c r="W914" i="1"/>
  <c r="X914" i="1" s="1"/>
  <c r="W915" i="1"/>
  <c r="X915" i="1" s="1"/>
  <c r="W916" i="1"/>
  <c r="X916" i="1" s="1"/>
  <c r="W917" i="1"/>
  <c r="X917" i="1" s="1"/>
  <c r="W918" i="1"/>
  <c r="X918" i="1" s="1"/>
  <c r="W919" i="1"/>
  <c r="X919" i="1" s="1"/>
  <c r="W920" i="1"/>
  <c r="X920" i="1" s="1"/>
  <c r="W921" i="1"/>
  <c r="X921" i="1" s="1"/>
  <c r="W922" i="1"/>
  <c r="X922" i="1" s="1"/>
  <c r="W923" i="1"/>
  <c r="X923" i="1" s="1"/>
  <c r="W924" i="1"/>
  <c r="X924" i="1" s="1"/>
  <c r="W925" i="1"/>
  <c r="X925" i="1" s="1"/>
  <c r="W926" i="1"/>
  <c r="X926" i="1" s="1"/>
  <c r="W927" i="1"/>
  <c r="X927" i="1" s="1"/>
  <c r="W928" i="1"/>
  <c r="X928" i="1" s="1"/>
  <c r="W929" i="1"/>
  <c r="X929" i="1" s="1"/>
  <c r="W930" i="1"/>
  <c r="X930" i="1" s="1"/>
  <c r="W931" i="1"/>
  <c r="X931" i="1" s="1"/>
  <c r="W932" i="1"/>
  <c r="X932" i="1" s="1"/>
  <c r="W933" i="1"/>
  <c r="X933" i="1" s="1"/>
  <c r="W934" i="1"/>
  <c r="X934" i="1" s="1"/>
  <c r="W935" i="1"/>
  <c r="X935" i="1" s="1"/>
  <c r="W936" i="1"/>
  <c r="X936" i="1" s="1"/>
  <c r="W937" i="1"/>
  <c r="X937" i="1" s="1"/>
  <c r="W938" i="1"/>
  <c r="X938" i="1" s="1"/>
  <c r="W939" i="1"/>
  <c r="X939" i="1" s="1"/>
  <c r="W940" i="1"/>
  <c r="X940" i="1" s="1"/>
  <c r="W941" i="1"/>
  <c r="X941" i="1" s="1"/>
  <c r="W942" i="1"/>
  <c r="X942" i="1" s="1"/>
  <c r="W943" i="1"/>
  <c r="X943" i="1" s="1"/>
  <c r="W944" i="1"/>
  <c r="X944" i="1" s="1"/>
  <c r="W945" i="1"/>
  <c r="X945" i="1" s="1"/>
  <c r="W946" i="1"/>
  <c r="X946" i="1" s="1"/>
  <c r="W947" i="1"/>
  <c r="X947" i="1" s="1"/>
  <c r="W948" i="1"/>
  <c r="X948" i="1" s="1"/>
  <c r="W949" i="1"/>
  <c r="X949" i="1" s="1"/>
  <c r="W950" i="1"/>
  <c r="X950" i="1" s="1"/>
  <c r="W951" i="1"/>
  <c r="X951" i="1" s="1"/>
  <c r="W952" i="1"/>
  <c r="X952" i="1" s="1"/>
  <c r="W953" i="1"/>
  <c r="X953" i="1" s="1"/>
  <c r="W954" i="1"/>
  <c r="X954" i="1" s="1"/>
  <c r="W955" i="1"/>
  <c r="X955" i="1" s="1"/>
  <c r="W956" i="1"/>
  <c r="X956" i="1" s="1"/>
  <c r="W957" i="1"/>
  <c r="X957" i="1" s="1"/>
  <c r="W958" i="1"/>
  <c r="X958" i="1" s="1"/>
  <c r="W959" i="1"/>
  <c r="X959" i="1" s="1"/>
  <c r="W960" i="1"/>
  <c r="X960" i="1" s="1"/>
  <c r="W961" i="1"/>
  <c r="X961" i="1" s="1"/>
  <c r="W962" i="1"/>
  <c r="X962" i="1" s="1"/>
  <c r="W963" i="1"/>
  <c r="X963" i="1" s="1"/>
  <c r="W964" i="1"/>
  <c r="X964" i="1" s="1"/>
  <c r="W965" i="1"/>
  <c r="X965" i="1" s="1"/>
  <c r="W966" i="1"/>
  <c r="X966" i="1" s="1"/>
  <c r="W967" i="1"/>
  <c r="X967" i="1" s="1"/>
  <c r="W968" i="1"/>
  <c r="X968" i="1" s="1"/>
  <c r="W969" i="1"/>
  <c r="X969" i="1" s="1"/>
  <c r="W970" i="1"/>
  <c r="X970" i="1" s="1"/>
  <c r="W971" i="1"/>
  <c r="X971" i="1" s="1"/>
  <c r="W972" i="1"/>
  <c r="X972" i="1" s="1"/>
  <c r="W973" i="1"/>
  <c r="X973" i="1" s="1"/>
  <c r="W974" i="1"/>
  <c r="X974" i="1" s="1"/>
  <c r="W975" i="1"/>
  <c r="X975" i="1" s="1"/>
  <c r="W976" i="1"/>
  <c r="X976" i="1" s="1"/>
  <c r="W977" i="1"/>
  <c r="X977" i="1" s="1"/>
  <c r="W978" i="1"/>
  <c r="X978" i="1" s="1"/>
  <c r="W979" i="1"/>
  <c r="X979" i="1" s="1"/>
  <c r="W980" i="1"/>
  <c r="X980" i="1" s="1"/>
  <c r="W981" i="1"/>
  <c r="X981" i="1" s="1"/>
  <c r="W982" i="1"/>
  <c r="X982" i="1" s="1"/>
  <c r="W983" i="1"/>
  <c r="X983" i="1" s="1"/>
  <c r="W984" i="1"/>
  <c r="X984" i="1" s="1"/>
  <c r="W985" i="1"/>
  <c r="X985" i="1" s="1"/>
  <c r="W986" i="1"/>
  <c r="X986" i="1" s="1"/>
  <c r="W987" i="1"/>
  <c r="X987" i="1" s="1"/>
  <c r="W988" i="1"/>
  <c r="X988" i="1" s="1"/>
  <c r="W989" i="1"/>
  <c r="X989" i="1" s="1"/>
  <c r="W990" i="1"/>
  <c r="X990" i="1" s="1"/>
  <c r="W991" i="1"/>
  <c r="X991" i="1" s="1"/>
  <c r="W992" i="1"/>
  <c r="X992" i="1" s="1"/>
  <c r="W993" i="1"/>
  <c r="X993" i="1" s="1"/>
  <c r="W994" i="1"/>
  <c r="X994" i="1" s="1"/>
  <c r="W995" i="1"/>
  <c r="X995" i="1" s="1"/>
  <c r="W996" i="1"/>
  <c r="X996" i="1" s="1"/>
  <c r="W997" i="1"/>
  <c r="X997" i="1" s="1"/>
  <c r="W998" i="1"/>
  <c r="X998" i="1" s="1"/>
  <c r="W999" i="1"/>
  <c r="X999" i="1" s="1"/>
  <c r="W1000" i="1"/>
  <c r="X1000" i="1" s="1"/>
  <c r="W1001" i="1"/>
  <c r="X1001" i="1" s="1"/>
  <c r="W1002" i="1"/>
  <c r="X1002" i="1" s="1"/>
  <c r="W1003" i="1"/>
  <c r="X1003" i="1" s="1"/>
  <c r="W1004" i="1"/>
  <c r="X1004" i="1" s="1"/>
  <c r="W1005" i="1"/>
  <c r="X1005" i="1" s="1"/>
  <c r="W1006" i="1"/>
  <c r="X1006" i="1" s="1"/>
  <c r="W1007" i="1"/>
  <c r="X1007" i="1" s="1"/>
  <c r="W1008" i="1"/>
  <c r="X1008" i="1" s="1"/>
  <c r="W1009" i="1"/>
  <c r="X1009" i="1" s="1"/>
  <c r="W1010" i="1"/>
  <c r="X1010" i="1" s="1"/>
  <c r="W1011" i="1"/>
  <c r="X1011" i="1" s="1"/>
  <c r="W1012" i="1"/>
  <c r="X1012" i="1" s="1"/>
  <c r="W1013" i="1"/>
  <c r="X1013" i="1" s="1"/>
  <c r="W1014" i="1"/>
  <c r="X1014" i="1" s="1"/>
  <c r="W1015" i="1"/>
  <c r="X1015" i="1" s="1"/>
  <c r="W1016" i="1"/>
  <c r="X1016" i="1" s="1"/>
  <c r="W1017" i="1"/>
  <c r="X1017" i="1" s="1"/>
  <c r="W1018" i="1"/>
  <c r="X1018" i="1" s="1"/>
  <c r="W1019" i="1"/>
  <c r="X1019" i="1" s="1"/>
  <c r="W1020" i="1"/>
  <c r="X1020" i="1" s="1"/>
  <c r="W1021" i="1"/>
  <c r="X1021" i="1" s="1"/>
  <c r="W1022" i="1"/>
  <c r="X1022" i="1" s="1"/>
  <c r="W1023" i="1"/>
  <c r="X1023" i="1" s="1"/>
  <c r="W1024" i="1"/>
  <c r="X1024" i="1" s="1"/>
  <c r="W1025" i="1"/>
  <c r="X1025" i="1" s="1"/>
  <c r="W1026" i="1"/>
  <c r="X1026" i="1" s="1"/>
  <c r="W1027" i="1"/>
  <c r="X1027" i="1" s="1"/>
  <c r="W1028" i="1"/>
  <c r="X1028" i="1" s="1"/>
  <c r="W1029" i="1"/>
  <c r="X1029" i="1" s="1"/>
  <c r="W1030" i="1"/>
  <c r="X1030" i="1" s="1"/>
  <c r="W1031" i="1"/>
  <c r="X1031" i="1" s="1"/>
  <c r="W1032" i="1"/>
  <c r="X1032" i="1" s="1"/>
  <c r="W1033" i="1"/>
  <c r="X1033" i="1" s="1"/>
  <c r="W1034" i="1"/>
  <c r="X1034" i="1" s="1"/>
  <c r="W1035" i="1"/>
  <c r="X1035" i="1" s="1"/>
  <c r="W1036" i="1"/>
  <c r="X1036" i="1" s="1"/>
  <c r="W1037" i="1"/>
  <c r="X1037" i="1" s="1"/>
  <c r="W1038" i="1"/>
  <c r="X1038" i="1" s="1"/>
  <c r="W1039" i="1"/>
  <c r="X1039" i="1" s="1"/>
  <c r="W1040" i="1"/>
  <c r="X1040" i="1" s="1"/>
  <c r="W1041" i="1"/>
  <c r="X1041" i="1" s="1"/>
  <c r="W1042" i="1"/>
  <c r="X1042" i="1" s="1"/>
  <c r="W1043" i="1"/>
  <c r="X1043" i="1" s="1"/>
  <c r="W1044" i="1"/>
  <c r="X1044" i="1" s="1"/>
  <c r="W1045" i="1"/>
  <c r="X1045" i="1" s="1"/>
  <c r="W1046" i="1"/>
  <c r="X1046" i="1" s="1"/>
  <c r="W1047" i="1"/>
  <c r="X1047" i="1" s="1"/>
  <c r="W1048" i="1"/>
  <c r="X1048" i="1" s="1"/>
  <c r="W1049" i="1"/>
  <c r="X1049" i="1" s="1"/>
  <c r="W1050" i="1"/>
  <c r="X1050" i="1" s="1"/>
  <c r="W1051" i="1"/>
  <c r="X1051" i="1" s="1"/>
  <c r="W1052" i="1"/>
  <c r="X1052" i="1" s="1"/>
  <c r="W1053" i="1"/>
  <c r="X1053" i="1" s="1"/>
  <c r="W1054" i="1"/>
  <c r="X1054" i="1" s="1"/>
  <c r="W1055" i="1"/>
  <c r="X1055" i="1" s="1"/>
  <c r="W1056" i="1"/>
  <c r="X1056" i="1" s="1"/>
  <c r="W1057" i="1"/>
  <c r="X1057" i="1" s="1"/>
  <c r="W1058" i="1"/>
  <c r="X1058" i="1" s="1"/>
  <c r="W1059" i="1"/>
  <c r="X1059" i="1" s="1"/>
  <c r="W1060" i="1"/>
  <c r="X1060" i="1" s="1"/>
  <c r="W1061" i="1"/>
  <c r="X1061" i="1" s="1"/>
  <c r="W1062" i="1"/>
  <c r="X1062" i="1" s="1"/>
  <c r="W1063" i="1"/>
  <c r="X1063" i="1" s="1"/>
  <c r="W1064" i="1"/>
  <c r="X1064" i="1" s="1"/>
  <c r="W1065" i="1"/>
  <c r="X1065" i="1" s="1"/>
  <c r="W1066" i="1"/>
  <c r="X1066" i="1" s="1"/>
  <c r="W1067" i="1"/>
  <c r="X1067" i="1" s="1"/>
  <c r="W1068" i="1"/>
  <c r="X1068" i="1" s="1"/>
  <c r="W1069" i="1"/>
  <c r="X1069" i="1" s="1"/>
  <c r="W1070" i="1"/>
  <c r="X1070" i="1" s="1"/>
  <c r="W1071" i="1"/>
  <c r="X1071" i="1" s="1"/>
  <c r="W1072" i="1"/>
  <c r="X1072" i="1" s="1"/>
  <c r="W1073" i="1"/>
  <c r="X1073" i="1" s="1"/>
  <c r="W1074" i="1"/>
  <c r="X1074" i="1" s="1"/>
  <c r="W1075" i="1"/>
  <c r="X1075" i="1" s="1"/>
  <c r="W1076" i="1"/>
  <c r="X1076" i="1" s="1"/>
  <c r="W1077" i="1"/>
  <c r="X1077" i="1" s="1"/>
  <c r="W1078" i="1"/>
  <c r="X1078" i="1" s="1"/>
  <c r="W1079" i="1"/>
  <c r="X1079" i="1" s="1"/>
  <c r="W1080" i="1"/>
  <c r="X1080" i="1" s="1"/>
  <c r="W1081" i="1"/>
  <c r="X1081" i="1" s="1"/>
  <c r="W1082" i="1"/>
  <c r="X1082" i="1" s="1"/>
  <c r="W1083" i="1"/>
  <c r="X1083" i="1" s="1"/>
  <c r="W1084" i="1"/>
  <c r="X1084" i="1" s="1"/>
  <c r="W1085" i="1"/>
  <c r="X1085" i="1" s="1"/>
  <c r="W1086" i="1"/>
  <c r="X1086" i="1" s="1"/>
  <c r="W1087" i="1"/>
  <c r="X1087" i="1" s="1"/>
  <c r="W1088" i="1"/>
  <c r="X1088" i="1" s="1"/>
  <c r="W1089" i="1"/>
  <c r="X1089" i="1" s="1"/>
  <c r="W1090" i="1"/>
  <c r="X1090" i="1" s="1"/>
  <c r="W1091" i="1"/>
  <c r="X1091" i="1" s="1"/>
  <c r="W1092" i="1"/>
  <c r="X1092" i="1" s="1"/>
  <c r="W1093" i="1"/>
  <c r="X1093" i="1" s="1"/>
  <c r="W1094" i="1"/>
  <c r="X1094" i="1" s="1"/>
  <c r="W1095" i="1"/>
  <c r="X1095" i="1" s="1"/>
  <c r="W1096" i="1"/>
  <c r="X1096" i="1" s="1"/>
  <c r="W1097" i="1"/>
  <c r="X1097" i="1" s="1"/>
  <c r="W1098" i="1"/>
  <c r="X1098" i="1" s="1"/>
  <c r="W1099" i="1"/>
  <c r="X1099" i="1" s="1"/>
  <c r="W1100" i="1"/>
  <c r="X1100" i="1" s="1"/>
  <c r="W1101" i="1"/>
  <c r="X1101" i="1" s="1"/>
  <c r="W1102" i="1"/>
  <c r="X1102" i="1" s="1"/>
  <c r="W1103" i="1"/>
  <c r="X1103" i="1" s="1"/>
  <c r="W1104" i="1"/>
  <c r="X1104" i="1" s="1"/>
  <c r="W1105" i="1"/>
  <c r="X1105" i="1" s="1"/>
  <c r="W1106" i="1"/>
  <c r="X1106" i="1" s="1"/>
  <c r="W1107" i="1"/>
  <c r="X1107" i="1" s="1"/>
  <c r="W1108" i="1"/>
  <c r="X1108" i="1" s="1"/>
  <c r="W1109" i="1"/>
  <c r="X1109" i="1" s="1"/>
  <c r="W1110" i="1"/>
  <c r="X1110" i="1" s="1"/>
  <c r="W1111" i="1"/>
  <c r="X1111" i="1" s="1"/>
  <c r="W1112" i="1"/>
  <c r="X1112" i="1" s="1"/>
  <c r="W1113" i="1"/>
  <c r="X1113" i="1" s="1"/>
  <c r="W1114" i="1"/>
  <c r="X1114" i="1" s="1"/>
  <c r="W1115" i="1"/>
  <c r="X1115" i="1" s="1"/>
  <c r="W1116" i="1"/>
  <c r="X1116" i="1" s="1"/>
  <c r="W1117" i="1"/>
  <c r="X1117" i="1" s="1"/>
  <c r="W1118" i="1"/>
  <c r="X1118" i="1" s="1"/>
  <c r="W1119" i="1"/>
  <c r="X1119" i="1" s="1"/>
  <c r="W1120" i="1"/>
  <c r="X1120" i="1" s="1"/>
  <c r="W1121" i="1"/>
  <c r="X1121" i="1" s="1"/>
  <c r="W1122" i="1"/>
  <c r="X1122" i="1" s="1"/>
  <c r="W1123" i="1"/>
  <c r="X1123" i="1" s="1"/>
  <c r="W1124" i="1"/>
  <c r="X1124" i="1" s="1"/>
  <c r="W1125" i="1"/>
  <c r="X1125" i="1" s="1"/>
  <c r="W1126" i="1"/>
  <c r="X1126" i="1" s="1"/>
  <c r="W1127" i="1"/>
  <c r="X1127" i="1" s="1"/>
  <c r="W1128" i="1"/>
  <c r="X1128" i="1" s="1"/>
  <c r="W1129" i="1"/>
  <c r="X1129" i="1" s="1"/>
  <c r="W1130" i="1"/>
  <c r="X1130" i="1" s="1"/>
  <c r="W1131" i="1"/>
  <c r="X1131" i="1" s="1"/>
  <c r="W1132" i="1"/>
  <c r="X1132" i="1" s="1"/>
  <c r="W1133" i="1"/>
  <c r="X1133" i="1" s="1"/>
  <c r="W1134" i="1"/>
  <c r="X1134" i="1" s="1"/>
  <c r="W1135" i="1"/>
  <c r="X1135" i="1" s="1"/>
  <c r="W1136" i="1"/>
  <c r="X1136" i="1" s="1"/>
  <c r="W1137" i="1"/>
  <c r="X1137" i="1" s="1"/>
  <c r="W1138" i="1"/>
  <c r="X1138" i="1" s="1"/>
  <c r="W1139" i="1"/>
  <c r="X1139" i="1" s="1"/>
  <c r="W1140" i="1"/>
  <c r="X1140" i="1" s="1"/>
  <c r="W1141" i="1"/>
  <c r="X1141" i="1" s="1"/>
  <c r="W1142" i="1"/>
  <c r="X1142" i="1" s="1"/>
  <c r="W1143" i="1"/>
  <c r="X1143" i="1" s="1"/>
  <c r="W1144" i="1"/>
  <c r="X1144" i="1" s="1"/>
  <c r="W1145" i="1"/>
  <c r="X1145" i="1" s="1"/>
  <c r="W1146" i="1"/>
  <c r="X1146" i="1" s="1"/>
  <c r="W1147" i="1"/>
  <c r="X1147" i="1" s="1"/>
  <c r="W1148" i="1"/>
  <c r="X1148" i="1" s="1"/>
  <c r="W1149" i="1"/>
  <c r="X1149" i="1" s="1"/>
  <c r="W1150" i="1"/>
  <c r="X1150" i="1" s="1"/>
  <c r="W1151" i="1"/>
  <c r="X1151" i="1" s="1"/>
  <c r="W1152" i="1"/>
  <c r="X1152" i="1" s="1"/>
  <c r="W1153" i="1"/>
  <c r="X1153" i="1" s="1"/>
  <c r="W1154" i="1"/>
  <c r="X1154" i="1" s="1"/>
  <c r="W1155" i="1"/>
  <c r="X1155" i="1" s="1"/>
  <c r="W1156" i="1"/>
  <c r="X1156" i="1" s="1"/>
  <c r="W1157" i="1"/>
  <c r="X1157" i="1" s="1"/>
  <c r="W1158" i="1"/>
  <c r="X1158" i="1" s="1"/>
  <c r="W1159" i="1"/>
  <c r="X1159" i="1" s="1"/>
  <c r="W1160" i="1"/>
  <c r="X1160" i="1" s="1"/>
  <c r="W1161" i="1"/>
  <c r="X1161" i="1" s="1"/>
  <c r="W1162" i="1"/>
  <c r="X1162" i="1" s="1"/>
  <c r="W1163" i="1"/>
  <c r="X1163" i="1" s="1"/>
  <c r="W1164" i="1"/>
  <c r="X1164" i="1" s="1"/>
  <c r="W1165" i="1"/>
  <c r="X1165" i="1" s="1"/>
  <c r="W1166" i="1"/>
  <c r="X1166" i="1" s="1"/>
  <c r="W1167" i="1"/>
  <c r="X1167" i="1" s="1"/>
  <c r="W1168" i="1"/>
  <c r="X1168" i="1" s="1"/>
  <c r="W1169" i="1"/>
  <c r="X1169" i="1" s="1"/>
  <c r="W1170" i="1"/>
  <c r="X1170" i="1" s="1"/>
  <c r="W1171" i="1"/>
  <c r="X1171" i="1" s="1"/>
  <c r="W1172" i="1"/>
  <c r="X1172" i="1" s="1"/>
  <c r="W1173" i="1"/>
  <c r="X1173" i="1" s="1"/>
  <c r="W1174" i="1"/>
  <c r="X1174" i="1" s="1"/>
  <c r="W1175" i="1"/>
  <c r="X1175" i="1" s="1"/>
  <c r="W1176" i="1"/>
  <c r="X1176" i="1" s="1"/>
  <c r="W1177" i="1"/>
  <c r="X1177" i="1" s="1"/>
  <c r="W1178" i="1"/>
  <c r="X1178" i="1" s="1"/>
  <c r="W1179" i="1"/>
  <c r="X1179" i="1" s="1"/>
  <c r="W1180" i="1"/>
  <c r="X1180" i="1" s="1"/>
  <c r="W1181" i="1"/>
  <c r="X1181" i="1" s="1"/>
  <c r="W1182" i="1"/>
  <c r="X1182" i="1" s="1"/>
  <c r="W1183" i="1"/>
  <c r="X1183" i="1" s="1"/>
  <c r="W1184" i="1"/>
  <c r="X1184" i="1" s="1"/>
  <c r="W1185" i="1"/>
  <c r="X1185" i="1" s="1"/>
  <c r="W1186" i="1"/>
  <c r="X1186" i="1" s="1"/>
  <c r="W1187" i="1"/>
  <c r="X1187" i="1" s="1"/>
  <c r="W1188" i="1"/>
  <c r="X1188" i="1" s="1"/>
  <c r="W1189" i="1"/>
  <c r="X1189" i="1" s="1"/>
  <c r="W1190" i="1"/>
  <c r="X1190" i="1" s="1"/>
  <c r="W1191" i="1"/>
  <c r="X1191" i="1" s="1"/>
  <c r="W1192" i="1"/>
  <c r="X1192" i="1" s="1"/>
  <c r="W1193" i="1"/>
  <c r="X1193" i="1" s="1"/>
  <c r="W1194" i="1"/>
  <c r="X1194" i="1" s="1"/>
  <c r="W1195" i="1"/>
  <c r="X1195" i="1" s="1"/>
  <c r="W1196" i="1"/>
  <c r="X1196" i="1" s="1"/>
  <c r="W1197" i="1"/>
  <c r="X1197" i="1" s="1"/>
  <c r="W1198" i="1"/>
  <c r="X1198" i="1" s="1"/>
  <c r="W1199" i="1"/>
  <c r="X1199" i="1" s="1"/>
  <c r="W1200" i="1"/>
  <c r="X1200" i="1" s="1"/>
  <c r="W1201" i="1"/>
  <c r="X1201" i="1" s="1"/>
  <c r="W1202" i="1"/>
  <c r="X1202" i="1" s="1"/>
  <c r="W1203" i="1"/>
  <c r="X1203" i="1" s="1"/>
  <c r="W1204" i="1"/>
  <c r="X1204" i="1" s="1"/>
  <c r="W1205" i="1"/>
  <c r="X1205" i="1" s="1"/>
  <c r="W1206" i="1"/>
  <c r="X1206" i="1" s="1"/>
  <c r="W1207" i="1"/>
  <c r="X1207" i="1" s="1"/>
  <c r="W1208" i="1"/>
  <c r="X1208" i="1" s="1"/>
  <c r="W1209" i="1"/>
  <c r="X1209" i="1" s="1"/>
  <c r="W1210" i="1"/>
  <c r="X1210" i="1" s="1"/>
  <c r="W1211" i="1"/>
  <c r="X1211" i="1" s="1"/>
  <c r="W1212" i="1"/>
  <c r="X1212" i="1" s="1"/>
  <c r="W1213" i="1"/>
  <c r="X1213" i="1" s="1"/>
  <c r="W1214" i="1"/>
  <c r="X1214" i="1" s="1"/>
  <c r="W1215" i="1"/>
  <c r="X1215" i="1" s="1"/>
  <c r="W1216" i="1"/>
  <c r="X1216" i="1" s="1"/>
  <c r="W1217" i="1"/>
  <c r="X1217" i="1" s="1"/>
  <c r="W1218" i="1"/>
  <c r="X1218" i="1" s="1"/>
  <c r="W1219" i="1"/>
  <c r="X1219" i="1" s="1"/>
  <c r="W1220" i="1"/>
  <c r="X1220" i="1" s="1"/>
  <c r="W1221" i="1"/>
  <c r="X1221" i="1" s="1"/>
  <c r="W1222" i="1"/>
  <c r="X1222" i="1" s="1"/>
  <c r="W1223" i="1"/>
  <c r="X1223" i="1" s="1"/>
  <c r="W1224" i="1"/>
  <c r="X1224" i="1" s="1"/>
  <c r="W1225" i="1"/>
  <c r="X1225" i="1" s="1"/>
  <c r="W1226" i="1"/>
  <c r="X1226" i="1" s="1"/>
  <c r="W1227" i="1"/>
  <c r="X1227" i="1" s="1"/>
  <c r="W1228" i="1"/>
  <c r="X1228" i="1" s="1"/>
  <c r="W1229" i="1"/>
  <c r="X1229" i="1" s="1"/>
  <c r="W1230" i="1"/>
  <c r="X1230" i="1" s="1"/>
  <c r="W1231" i="1"/>
  <c r="X1231" i="1" s="1"/>
  <c r="W1232" i="1"/>
  <c r="X1232" i="1" s="1"/>
  <c r="W1233" i="1"/>
  <c r="X1233" i="1" s="1"/>
  <c r="W1234" i="1"/>
  <c r="X1234" i="1" s="1"/>
  <c r="W1235" i="1"/>
  <c r="X1235" i="1" s="1"/>
  <c r="W1236" i="1"/>
  <c r="X1236" i="1" s="1"/>
  <c r="W1237" i="1"/>
  <c r="X1237" i="1" s="1"/>
  <c r="W1238" i="1"/>
  <c r="X1238" i="1" s="1"/>
  <c r="W1239" i="1"/>
  <c r="X1239" i="1" s="1"/>
  <c r="W1240" i="1"/>
  <c r="X1240" i="1" s="1"/>
  <c r="W1241" i="1"/>
  <c r="X1241" i="1" s="1"/>
  <c r="W1242" i="1"/>
  <c r="X1242" i="1" s="1"/>
  <c r="W1243" i="1"/>
  <c r="X1243" i="1" s="1"/>
  <c r="W1244" i="1"/>
  <c r="X1244" i="1" s="1"/>
  <c r="W1245" i="1"/>
  <c r="X1245" i="1" s="1"/>
  <c r="W1246" i="1"/>
  <c r="X1246" i="1" s="1"/>
  <c r="W1247" i="1"/>
  <c r="X1247" i="1" s="1"/>
  <c r="W1248" i="1"/>
  <c r="X1248" i="1" s="1"/>
  <c r="W1249" i="1"/>
  <c r="X1249" i="1" s="1"/>
  <c r="W1250" i="1"/>
  <c r="X1250" i="1" s="1"/>
  <c r="W1251" i="1"/>
  <c r="X1251" i="1" s="1"/>
  <c r="W1252" i="1"/>
  <c r="X1252" i="1" s="1"/>
  <c r="W1253" i="1"/>
  <c r="X1253" i="1" s="1"/>
  <c r="W1254" i="1"/>
  <c r="X1254" i="1" s="1"/>
  <c r="W1255" i="1"/>
  <c r="X1255" i="1" s="1"/>
  <c r="W1256" i="1"/>
  <c r="X1256" i="1" s="1"/>
  <c r="W1257" i="1"/>
  <c r="X1257" i="1" s="1"/>
  <c r="W1258" i="1"/>
  <c r="X1258" i="1" s="1"/>
  <c r="W1259" i="1"/>
  <c r="X1259" i="1" s="1"/>
  <c r="W1260" i="1"/>
  <c r="X1260" i="1" s="1"/>
  <c r="W1261" i="1"/>
  <c r="X1261" i="1" s="1"/>
  <c r="W1262" i="1"/>
  <c r="X1262" i="1" s="1"/>
  <c r="W1263" i="1"/>
  <c r="X1263" i="1" s="1"/>
  <c r="W1264" i="1"/>
  <c r="X1264" i="1" s="1"/>
  <c r="W1265" i="1"/>
  <c r="X1265" i="1" s="1"/>
  <c r="W1266" i="1"/>
  <c r="X1266" i="1" s="1"/>
  <c r="W1267" i="1"/>
  <c r="X1267" i="1" s="1"/>
  <c r="W1268" i="1"/>
  <c r="X1268" i="1" s="1"/>
  <c r="W1269" i="1"/>
  <c r="X1269" i="1" s="1"/>
  <c r="W1270" i="1"/>
  <c r="X1270" i="1" s="1"/>
  <c r="W1271" i="1"/>
  <c r="X1271" i="1" s="1"/>
  <c r="W1272" i="1"/>
  <c r="X1272" i="1" s="1"/>
  <c r="W1273" i="1"/>
  <c r="X1273" i="1" s="1"/>
  <c r="W1274" i="1"/>
  <c r="X1274" i="1" s="1"/>
  <c r="W1275" i="1"/>
  <c r="X1275" i="1" s="1"/>
  <c r="W1276" i="1"/>
  <c r="X1276" i="1" s="1"/>
  <c r="W1277" i="1"/>
  <c r="X1277" i="1" s="1"/>
  <c r="W1278" i="1"/>
  <c r="X1278" i="1" s="1"/>
  <c r="W1279" i="1"/>
  <c r="X1279" i="1" s="1"/>
  <c r="W1280" i="1"/>
  <c r="X1280" i="1" s="1"/>
  <c r="W1281" i="1"/>
  <c r="X1281" i="1" s="1"/>
  <c r="W1282" i="1"/>
  <c r="X1282" i="1" s="1"/>
  <c r="W1283" i="1"/>
  <c r="X1283" i="1" s="1"/>
  <c r="W1284" i="1"/>
  <c r="X1284" i="1" s="1"/>
  <c r="W1285" i="1"/>
  <c r="X1285" i="1" s="1"/>
  <c r="W1286" i="1"/>
  <c r="X1286" i="1" s="1"/>
  <c r="W1287" i="1"/>
  <c r="X1287" i="1" s="1"/>
  <c r="W1288" i="1"/>
  <c r="X1288" i="1" s="1"/>
  <c r="W1289" i="1"/>
  <c r="X1289" i="1" s="1"/>
  <c r="W1290" i="1"/>
  <c r="X1290" i="1" s="1"/>
  <c r="W1291" i="1"/>
  <c r="X1291" i="1" s="1"/>
  <c r="W1292" i="1"/>
  <c r="X1292" i="1" s="1"/>
  <c r="W1293" i="1"/>
  <c r="X1293" i="1" s="1"/>
  <c r="W1294" i="1"/>
  <c r="X1294" i="1" s="1"/>
  <c r="W1295" i="1"/>
  <c r="X1295" i="1" s="1"/>
  <c r="W1296" i="1"/>
  <c r="X1296" i="1" s="1"/>
  <c r="W1297" i="1"/>
  <c r="X1297" i="1" s="1"/>
  <c r="W1298" i="1"/>
  <c r="X1298" i="1" s="1"/>
  <c r="W1299" i="1"/>
  <c r="X1299" i="1" s="1"/>
  <c r="W1300" i="1"/>
  <c r="X1300" i="1" s="1"/>
  <c r="W1301" i="1"/>
  <c r="X1301" i="1" s="1"/>
  <c r="W1302" i="1"/>
  <c r="X1302" i="1" s="1"/>
  <c r="W1303" i="1"/>
  <c r="X1303" i="1" s="1"/>
  <c r="W1304" i="1"/>
  <c r="X1304" i="1" s="1"/>
  <c r="W1305" i="1"/>
  <c r="X1305" i="1" s="1"/>
  <c r="W1306" i="1"/>
  <c r="X1306" i="1" s="1"/>
  <c r="W1307" i="1"/>
  <c r="X1307" i="1" s="1"/>
  <c r="W1308" i="1"/>
  <c r="X1308" i="1" s="1"/>
  <c r="W1309" i="1"/>
  <c r="X1309" i="1" s="1"/>
  <c r="W1310" i="1"/>
  <c r="X1310" i="1" s="1"/>
  <c r="W1311" i="1"/>
  <c r="X1311" i="1" s="1"/>
  <c r="W1312" i="1"/>
  <c r="X1312" i="1" s="1"/>
  <c r="W1313" i="1"/>
  <c r="X1313" i="1" s="1"/>
  <c r="W1314" i="1"/>
  <c r="X1314" i="1" s="1"/>
  <c r="W1315" i="1"/>
  <c r="X1315" i="1" s="1"/>
  <c r="W1316" i="1"/>
  <c r="X1316" i="1" s="1"/>
  <c r="W1317" i="1"/>
  <c r="X1317" i="1" s="1"/>
  <c r="W1318" i="1"/>
  <c r="X1318" i="1" s="1"/>
  <c r="W1319" i="1"/>
  <c r="X1319" i="1" s="1"/>
  <c r="W1320" i="1"/>
  <c r="X1320" i="1" s="1"/>
  <c r="W1321" i="1"/>
  <c r="X1321" i="1" s="1"/>
  <c r="W1322" i="1"/>
  <c r="X1322" i="1" s="1"/>
  <c r="W1323" i="1"/>
  <c r="X1323" i="1" s="1"/>
  <c r="W1324" i="1"/>
  <c r="X1324" i="1" s="1"/>
  <c r="W1325" i="1"/>
  <c r="X1325" i="1" s="1"/>
  <c r="W1326" i="1"/>
  <c r="X1326" i="1" s="1"/>
  <c r="W1327" i="1"/>
  <c r="X1327" i="1" s="1"/>
  <c r="W1328" i="1"/>
  <c r="X1328" i="1" s="1"/>
  <c r="W1329" i="1"/>
  <c r="X1329" i="1" s="1"/>
  <c r="W1330" i="1"/>
  <c r="X1330" i="1" s="1"/>
  <c r="W1331" i="1"/>
  <c r="X1331" i="1" s="1"/>
  <c r="W1332" i="1"/>
  <c r="X1332" i="1" s="1"/>
  <c r="W1333" i="1"/>
  <c r="X1333" i="1" s="1"/>
  <c r="W1334" i="1"/>
  <c r="X1334" i="1" s="1"/>
  <c r="W1335" i="1"/>
  <c r="X1335" i="1" s="1"/>
  <c r="W1336" i="1"/>
  <c r="X1336" i="1" s="1"/>
  <c r="W1337" i="1"/>
  <c r="X1337" i="1" s="1"/>
  <c r="W1338" i="1"/>
  <c r="X1338" i="1" s="1"/>
  <c r="W1339" i="1"/>
  <c r="X1339" i="1" s="1"/>
  <c r="W1340" i="1"/>
  <c r="X1340" i="1" s="1"/>
  <c r="W1341" i="1"/>
  <c r="X1341" i="1" s="1"/>
  <c r="W1342" i="1"/>
  <c r="X1342" i="1" s="1"/>
  <c r="W1343" i="1"/>
  <c r="X1343" i="1" s="1"/>
  <c r="W1344" i="1"/>
  <c r="X1344" i="1" s="1"/>
  <c r="W1345" i="1"/>
  <c r="X1345" i="1" s="1"/>
  <c r="W1346" i="1"/>
  <c r="X1346" i="1" s="1"/>
  <c r="W1347" i="1"/>
  <c r="X1347" i="1" s="1"/>
  <c r="W1348" i="1"/>
  <c r="X1348" i="1" s="1"/>
  <c r="W1349" i="1"/>
  <c r="X1349" i="1" s="1"/>
  <c r="W1350" i="1"/>
  <c r="X1350" i="1" s="1"/>
  <c r="W1351" i="1"/>
  <c r="X1351" i="1" s="1"/>
  <c r="W1352" i="1"/>
  <c r="X1352" i="1" s="1"/>
  <c r="W1353" i="1"/>
  <c r="X1353" i="1" s="1"/>
  <c r="W1354" i="1"/>
  <c r="X1354" i="1" s="1"/>
  <c r="W1355" i="1"/>
  <c r="X1355" i="1" s="1"/>
  <c r="W1356" i="1"/>
  <c r="X1356" i="1" s="1"/>
  <c r="W1357" i="1"/>
  <c r="X1357" i="1" s="1"/>
  <c r="W1358" i="1"/>
  <c r="X1358" i="1" s="1"/>
  <c r="W1359" i="1"/>
  <c r="X1359" i="1" s="1"/>
  <c r="W1360" i="1"/>
  <c r="X1360" i="1" s="1"/>
  <c r="W1361" i="1"/>
  <c r="X1361" i="1" s="1"/>
  <c r="W1362" i="1"/>
  <c r="X1362" i="1" s="1"/>
  <c r="W1363" i="1"/>
  <c r="X1363" i="1" s="1"/>
  <c r="W1364" i="1"/>
  <c r="X1364" i="1" s="1"/>
  <c r="W1365" i="1"/>
  <c r="X1365" i="1" s="1"/>
  <c r="W1366" i="1"/>
  <c r="X1366" i="1" s="1"/>
  <c r="W1367" i="1"/>
  <c r="X1367" i="1" s="1"/>
  <c r="W1368" i="1"/>
  <c r="X1368" i="1" s="1"/>
  <c r="W1369" i="1"/>
  <c r="X1369" i="1" s="1"/>
  <c r="W1370" i="1"/>
  <c r="X1370" i="1" s="1"/>
  <c r="W1371" i="1"/>
  <c r="X1371" i="1" s="1"/>
  <c r="W1372" i="1"/>
  <c r="X1372" i="1" s="1"/>
  <c r="W1373" i="1"/>
  <c r="X1373" i="1" s="1"/>
  <c r="W1374" i="1"/>
  <c r="X1374" i="1" s="1"/>
  <c r="W1375" i="1"/>
  <c r="X1375" i="1" s="1"/>
  <c r="W1376" i="1"/>
  <c r="X1376" i="1" s="1"/>
  <c r="W1377" i="1"/>
  <c r="X1377" i="1" s="1"/>
  <c r="W1378" i="1"/>
  <c r="X1378" i="1" s="1"/>
  <c r="W1379" i="1"/>
  <c r="X1379" i="1" s="1"/>
  <c r="W1380" i="1"/>
  <c r="X1380" i="1" s="1"/>
  <c r="W1381" i="1"/>
  <c r="X1381" i="1" s="1"/>
  <c r="W1382" i="1"/>
  <c r="X1382" i="1" s="1"/>
  <c r="W1383" i="1"/>
  <c r="X1383" i="1" s="1"/>
  <c r="W1384" i="1"/>
  <c r="X1384" i="1" s="1"/>
  <c r="W1385" i="1"/>
  <c r="X1385" i="1" s="1"/>
  <c r="W1386" i="1"/>
  <c r="X1386" i="1" s="1"/>
  <c r="W1387" i="1"/>
  <c r="X1387" i="1" s="1"/>
  <c r="W1388" i="1"/>
  <c r="X1388" i="1" s="1"/>
  <c r="W1389" i="1"/>
  <c r="X1389" i="1" s="1"/>
  <c r="W1390" i="1"/>
  <c r="X1390" i="1" s="1"/>
  <c r="W1391" i="1"/>
  <c r="X1391" i="1" s="1"/>
  <c r="W1392" i="1"/>
  <c r="X1392" i="1" s="1"/>
  <c r="W1393" i="1"/>
  <c r="X1393" i="1" s="1"/>
  <c r="W1394" i="1"/>
  <c r="X1394" i="1" s="1"/>
  <c r="W1395" i="1"/>
  <c r="X1395" i="1" s="1"/>
  <c r="W1396" i="1"/>
  <c r="X1396" i="1" s="1"/>
  <c r="W1397" i="1"/>
  <c r="X1397" i="1" s="1"/>
  <c r="W1398" i="1"/>
  <c r="X1398" i="1" s="1"/>
  <c r="W1399" i="1"/>
  <c r="X1399" i="1" s="1"/>
  <c r="W1400" i="1"/>
  <c r="X1400" i="1" s="1"/>
  <c r="W1401" i="1"/>
  <c r="X1401" i="1" s="1"/>
  <c r="W1402" i="1"/>
  <c r="X1402" i="1" s="1"/>
  <c r="W1403" i="1"/>
  <c r="X1403" i="1" s="1"/>
  <c r="W1404" i="1"/>
  <c r="X1404" i="1" s="1"/>
  <c r="W1405" i="1"/>
  <c r="X1405" i="1" s="1"/>
  <c r="W1406" i="1"/>
  <c r="X1406" i="1" s="1"/>
  <c r="W1407" i="1"/>
  <c r="X1407" i="1" s="1"/>
  <c r="W1408" i="1"/>
  <c r="X1408" i="1" s="1"/>
  <c r="W1409" i="1"/>
  <c r="X1409" i="1" s="1"/>
  <c r="W1410" i="1"/>
  <c r="X1410" i="1" s="1"/>
  <c r="W1411" i="1"/>
  <c r="X1411" i="1" s="1"/>
  <c r="W1412" i="1"/>
  <c r="X1412" i="1" s="1"/>
  <c r="W1413" i="1"/>
  <c r="X1413" i="1" s="1"/>
  <c r="W1414" i="1"/>
  <c r="X1414" i="1" s="1"/>
  <c r="W1415" i="1"/>
  <c r="X1415" i="1" s="1"/>
  <c r="W1416" i="1"/>
  <c r="X1416" i="1" s="1"/>
  <c r="W1417" i="1"/>
  <c r="X1417" i="1" s="1"/>
  <c r="W1418" i="1"/>
  <c r="X1418" i="1" s="1"/>
  <c r="W1419" i="1"/>
  <c r="X1419" i="1" s="1"/>
  <c r="W1420" i="1"/>
  <c r="X1420" i="1" s="1"/>
  <c r="W1421" i="1"/>
  <c r="X1421" i="1" s="1"/>
  <c r="W1422" i="1"/>
  <c r="X1422" i="1" s="1"/>
  <c r="W1423" i="1"/>
  <c r="X1423" i="1" s="1"/>
  <c r="W1424" i="1"/>
  <c r="X1424" i="1" s="1"/>
  <c r="W1425" i="1"/>
  <c r="X1425" i="1" s="1"/>
  <c r="W1426" i="1"/>
  <c r="X1426" i="1" s="1"/>
  <c r="W1427" i="1"/>
  <c r="X1427" i="1" s="1"/>
  <c r="W1428" i="1"/>
  <c r="X1428" i="1" s="1"/>
  <c r="W1429" i="1"/>
  <c r="X1429" i="1" s="1"/>
  <c r="W1430" i="1"/>
  <c r="X1430" i="1" s="1"/>
  <c r="W1431" i="1"/>
  <c r="X1431" i="1" s="1"/>
  <c r="W1432" i="1"/>
  <c r="X1432" i="1" s="1"/>
  <c r="W1433" i="1"/>
  <c r="X1433" i="1" s="1"/>
  <c r="W1434" i="1"/>
  <c r="X1434" i="1" s="1"/>
  <c r="W1435" i="1"/>
  <c r="X1435" i="1" s="1"/>
  <c r="W1436" i="1"/>
  <c r="X1436" i="1" s="1"/>
  <c r="W1437" i="1"/>
  <c r="X1437" i="1" s="1"/>
  <c r="W1438" i="1"/>
  <c r="X1438" i="1" s="1"/>
  <c r="W1439" i="1"/>
  <c r="X1439" i="1" s="1"/>
  <c r="W1440" i="1"/>
  <c r="X1440" i="1" s="1"/>
  <c r="W1441" i="1"/>
  <c r="X1441" i="1" s="1"/>
  <c r="W1442" i="1"/>
  <c r="X1442" i="1" s="1"/>
  <c r="W1443" i="1"/>
  <c r="X1443" i="1" s="1"/>
  <c r="W1444" i="1"/>
  <c r="X1444" i="1" s="1"/>
  <c r="W1445" i="1"/>
  <c r="X1445" i="1" s="1"/>
  <c r="W1446" i="1"/>
  <c r="X1446" i="1" s="1"/>
  <c r="W1447" i="1"/>
  <c r="X1447" i="1" s="1"/>
  <c r="W1448" i="1"/>
  <c r="X1448" i="1" s="1"/>
  <c r="W1449" i="1"/>
  <c r="X1449" i="1" s="1"/>
  <c r="W1450" i="1"/>
  <c r="X1450" i="1" s="1"/>
  <c r="W1451" i="1"/>
  <c r="X1451" i="1" s="1"/>
  <c r="W1452" i="1"/>
  <c r="X1452" i="1" s="1"/>
  <c r="W1453" i="1"/>
  <c r="X1453" i="1" s="1"/>
  <c r="W1454" i="1"/>
  <c r="X1454" i="1" s="1"/>
  <c r="W1455" i="1"/>
  <c r="X1455" i="1" s="1"/>
  <c r="W1456" i="1"/>
  <c r="X1456" i="1" s="1"/>
  <c r="W1457" i="1"/>
  <c r="X1457" i="1" s="1"/>
  <c r="W1458" i="1"/>
  <c r="X1458" i="1" s="1"/>
  <c r="W1459" i="1"/>
  <c r="X1459" i="1" s="1"/>
  <c r="W1460" i="1"/>
  <c r="X1460" i="1" s="1"/>
  <c r="W1461" i="1"/>
  <c r="X1461" i="1" s="1"/>
  <c r="W1462" i="1"/>
  <c r="X1462" i="1" s="1"/>
  <c r="W1463" i="1"/>
  <c r="X1463" i="1" s="1"/>
  <c r="W1464" i="1"/>
  <c r="X1464" i="1" s="1"/>
  <c r="W1465" i="1"/>
  <c r="X1465" i="1" s="1"/>
  <c r="W1466" i="1"/>
  <c r="X1466" i="1" s="1"/>
  <c r="W1467" i="1"/>
  <c r="X1467" i="1" s="1"/>
  <c r="W1468" i="1"/>
  <c r="X1468" i="1" s="1"/>
  <c r="W1469" i="1"/>
  <c r="X1469" i="1" s="1"/>
  <c r="W1470" i="1"/>
  <c r="X1470" i="1" s="1"/>
  <c r="W1471" i="1"/>
  <c r="X1471" i="1" s="1"/>
  <c r="W1472" i="1"/>
  <c r="X1472" i="1" s="1"/>
  <c r="W1473" i="1"/>
  <c r="X1473" i="1" s="1"/>
  <c r="W1474" i="1"/>
  <c r="X1474" i="1" s="1"/>
  <c r="W1475" i="1"/>
  <c r="X1475" i="1" s="1"/>
  <c r="W1476" i="1"/>
  <c r="X1476" i="1" s="1"/>
  <c r="W1477" i="1"/>
  <c r="X1477" i="1" s="1"/>
  <c r="W1478" i="1"/>
  <c r="X1478" i="1" s="1"/>
  <c r="W1479" i="1"/>
  <c r="X1479" i="1" s="1"/>
  <c r="W1480" i="1"/>
  <c r="X1480" i="1" s="1"/>
  <c r="W1481" i="1"/>
  <c r="X1481" i="1" s="1"/>
  <c r="W1482" i="1"/>
  <c r="X1482" i="1" s="1"/>
  <c r="W1483" i="1"/>
  <c r="X1483" i="1" s="1"/>
  <c r="W1484" i="1"/>
  <c r="X1484" i="1" s="1"/>
  <c r="W1485" i="1"/>
  <c r="X1485" i="1" s="1"/>
  <c r="W1486" i="1"/>
  <c r="X1486" i="1" s="1"/>
  <c r="W1487" i="1"/>
  <c r="X1487" i="1" s="1"/>
  <c r="W1488" i="1"/>
  <c r="X1488" i="1" s="1"/>
  <c r="W1489" i="1"/>
  <c r="X1489" i="1" s="1"/>
  <c r="W1490" i="1"/>
  <c r="X1490" i="1" s="1"/>
  <c r="W1491" i="1"/>
  <c r="X1491" i="1" s="1"/>
  <c r="W1492" i="1"/>
  <c r="X1492" i="1" s="1"/>
  <c r="W1493" i="1"/>
  <c r="X1493" i="1" s="1"/>
  <c r="W1494" i="1"/>
  <c r="X1494" i="1" s="1"/>
  <c r="W1495" i="1"/>
  <c r="X1495" i="1" s="1"/>
  <c r="W1496" i="1"/>
  <c r="X1496" i="1" s="1"/>
  <c r="W1497" i="1"/>
  <c r="X1497" i="1" s="1"/>
  <c r="W1498" i="1"/>
  <c r="X1498" i="1" s="1"/>
  <c r="W1499" i="1"/>
  <c r="X1499" i="1" s="1"/>
  <c r="W1500" i="1"/>
  <c r="X1500" i="1" s="1"/>
  <c r="W1501" i="1"/>
  <c r="X1501" i="1" s="1"/>
  <c r="W2" i="1"/>
  <c r="X2" i="1"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 r="U18" i="1"/>
  <c r="U30" i="1"/>
  <c r="U32" i="1"/>
  <c r="U33" i="1"/>
  <c r="U34" i="1"/>
  <c r="U42" i="1"/>
  <c r="U66" i="1"/>
  <c r="U67" i="1"/>
  <c r="U78" i="1"/>
  <c r="U90" i="1"/>
  <c r="U93" i="1"/>
  <c r="U95" i="1"/>
  <c r="U105" i="1"/>
  <c r="U114" i="1"/>
  <c r="U131" i="1"/>
  <c r="U151" i="1"/>
  <c r="U153" i="1"/>
  <c r="U156" i="1"/>
  <c r="U162" i="1"/>
  <c r="U165" i="1"/>
  <c r="U174" i="1"/>
  <c r="U186" i="1"/>
  <c r="U190" i="1"/>
  <c r="U202" i="1"/>
  <c r="U211" i="1"/>
  <c r="U223" i="1"/>
  <c r="U225" i="1"/>
  <c r="U228" i="1"/>
  <c r="U246" i="1"/>
  <c r="U249" i="1"/>
  <c r="U251" i="1"/>
  <c r="U258" i="1"/>
  <c r="U260" i="1"/>
  <c r="U272" i="1"/>
  <c r="U282" i="1"/>
  <c r="U283" i="1"/>
  <c r="U295" i="1"/>
  <c r="U306" i="1"/>
  <c r="U308" i="1"/>
  <c r="U318" i="1"/>
  <c r="U319" i="1"/>
  <c r="U321" i="1"/>
  <c r="U324" i="1"/>
  <c r="U347" i="1"/>
  <c r="U348" i="1"/>
  <c r="U366" i="1"/>
  <c r="U378" i="1"/>
  <c r="U393" i="1"/>
  <c r="U402" i="1"/>
  <c r="U405" i="1"/>
  <c r="U432" i="1"/>
  <c r="U439" i="1"/>
  <c r="U450" i="1"/>
  <c r="U453" i="1"/>
  <c r="U455" i="1"/>
  <c r="U474" i="1"/>
  <c r="U477" i="1"/>
  <c r="U480" i="1"/>
  <c r="U490" i="1"/>
  <c r="U498" i="1"/>
  <c r="U511" i="1"/>
  <c r="U522" i="1"/>
  <c r="U525" i="1"/>
  <c r="U526" i="1"/>
  <c r="U534" i="1"/>
  <c r="U537" i="1"/>
  <c r="U552" i="1"/>
  <c r="U560" i="1"/>
  <c r="U570" i="1"/>
  <c r="U571" i="1"/>
  <c r="U576" i="1"/>
  <c r="U583" i="1"/>
  <c r="U595" i="1"/>
  <c r="U597" i="1"/>
  <c r="U606" i="1"/>
  <c r="U608" i="1"/>
  <c r="U623" i="1"/>
  <c r="U642" i="1"/>
  <c r="U654" i="1"/>
  <c r="U666" i="1"/>
  <c r="U668" i="1"/>
  <c r="U671" i="1"/>
  <c r="U681" i="1"/>
  <c r="U707" i="1"/>
  <c r="U708" i="1"/>
  <c r="U726" i="1"/>
  <c r="U727" i="1"/>
  <c r="U729" i="1"/>
  <c r="U732" i="1"/>
  <c r="U739" i="1"/>
  <c r="U741" i="1"/>
  <c r="U750" i="1"/>
  <c r="U752" i="1"/>
  <c r="U756" i="1"/>
  <c r="U762" i="1"/>
  <c r="U765" i="1"/>
  <c r="U779" i="1"/>
  <c r="U780" i="1"/>
  <c r="U781" i="1"/>
  <c r="U798" i="1"/>
  <c r="U801" i="1"/>
  <c r="U810" i="1"/>
  <c r="U822" i="1"/>
  <c r="U825" i="1"/>
  <c r="U828" i="1"/>
  <c r="U834" i="1"/>
  <c r="U849" i="1"/>
  <c r="U858" i="1"/>
  <c r="U870" i="1"/>
  <c r="U882" i="1"/>
  <c r="U885" i="1"/>
  <c r="U894" i="1"/>
  <c r="U907" i="1"/>
  <c r="U911" i="1"/>
  <c r="U912" i="1"/>
  <c r="U930" i="1"/>
  <c r="U935" i="1"/>
  <c r="U936" i="1"/>
  <c r="U942" i="1"/>
  <c r="U945" i="1"/>
  <c r="U954" i="1"/>
  <c r="U957" i="1"/>
  <c r="U966" i="1"/>
  <c r="U969" i="1"/>
  <c r="U978" i="1"/>
  <c r="U981" i="1"/>
  <c r="U984" i="1"/>
  <c r="U1002" i="1"/>
  <c r="U1014" i="1"/>
  <c r="U1026" i="1"/>
  <c r="U1028" i="1"/>
  <c r="U1041" i="1"/>
  <c r="U1044" i="1"/>
  <c r="U1050" i="1"/>
  <c r="U1064" i="1"/>
  <c r="U1068" i="1"/>
  <c r="U1074" i="1"/>
  <c r="U1086" i="1"/>
  <c r="U1089" i="1"/>
  <c r="U1092" i="1"/>
  <c r="U1098" i="1"/>
  <c r="U1110" i="1"/>
  <c r="U1113" i="1"/>
  <c r="U1122" i="1"/>
  <c r="U1137" i="1"/>
  <c r="U1140" i="1"/>
  <c r="U1146" i="1"/>
  <c r="U1164" i="1"/>
  <c r="U1182" i="1"/>
  <c r="U1183" i="1"/>
  <c r="U1197" i="1"/>
  <c r="U1206" i="1"/>
  <c r="U1218" i="1"/>
  <c r="U1219" i="1"/>
  <c r="U1222" i="1"/>
  <c r="U1224" i="1"/>
  <c r="U1245" i="1"/>
  <c r="U1254" i="1"/>
  <c r="U1260" i="1"/>
  <c r="U1278" i="1"/>
  <c r="U1279" i="1"/>
  <c r="U1284" i="1"/>
  <c r="U1302" i="1"/>
  <c r="U1314" i="1"/>
  <c r="U1315" i="1"/>
  <c r="U1320" i="1"/>
  <c r="U1338" i="1"/>
  <c r="U1343" i="1"/>
  <c r="U1362" i="1"/>
  <c r="U1374" i="1"/>
  <c r="U1386" i="1"/>
  <c r="U1398" i="1"/>
  <c r="U1410" i="1"/>
  <c r="U1414" i="1"/>
  <c r="U1416" i="1"/>
  <c r="U1439" i="1"/>
  <c r="U1447" i="1"/>
  <c r="U1453" i="1"/>
  <c r="U1458" i="1"/>
  <c r="U1483" i="1"/>
  <c r="U1488" i="1"/>
  <c r="T3" i="1"/>
  <c r="U3" i="1" s="1"/>
  <c r="T4" i="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T19" i="1"/>
  <c r="U19" i="1" s="1"/>
  <c r="T20" i="1"/>
  <c r="U20" i="1" s="1"/>
  <c r="T21" i="1"/>
  <c r="U21" i="1" s="1"/>
  <c r="T22" i="1"/>
  <c r="U22" i="1" s="1"/>
  <c r="T23" i="1"/>
  <c r="U23" i="1" s="1"/>
  <c r="T24" i="1"/>
  <c r="U24" i="1" s="1"/>
  <c r="T25" i="1"/>
  <c r="U25" i="1" s="1"/>
  <c r="T26" i="1"/>
  <c r="U26" i="1" s="1"/>
  <c r="T27" i="1"/>
  <c r="U27" i="1" s="1"/>
  <c r="T28" i="1"/>
  <c r="U28" i="1" s="1"/>
  <c r="T29" i="1"/>
  <c r="U29" i="1" s="1"/>
  <c r="T30" i="1"/>
  <c r="T31" i="1"/>
  <c r="U31" i="1" s="1"/>
  <c r="T32" i="1"/>
  <c r="T33" i="1"/>
  <c r="T34" i="1"/>
  <c r="T35" i="1"/>
  <c r="U35" i="1" s="1"/>
  <c r="T36" i="1"/>
  <c r="U36" i="1" s="1"/>
  <c r="T37" i="1"/>
  <c r="U37" i="1" s="1"/>
  <c r="T38" i="1"/>
  <c r="U38" i="1" s="1"/>
  <c r="T39" i="1"/>
  <c r="U39" i="1" s="1"/>
  <c r="T40" i="1"/>
  <c r="U40" i="1" s="1"/>
  <c r="T41" i="1"/>
  <c r="U41" i="1" s="1"/>
  <c r="T42" i="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T67" i="1"/>
  <c r="T68" i="1"/>
  <c r="U68" i="1" s="1"/>
  <c r="T69" i="1"/>
  <c r="U69" i="1" s="1"/>
  <c r="T70" i="1"/>
  <c r="U70" i="1" s="1"/>
  <c r="T71" i="1"/>
  <c r="U71" i="1" s="1"/>
  <c r="T72" i="1"/>
  <c r="U72" i="1" s="1"/>
  <c r="T73" i="1"/>
  <c r="U73" i="1" s="1"/>
  <c r="T74" i="1"/>
  <c r="U74" i="1" s="1"/>
  <c r="T75" i="1"/>
  <c r="U75" i="1" s="1"/>
  <c r="T76" i="1"/>
  <c r="U76" i="1" s="1"/>
  <c r="T77" i="1"/>
  <c r="U77" i="1" s="1"/>
  <c r="T78" i="1"/>
  <c r="T79" i="1"/>
  <c r="U79" i="1" s="1"/>
  <c r="T80" i="1"/>
  <c r="U80" i="1" s="1"/>
  <c r="T81" i="1"/>
  <c r="U81" i="1" s="1"/>
  <c r="T82" i="1"/>
  <c r="U82" i="1" s="1"/>
  <c r="T83" i="1"/>
  <c r="U83" i="1" s="1"/>
  <c r="T84" i="1"/>
  <c r="U84" i="1" s="1"/>
  <c r="T85" i="1"/>
  <c r="U85" i="1" s="1"/>
  <c r="T86" i="1"/>
  <c r="U86" i="1" s="1"/>
  <c r="T87" i="1"/>
  <c r="U87" i="1" s="1"/>
  <c r="T88" i="1"/>
  <c r="U88" i="1" s="1"/>
  <c r="T89" i="1"/>
  <c r="U89" i="1" s="1"/>
  <c r="T90" i="1"/>
  <c r="T91" i="1"/>
  <c r="U91" i="1" s="1"/>
  <c r="T92" i="1"/>
  <c r="U92" i="1" s="1"/>
  <c r="T93" i="1"/>
  <c r="T94" i="1"/>
  <c r="U94" i="1" s="1"/>
  <c r="T95" i="1"/>
  <c r="T96" i="1"/>
  <c r="U96" i="1" s="1"/>
  <c r="T97" i="1"/>
  <c r="U97" i="1" s="1"/>
  <c r="T98" i="1"/>
  <c r="U98" i="1" s="1"/>
  <c r="T99" i="1"/>
  <c r="U99" i="1" s="1"/>
  <c r="T100" i="1"/>
  <c r="U100" i="1" s="1"/>
  <c r="T101" i="1"/>
  <c r="U101" i="1" s="1"/>
  <c r="T102" i="1"/>
  <c r="U102" i="1" s="1"/>
  <c r="T103" i="1"/>
  <c r="U103" i="1" s="1"/>
  <c r="T104" i="1"/>
  <c r="U104" i="1" s="1"/>
  <c r="T105" i="1"/>
  <c r="T106" i="1"/>
  <c r="U106" i="1" s="1"/>
  <c r="T107" i="1"/>
  <c r="U107" i="1" s="1"/>
  <c r="T108" i="1"/>
  <c r="U108" i="1" s="1"/>
  <c r="T109" i="1"/>
  <c r="U109" i="1" s="1"/>
  <c r="T110" i="1"/>
  <c r="U110" i="1" s="1"/>
  <c r="T111" i="1"/>
  <c r="U111" i="1" s="1"/>
  <c r="T112" i="1"/>
  <c r="U112" i="1" s="1"/>
  <c r="T113" i="1"/>
  <c r="U113" i="1" s="1"/>
  <c r="T114" i="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T152" i="1"/>
  <c r="U152" i="1" s="1"/>
  <c r="T153" i="1"/>
  <c r="T154" i="1"/>
  <c r="U154" i="1" s="1"/>
  <c r="T155" i="1"/>
  <c r="U155" i="1" s="1"/>
  <c r="T156" i="1"/>
  <c r="T157" i="1"/>
  <c r="U157" i="1" s="1"/>
  <c r="T158" i="1"/>
  <c r="U158" i="1" s="1"/>
  <c r="T159" i="1"/>
  <c r="U159" i="1" s="1"/>
  <c r="T160" i="1"/>
  <c r="U160" i="1" s="1"/>
  <c r="T161" i="1"/>
  <c r="U161" i="1" s="1"/>
  <c r="T162" i="1"/>
  <c r="T163" i="1"/>
  <c r="U163" i="1" s="1"/>
  <c r="T164" i="1"/>
  <c r="U164" i="1" s="1"/>
  <c r="T165" i="1"/>
  <c r="T166" i="1"/>
  <c r="U166" i="1" s="1"/>
  <c r="T167" i="1"/>
  <c r="U167" i="1" s="1"/>
  <c r="T168" i="1"/>
  <c r="U168" i="1" s="1"/>
  <c r="T169" i="1"/>
  <c r="U169" i="1" s="1"/>
  <c r="T170" i="1"/>
  <c r="U170" i="1" s="1"/>
  <c r="T171" i="1"/>
  <c r="U171" i="1" s="1"/>
  <c r="T172" i="1"/>
  <c r="U172" i="1" s="1"/>
  <c r="T173" i="1"/>
  <c r="U173" i="1" s="1"/>
  <c r="T174" i="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T187" i="1"/>
  <c r="U187" i="1" s="1"/>
  <c r="T188" i="1"/>
  <c r="U188" i="1" s="1"/>
  <c r="T189" i="1"/>
  <c r="U189" i="1" s="1"/>
  <c r="T190" i="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T203" i="1"/>
  <c r="U203" i="1" s="1"/>
  <c r="T204" i="1"/>
  <c r="U204" i="1" s="1"/>
  <c r="T205" i="1"/>
  <c r="U205" i="1" s="1"/>
  <c r="T206" i="1"/>
  <c r="U206" i="1" s="1"/>
  <c r="T207" i="1"/>
  <c r="U207" i="1" s="1"/>
  <c r="T208" i="1"/>
  <c r="U208" i="1" s="1"/>
  <c r="T209" i="1"/>
  <c r="U209" i="1" s="1"/>
  <c r="T210" i="1"/>
  <c r="U210" i="1" s="1"/>
  <c r="T211" i="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T224" i="1"/>
  <c r="U224" i="1" s="1"/>
  <c r="T225" i="1"/>
  <c r="T226" i="1"/>
  <c r="U226" i="1" s="1"/>
  <c r="T227" i="1"/>
  <c r="U227" i="1" s="1"/>
  <c r="T228" i="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T247" i="1"/>
  <c r="U247" i="1" s="1"/>
  <c r="T248" i="1"/>
  <c r="U248" i="1" s="1"/>
  <c r="T249" i="1"/>
  <c r="T250" i="1"/>
  <c r="U250" i="1" s="1"/>
  <c r="T251" i="1"/>
  <c r="T252" i="1"/>
  <c r="U252" i="1" s="1"/>
  <c r="T253" i="1"/>
  <c r="U253" i="1" s="1"/>
  <c r="T254" i="1"/>
  <c r="U254" i="1" s="1"/>
  <c r="T255" i="1"/>
  <c r="U255" i="1" s="1"/>
  <c r="T256" i="1"/>
  <c r="U256" i="1" s="1"/>
  <c r="T257" i="1"/>
  <c r="U257" i="1" s="1"/>
  <c r="T258" i="1"/>
  <c r="T259" i="1"/>
  <c r="U259" i="1" s="1"/>
  <c r="T260" i="1"/>
  <c r="T261" i="1"/>
  <c r="U261" i="1" s="1"/>
  <c r="T262" i="1"/>
  <c r="U262" i="1" s="1"/>
  <c r="T263" i="1"/>
  <c r="U263" i="1" s="1"/>
  <c r="T264" i="1"/>
  <c r="U264" i="1" s="1"/>
  <c r="T265" i="1"/>
  <c r="U265" i="1" s="1"/>
  <c r="T266" i="1"/>
  <c r="U266" i="1" s="1"/>
  <c r="T267" i="1"/>
  <c r="U267" i="1" s="1"/>
  <c r="T268" i="1"/>
  <c r="U268" i="1" s="1"/>
  <c r="T269" i="1"/>
  <c r="U269" i="1" s="1"/>
  <c r="T270" i="1"/>
  <c r="U270" i="1" s="1"/>
  <c r="T271" i="1"/>
  <c r="U271" i="1" s="1"/>
  <c r="T272" i="1"/>
  <c r="T273" i="1"/>
  <c r="U273" i="1" s="1"/>
  <c r="T274" i="1"/>
  <c r="U274" i="1" s="1"/>
  <c r="T275" i="1"/>
  <c r="U275" i="1" s="1"/>
  <c r="T276" i="1"/>
  <c r="U276" i="1" s="1"/>
  <c r="T277" i="1"/>
  <c r="U277" i="1" s="1"/>
  <c r="T278" i="1"/>
  <c r="U278" i="1" s="1"/>
  <c r="T279" i="1"/>
  <c r="U279" i="1" s="1"/>
  <c r="T280" i="1"/>
  <c r="U280" i="1" s="1"/>
  <c r="T281" i="1"/>
  <c r="U281" i="1" s="1"/>
  <c r="T282" i="1"/>
  <c r="T283" i="1"/>
  <c r="T284" i="1"/>
  <c r="U284" i="1" s="1"/>
  <c r="T285" i="1"/>
  <c r="U285" i="1" s="1"/>
  <c r="T286" i="1"/>
  <c r="U286" i="1" s="1"/>
  <c r="T287" i="1"/>
  <c r="U287" i="1" s="1"/>
  <c r="T288" i="1"/>
  <c r="U288" i="1" s="1"/>
  <c r="T289" i="1"/>
  <c r="U289" i="1" s="1"/>
  <c r="T290" i="1"/>
  <c r="U290" i="1" s="1"/>
  <c r="T291" i="1"/>
  <c r="U291" i="1" s="1"/>
  <c r="T292" i="1"/>
  <c r="U292" i="1" s="1"/>
  <c r="T293" i="1"/>
  <c r="U293" i="1" s="1"/>
  <c r="T294" i="1"/>
  <c r="U294" i="1" s="1"/>
  <c r="T295" i="1"/>
  <c r="T296" i="1"/>
  <c r="U296" i="1" s="1"/>
  <c r="T297" i="1"/>
  <c r="U297" i="1" s="1"/>
  <c r="T298" i="1"/>
  <c r="U298" i="1" s="1"/>
  <c r="T299" i="1"/>
  <c r="U299" i="1" s="1"/>
  <c r="T300" i="1"/>
  <c r="U300" i="1" s="1"/>
  <c r="T301" i="1"/>
  <c r="U301" i="1" s="1"/>
  <c r="T302" i="1"/>
  <c r="U302" i="1" s="1"/>
  <c r="T303" i="1"/>
  <c r="U303" i="1" s="1"/>
  <c r="T304" i="1"/>
  <c r="U304" i="1" s="1"/>
  <c r="T305" i="1"/>
  <c r="U305" i="1" s="1"/>
  <c r="T306" i="1"/>
  <c r="T307" i="1"/>
  <c r="U307" i="1" s="1"/>
  <c r="T308" i="1"/>
  <c r="T309" i="1"/>
  <c r="U309" i="1" s="1"/>
  <c r="T310" i="1"/>
  <c r="U310" i="1" s="1"/>
  <c r="T311" i="1"/>
  <c r="U311" i="1" s="1"/>
  <c r="T312" i="1"/>
  <c r="U312" i="1" s="1"/>
  <c r="T313" i="1"/>
  <c r="U313" i="1" s="1"/>
  <c r="T314" i="1"/>
  <c r="U314" i="1" s="1"/>
  <c r="T315" i="1"/>
  <c r="U315" i="1" s="1"/>
  <c r="T316" i="1"/>
  <c r="U316" i="1" s="1"/>
  <c r="T317" i="1"/>
  <c r="U317" i="1" s="1"/>
  <c r="T318" i="1"/>
  <c r="T319" i="1"/>
  <c r="T320" i="1"/>
  <c r="U320" i="1" s="1"/>
  <c r="T321" i="1"/>
  <c r="T322" i="1"/>
  <c r="U322" i="1" s="1"/>
  <c r="T323" i="1"/>
  <c r="U323" i="1" s="1"/>
  <c r="T324" i="1"/>
  <c r="T325" i="1"/>
  <c r="U325" i="1" s="1"/>
  <c r="T326" i="1"/>
  <c r="U326" i="1" s="1"/>
  <c r="T327" i="1"/>
  <c r="U327" i="1" s="1"/>
  <c r="T328" i="1"/>
  <c r="U328" i="1" s="1"/>
  <c r="T329" i="1"/>
  <c r="U329" i="1" s="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U343" i="1" s="1"/>
  <c r="T344" i="1"/>
  <c r="U344" i="1" s="1"/>
  <c r="T345" i="1"/>
  <c r="U345" i="1" s="1"/>
  <c r="T346" i="1"/>
  <c r="U346" i="1" s="1"/>
  <c r="T347" i="1"/>
  <c r="T348" i="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U361" i="1" s="1"/>
  <c r="T362" i="1"/>
  <c r="U362" i="1" s="1"/>
  <c r="T363" i="1"/>
  <c r="U363" i="1" s="1"/>
  <c r="T364" i="1"/>
  <c r="U364" i="1" s="1"/>
  <c r="T365" i="1"/>
  <c r="U365" i="1" s="1"/>
  <c r="T366" i="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U391" i="1" s="1"/>
  <c r="T392" i="1"/>
  <c r="U392" i="1" s="1"/>
  <c r="T393" i="1"/>
  <c r="T394" i="1"/>
  <c r="U394" i="1" s="1"/>
  <c r="T395" i="1"/>
  <c r="U395" i="1" s="1"/>
  <c r="T396" i="1"/>
  <c r="U396" i="1" s="1"/>
  <c r="T397" i="1"/>
  <c r="U397" i="1" s="1"/>
  <c r="T398" i="1"/>
  <c r="U398" i="1" s="1"/>
  <c r="T399" i="1"/>
  <c r="U399" i="1" s="1"/>
  <c r="T400" i="1"/>
  <c r="U400" i="1" s="1"/>
  <c r="T401" i="1"/>
  <c r="U401" i="1" s="1"/>
  <c r="T402" i="1"/>
  <c r="T403" i="1"/>
  <c r="U403" i="1" s="1"/>
  <c r="T404" i="1"/>
  <c r="U404" i="1" s="1"/>
  <c r="T405" i="1"/>
  <c r="T406" i="1"/>
  <c r="U406" i="1" s="1"/>
  <c r="T407" i="1"/>
  <c r="U407" i="1" s="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U423" i="1" s="1"/>
  <c r="T424" i="1"/>
  <c r="U424" i="1" s="1"/>
  <c r="T425" i="1"/>
  <c r="U425" i="1" s="1"/>
  <c r="T426" i="1"/>
  <c r="U426" i="1" s="1"/>
  <c r="T427" i="1"/>
  <c r="U427" i="1" s="1"/>
  <c r="T428" i="1"/>
  <c r="U428" i="1" s="1"/>
  <c r="T429" i="1"/>
  <c r="U429" i="1" s="1"/>
  <c r="T430" i="1"/>
  <c r="U430" i="1" s="1"/>
  <c r="T431" i="1"/>
  <c r="U431" i="1" s="1"/>
  <c r="T432" i="1"/>
  <c r="T433" i="1"/>
  <c r="U433" i="1" s="1"/>
  <c r="T434" i="1"/>
  <c r="U434" i="1" s="1"/>
  <c r="T435" i="1"/>
  <c r="U435" i="1" s="1"/>
  <c r="T436" i="1"/>
  <c r="U436" i="1" s="1"/>
  <c r="T437" i="1"/>
  <c r="U437" i="1" s="1"/>
  <c r="T438" i="1"/>
  <c r="U438" i="1" s="1"/>
  <c r="T439" i="1"/>
  <c r="T440" i="1"/>
  <c r="U440" i="1" s="1"/>
  <c r="T441" i="1"/>
  <c r="U441" i="1" s="1"/>
  <c r="T442" i="1"/>
  <c r="U442" i="1" s="1"/>
  <c r="T443" i="1"/>
  <c r="U443" i="1" s="1"/>
  <c r="T444" i="1"/>
  <c r="U444" i="1" s="1"/>
  <c r="T445" i="1"/>
  <c r="U445" i="1" s="1"/>
  <c r="T446" i="1"/>
  <c r="U446" i="1" s="1"/>
  <c r="T447" i="1"/>
  <c r="U447" i="1" s="1"/>
  <c r="T448" i="1"/>
  <c r="U448" i="1" s="1"/>
  <c r="T449" i="1"/>
  <c r="U449" i="1" s="1"/>
  <c r="T450" i="1"/>
  <c r="T451" i="1"/>
  <c r="U451" i="1" s="1"/>
  <c r="T452" i="1"/>
  <c r="U452" i="1" s="1"/>
  <c r="T453" i="1"/>
  <c r="T454" i="1"/>
  <c r="U454" i="1" s="1"/>
  <c r="T455" i="1"/>
  <c r="T456" i="1"/>
  <c r="U456" i="1" s="1"/>
  <c r="T457" i="1"/>
  <c r="U457" i="1" s="1"/>
  <c r="T458" i="1"/>
  <c r="U458" i="1" s="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U470" i="1" s="1"/>
  <c r="T471" i="1"/>
  <c r="U471" i="1" s="1"/>
  <c r="T472" i="1"/>
  <c r="U472" i="1" s="1"/>
  <c r="T473" i="1"/>
  <c r="U473" i="1" s="1"/>
  <c r="T474" i="1"/>
  <c r="T475" i="1"/>
  <c r="U475" i="1" s="1"/>
  <c r="T476" i="1"/>
  <c r="U476" i="1" s="1"/>
  <c r="T477" i="1"/>
  <c r="T478" i="1"/>
  <c r="U478" i="1" s="1"/>
  <c r="T479" i="1"/>
  <c r="U479" i="1" s="1"/>
  <c r="T480" i="1"/>
  <c r="T481" i="1"/>
  <c r="U481" i="1" s="1"/>
  <c r="T482" i="1"/>
  <c r="U482" i="1" s="1"/>
  <c r="T483" i="1"/>
  <c r="U483" i="1" s="1"/>
  <c r="T484" i="1"/>
  <c r="U484" i="1" s="1"/>
  <c r="T485" i="1"/>
  <c r="U485" i="1" s="1"/>
  <c r="T486" i="1"/>
  <c r="U486" i="1" s="1"/>
  <c r="T487" i="1"/>
  <c r="U487" i="1" s="1"/>
  <c r="T488" i="1"/>
  <c r="U488" i="1" s="1"/>
  <c r="T489" i="1"/>
  <c r="U489" i="1" s="1"/>
  <c r="T490" i="1"/>
  <c r="T491" i="1"/>
  <c r="U491" i="1" s="1"/>
  <c r="T492" i="1"/>
  <c r="U492" i="1" s="1"/>
  <c r="T493" i="1"/>
  <c r="U493" i="1" s="1"/>
  <c r="T494" i="1"/>
  <c r="U494" i="1" s="1"/>
  <c r="T495" i="1"/>
  <c r="U495" i="1" s="1"/>
  <c r="T496" i="1"/>
  <c r="U496" i="1" s="1"/>
  <c r="T497" i="1"/>
  <c r="U497" i="1" s="1"/>
  <c r="T498" i="1"/>
  <c r="T499" i="1"/>
  <c r="U499" i="1" s="1"/>
  <c r="T500" i="1"/>
  <c r="U500" i="1" s="1"/>
  <c r="T501" i="1"/>
  <c r="U501" i="1" s="1"/>
  <c r="T502" i="1"/>
  <c r="U502" i="1" s="1"/>
  <c r="T503" i="1"/>
  <c r="U503" i="1" s="1"/>
  <c r="T504" i="1"/>
  <c r="U504" i="1" s="1"/>
  <c r="T505" i="1"/>
  <c r="U505" i="1" s="1"/>
  <c r="T506" i="1"/>
  <c r="U506" i="1" s="1"/>
  <c r="T507" i="1"/>
  <c r="U507" i="1" s="1"/>
  <c r="T508" i="1"/>
  <c r="U508" i="1" s="1"/>
  <c r="T509" i="1"/>
  <c r="U509" i="1" s="1"/>
  <c r="T510" i="1"/>
  <c r="U510" i="1" s="1"/>
  <c r="T511" i="1"/>
  <c r="T512" i="1"/>
  <c r="U512" i="1" s="1"/>
  <c r="T513" i="1"/>
  <c r="U513" i="1" s="1"/>
  <c r="T514" i="1"/>
  <c r="U514" i="1" s="1"/>
  <c r="T515" i="1"/>
  <c r="U515" i="1" s="1"/>
  <c r="T516" i="1"/>
  <c r="U516" i="1" s="1"/>
  <c r="T517" i="1"/>
  <c r="U517" i="1" s="1"/>
  <c r="T518" i="1"/>
  <c r="U518" i="1" s="1"/>
  <c r="T519" i="1"/>
  <c r="U519" i="1" s="1"/>
  <c r="T520" i="1"/>
  <c r="U520" i="1" s="1"/>
  <c r="T521" i="1"/>
  <c r="U521" i="1" s="1"/>
  <c r="T522" i="1"/>
  <c r="T523" i="1"/>
  <c r="U523" i="1" s="1"/>
  <c r="T524" i="1"/>
  <c r="U524" i="1" s="1"/>
  <c r="T525" i="1"/>
  <c r="T526" i="1"/>
  <c r="T527" i="1"/>
  <c r="U527" i="1" s="1"/>
  <c r="T528" i="1"/>
  <c r="U528" i="1" s="1"/>
  <c r="T529" i="1"/>
  <c r="U529" i="1" s="1"/>
  <c r="T530" i="1"/>
  <c r="U530" i="1" s="1"/>
  <c r="T531" i="1"/>
  <c r="U531" i="1" s="1"/>
  <c r="T532" i="1"/>
  <c r="U532" i="1" s="1"/>
  <c r="T533" i="1"/>
  <c r="U533" i="1" s="1"/>
  <c r="T534" i="1"/>
  <c r="T535" i="1"/>
  <c r="U535" i="1" s="1"/>
  <c r="T536" i="1"/>
  <c r="U536" i="1" s="1"/>
  <c r="T537" i="1"/>
  <c r="T538" i="1"/>
  <c r="U538" i="1" s="1"/>
  <c r="T539" i="1"/>
  <c r="U539" i="1" s="1"/>
  <c r="T540" i="1"/>
  <c r="U540" i="1" s="1"/>
  <c r="T541" i="1"/>
  <c r="U541" i="1" s="1"/>
  <c r="T542" i="1"/>
  <c r="U542" i="1" s="1"/>
  <c r="T543" i="1"/>
  <c r="U543" i="1" s="1"/>
  <c r="T544" i="1"/>
  <c r="U544" i="1" s="1"/>
  <c r="T545" i="1"/>
  <c r="U545" i="1" s="1"/>
  <c r="T546" i="1"/>
  <c r="U546" i="1" s="1"/>
  <c r="T547" i="1"/>
  <c r="U547" i="1" s="1"/>
  <c r="T548" i="1"/>
  <c r="U548" i="1" s="1"/>
  <c r="T549" i="1"/>
  <c r="U549" i="1" s="1"/>
  <c r="T550" i="1"/>
  <c r="U550" i="1" s="1"/>
  <c r="T551" i="1"/>
  <c r="U551" i="1" s="1"/>
  <c r="T552" i="1"/>
  <c r="T553" i="1"/>
  <c r="U553" i="1" s="1"/>
  <c r="T554" i="1"/>
  <c r="U554" i="1" s="1"/>
  <c r="T555" i="1"/>
  <c r="U555" i="1" s="1"/>
  <c r="T556" i="1"/>
  <c r="U556" i="1" s="1"/>
  <c r="T557" i="1"/>
  <c r="U557" i="1" s="1"/>
  <c r="T558" i="1"/>
  <c r="U558" i="1" s="1"/>
  <c r="T559" i="1"/>
  <c r="U559" i="1" s="1"/>
  <c r="T560" i="1"/>
  <c r="T561" i="1"/>
  <c r="U561" i="1" s="1"/>
  <c r="T562" i="1"/>
  <c r="U562" i="1" s="1"/>
  <c r="T563" i="1"/>
  <c r="U563" i="1" s="1"/>
  <c r="T564" i="1"/>
  <c r="U564" i="1" s="1"/>
  <c r="T565" i="1"/>
  <c r="U565" i="1" s="1"/>
  <c r="T566" i="1"/>
  <c r="U566" i="1" s="1"/>
  <c r="T567" i="1"/>
  <c r="U567" i="1" s="1"/>
  <c r="T568" i="1"/>
  <c r="U568" i="1" s="1"/>
  <c r="T569" i="1"/>
  <c r="U569" i="1" s="1"/>
  <c r="T570" i="1"/>
  <c r="T571" i="1"/>
  <c r="T572" i="1"/>
  <c r="U572" i="1" s="1"/>
  <c r="T573" i="1"/>
  <c r="U573" i="1" s="1"/>
  <c r="T574" i="1"/>
  <c r="U574" i="1" s="1"/>
  <c r="T575" i="1"/>
  <c r="U575" i="1" s="1"/>
  <c r="T576" i="1"/>
  <c r="T577" i="1"/>
  <c r="U577" i="1" s="1"/>
  <c r="T578" i="1"/>
  <c r="U578" i="1" s="1"/>
  <c r="T579" i="1"/>
  <c r="U579" i="1" s="1"/>
  <c r="T580" i="1"/>
  <c r="U580" i="1" s="1"/>
  <c r="T581" i="1"/>
  <c r="U581" i="1" s="1"/>
  <c r="T582" i="1"/>
  <c r="U582" i="1" s="1"/>
  <c r="T583" i="1"/>
  <c r="T584" i="1"/>
  <c r="U584" i="1" s="1"/>
  <c r="T585" i="1"/>
  <c r="U585" i="1" s="1"/>
  <c r="T586" i="1"/>
  <c r="U586" i="1" s="1"/>
  <c r="T587" i="1"/>
  <c r="U587" i="1" s="1"/>
  <c r="T588" i="1"/>
  <c r="U588" i="1" s="1"/>
  <c r="T589" i="1"/>
  <c r="U589" i="1" s="1"/>
  <c r="T590" i="1"/>
  <c r="U590" i="1" s="1"/>
  <c r="T591" i="1"/>
  <c r="U591" i="1" s="1"/>
  <c r="T592" i="1"/>
  <c r="U592" i="1" s="1"/>
  <c r="T593" i="1"/>
  <c r="U593" i="1" s="1"/>
  <c r="T594" i="1"/>
  <c r="U594" i="1" s="1"/>
  <c r="T595" i="1"/>
  <c r="T596" i="1"/>
  <c r="U596" i="1" s="1"/>
  <c r="T597" i="1"/>
  <c r="T598" i="1"/>
  <c r="U598" i="1" s="1"/>
  <c r="T599" i="1"/>
  <c r="U599" i="1" s="1"/>
  <c r="T600" i="1"/>
  <c r="U600" i="1" s="1"/>
  <c r="T601" i="1"/>
  <c r="U601" i="1" s="1"/>
  <c r="T602" i="1"/>
  <c r="U602" i="1" s="1"/>
  <c r="T603" i="1"/>
  <c r="U603" i="1" s="1"/>
  <c r="T604" i="1"/>
  <c r="U604" i="1" s="1"/>
  <c r="T605" i="1"/>
  <c r="U605" i="1" s="1"/>
  <c r="T606" i="1"/>
  <c r="T607" i="1"/>
  <c r="U607" i="1" s="1"/>
  <c r="T608" i="1"/>
  <c r="T609" i="1"/>
  <c r="U609" i="1" s="1"/>
  <c r="T610" i="1"/>
  <c r="U610" i="1" s="1"/>
  <c r="T611" i="1"/>
  <c r="U611" i="1" s="1"/>
  <c r="T612" i="1"/>
  <c r="U612" i="1" s="1"/>
  <c r="T613" i="1"/>
  <c r="U613" i="1" s="1"/>
  <c r="T614" i="1"/>
  <c r="U614" i="1" s="1"/>
  <c r="T615" i="1"/>
  <c r="U615" i="1" s="1"/>
  <c r="T616" i="1"/>
  <c r="U616" i="1" s="1"/>
  <c r="T617" i="1"/>
  <c r="U617" i="1" s="1"/>
  <c r="T618" i="1"/>
  <c r="U618" i="1" s="1"/>
  <c r="T619" i="1"/>
  <c r="U619" i="1" s="1"/>
  <c r="T620" i="1"/>
  <c r="U620" i="1" s="1"/>
  <c r="T621" i="1"/>
  <c r="U621" i="1" s="1"/>
  <c r="T622" i="1"/>
  <c r="U622" i="1" s="1"/>
  <c r="T623" i="1"/>
  <c r="T624" i="1"/>
  <c r="U624" i="1" s="1"/>
  <c r="T625" i="1"/>
  <c r="U625" i="1" s="1"/>
  <c r="T626" i="1"/>
  <c r="U626" i="1" s="1"/>
  <c r="T627" i="1"/>
  <c r="U627" i="1" s="1"/>
  <c r="T628" i="1"/>
  <c r="U628" i="1" s="1"/>
  <c r="T629" i="1"/>
  <c r="U629" i="1" s="1"/>
  <c r="T630" i="1"/>
  <c r="U630" i="1" s="1"/>
  <c r="T631" i="1"/>
  <c r="U631" i="1" s="1"/>
  <c r="T632" i="1"/>
  <c r="U632" i="1" s="1"/>
  <c r="T633" i="1"/>
  <c r="U633" i="1" s="1"/>
  <c r="T634" i="1"/>
  <c r="U634" i="1" s="1"/>
  <c r="T635" i="1"/>
  <c r="U635" i="1" s="1"/>
  <c r="T636" i="1"/>
  <c r="U636" i="1" s="1"/>
  <c r="T637" i="1"/>
  <c r="U637" i="1" s="1"/>
  <c r="T638" i="1"/>
  <c r="U638" i="1" s="1"/>
  <c r="T639" i="1"/>
  <c r="U639" i="1" s="1"/>
  <c r="T640" i="1"/>
  <c r="U640" i="1" s="1"/>
  <c r="T641" i="1"/>
  <c r="U641" i="1" s="1"/>
  <c r="T642" i="1"/>
  <c r="T643" i="1"/>
  <c r="U643" i="1" s="1"/>
  <c r="T644" i="1"/>
  <c r="U644" i="1" s="1"/>
  <c r="T645" i="1"/>
  <c r="U645" i="1" s="1"/>
  <c r="T646" i="1"/>
  <c r="U646" i="1" s="1"/>
  <c r="T647" i="1"/>
  <c r="U647" i="1" s="1"/>
  <c r="T648" i="1"/>
  <c r="U648" i="1" s="1"/>
  <c r="T649" i="1"/>
  <c r="U649" i="1" s="1"/>
  <c r="T650" i="1"/>
  <c r="U650" i="1" s="1"/>
  <c r="T651" i="1"/>
  <c r="U651" i="1" s="1"/>
  <c r="T652" i="1"/>
  <c r="U652" i="1" s="1"/>
  <c r="T653" i="1"/>
  <c r="U653" i="1" s="1"/>
  <c r="T654" i="1"/>
  <c r="T655" i="1"/>
  <c r="U655" i="1" s="1"/>
  <c r="T656" i="1"/>
  <c r="U656" i="1" s="1"/>
  <c r="T657" i="1"/>
  <c r="U657" i="1" s="1"/>
  <c r="T658" i="1"/>
  <c r="U658" i="1" s="1"/>
  <c r="T659" i="1"/>
  <c r="U659" i="1" s="1"/>
  <c r="T660" i="1"/>
  <c r="U660" i="1" s="1"/>
  <c r="T661" i="1"/>
  <c r="U661" i="1" s="1"/>
  <c r="T662" i="1"/>
  <c r="U662" i="1" s="1"/>
  <c r="T663" i="1"/>
  <c r="U663" i="1" s="1"/>
  <c r="T664" i="1"/>
  <c r="U664" i="1" s="1"/>
  <c r="T665" i="1"/>
  <c r="U665" i="1" s="1"/>
  <c r="T666" i="1"/>
  <c r="T667" i="1"/>
  <c r="U667" i="1" s="1"/>
  <c r="T668" i="1"/>
  <c r="T669" i="1"/>
  <c r="U669" i="1" s="1"/>
  <c r="T670" i="1"/>
  <c r="U670" i="1" s="1"/>
  <c r="T671" i="1"/>
  <c r="T672" i="1"/>
  <c r="U672" i="1" s="1"/>
  <c r="T673" i="1"/>
  <c r="U673" i="1" s="1"/>
  <c r="T674" i="1"/>
  <c r="U674" i="1" s="1"/>
  <c r="T675" i="1"/>
  <c r="U675" i="1" s="1"/>
  <c r="T676" i="1"/>
  <c r="U676" i="1" s="1"/>
  <c r="T677" i="1"/>
  <c r="U677" i="1" s="1"/>
  <c r="T678" i="1"/>
  <c r="U678" i="1" s="1"/>
  <c r="T679" i="1"/>
  <c r="U679" i="1" s="1"/>
  <c r="T680" i="1"/>
  <c r="U680" i="1" s="1"/>
  <c r="T681" i="1"/>
  <c r="T682" i="1"/>
  <c r="U682" i="1" s="1"/>
  <c r="T683" i="1"/>
  <c r="U683" i="1" s="1"/>
  <c r="T684" i="1"/>
  <c r="U684" i="1" s="1"/>
  <c r="T685" i="1"/>
  <c r="U685" i="1" s="1"/>
  <c r="T686" i="1"/>
  <c r="U686" i="1" s="1"/>
  <c r="T687" i="1"/>
  <c r="U687" i="1" s="1"/>
  <c r="T688" i="1"/>
  <c r="U688" i="1" s="1"/>
  <c r="T689" i="1"/>
  <c r="U689" i="1" s="1"/>
  <c r="T690" i="1"/>
  <c r="U690" i="1" s="1"/>
  <c r="T691" i="1"/>
  <c r="U691" i="1" s="1"/>
  <c r="T692" i="1"/>
  <c r="U692" i="1" s="1"/>
  <c r="T693" i="1"/>
  <c r="U693" i="1" s="1"/>
  <c r="T694" i="1"/>
  <c r="U694" i="1" s="1"/>
  <c r="T695" i="1"/>
  <c r="U695" i="1" s="1"/>
  <c r="T696" i="1"/>
  <c r="U696" i="1" s="1"/>
  <c r="T697" i="1"/>
  <c r="U697" i="1" s="1"/>
  <c r="T698" i="1"/>
  <c r="U698" i="1" s="1"/>
  <c r="T699" i="1"/>
  <c r="U699" i="1" s="1"/>
  <c r="T700" i="1"/>
  <c r="U700" i="1" s="1"/>
  <c r="T701" i="1"/>
  <c r="U701" i="1" s="1"/>
  <c r="T702" i="1"/>
  <c r="U702" i="1" s="1"/>
  <c r="T703" i="1"/>
  <c r="U703" i="1" s="1"/>
  <c r="T704" i="1"/>
  <c r="U704" i="1" s="1"/>
  <c r="T705" i="1"/>
  <c r="U705" i="1" s="1"/>
  <c r="T706" i="1"/>
  <c r="U706" i="1" s="1"/>
  <c r="T707" i="1"/>
  <c r="T708" i="1"/>
  <c r="T709" i="1"/>
  <c r="U709" i="1" s="1"/>
  <c r="T710" i="1"/>
  <c r="U710" i="1" s="1"/>
  <c r="T711" i="1"/>
  <c r="U711" i="1" s="1"/>
  <c r="T712" i="1"/>
  <c r="U712" i="1" s="1"/>
  <c r="T713" i="1"/>
  <c r="U713" i="1" s="1"/>
  <c r="T714" i="1"/>
  <c r="U714" i="1" s="1"/>
  <c r="T715" i="1"/>
  <c r="U715" i="1" s="1"/>
  <c r="T716" i="1"/>
  <c r="U716" i="1" s="1"/>
  <c r="T717" i="1"/>
  <c r="U717" i="1" s="1"/>
  <c r="T718" i="1"/>
  <c r="U718" i="1" s="1"/>
  <c r="T719" i="1"/>
  <c r="U719" i="1" s="1"/>
  <c r="T720" i="1"/>
  <c r="U720" i="1" s="1"/>
  <c r="T721" i="1"/>
  <c r="U721" i="1" s="1"/>
  <c r="T722" i="1"/>
  <c r="U722" i="1" s="1"/>
  <c r="T723" i="1"/>
  <c r="U723" i="1" s="1"/>
  <c r="T724" i="1"/>
  <c r="U724" i="1" s="1"/>
  <c r="T725" i="1"/>
  <c r="U725" i="1" s="1"/>
  <c r="T726" i="1"/>
  <c r="T727" i="1"/>
  <c r="T728" i="1"/>
  <c r="U728" i="1" s="1"/>
  <c r="T729" i="1"/>
  <c r="T730" i="1"/>
  <c r="U730" i="1" s="1"/>
  <c r="T731" i="1"/>
  <c r="U731" i="1" s="1"/>
  <c r="T732" i="1"/>
  <c r="T733" i="1"/>
  <c r="U733" i="1" s="1"/>
  <c r="T734" i="1"/>
  <c r="U734" i="1" s="1"/>
  <c r="T735" i="1"/>
  <c r="U735" i="1" s="1"/>
  <c r="T736" i="1"/>
  <c r="U736" i="1" s="1"/>
  <c r="T737" i="1"/>
  <c r="U737" i="1" s="1"/>
  <c r="T738" i="1"/>
  <c r="U738" i="1" s="1"/>
  <c r="T739" i="1"/>
  <c r="T740" i="1"/>
  <c r="U740" i="1" s="1"/>
  <c r="T741" i="1"/>
  <c r="T742" i="1"/>
  <c r="U742" i="1" s="1"/>
  <c r="T743" i="1"/>
  <c r="U743" i="1" s="1"/>
  <c r="T744" i="1"/>
  <c r="U744" i="1" s="1"/>
  <c r="T745" i="1"/>
  <c r="U745" i="1" s="1"/>
  <c r="T746" i="1"/>
  <c r="U746" i="1" s="1"/>
  <c r="T747" i="1"/>
  <c r="U747" i="1" s="1"/>
  <c r="T748" i="1"/>
  <c r="U748" i="1" s="1"/>
  <c r="T749" i="1"/>
  <c r="U749" i="1" s="1"/>
  <c r="T750" i="1"/>
  <c r="T751" i="1"/>
  <c r="U751" i="1" s="1"/>
  <c r="T752" i="1"/>
  <c r="T753" i="1"/>
  <c r="U753" i="1" s="1"/>
  <c r="T754" i="1"/>
  <c r="U754" i="1" s="1"/>
  <c r="T755" i="1"/>
  <c r="U755" i="1" s="1"/>
  <c r="T756" i="1"/>
  <c r="T757" i="1"/>
  <c r="U757" i="1" s="1"/>
  <c r="T758" i="1"/>
  <c r="U758" i="1" s="1"/>
  <c r="T759" i="1"/>
  <c r="U759" i="1" s="1"/>
  <c r="T760" i="1"/>
  <c r="U760" i="1" s="1"/>
  <c r="T761" i="1"/>
  <c r="U761" i="1" s="1"/>
  <c r="T762" i="1"/>
  <c r="T763" i="1"/>
  <c r="U763" i="1" s="1"/>
  <c r="T764" i="1"/>
  <c r="U764" i="1" s="1"/>
  <c r="T765" i="1"/>
  <c r="T766" i="1"/>
  <c r="U766" i="1" s="1"/>
  <c r="T767" i="1"/>
  <c r="U767" i="1" s="1"/>
  <c r="T768" i="1"/>
  <c r="U768" i="1" s="1"/>
  <c r="T769" i="1"/>
  <c r="U769" i="1" s="1"/>
  <c r="T770" i="1"/>
  <c r="U770" i="1" s="1"/>
  <c r="T771" i="1"/>
  <c r="U771" i="1" s="1"/>
  <c r="T772" i="1"/>
  <c r="U772" i="1" s="1"/>
  <c r="T773" i="1"/>
  <c r="U773" i="1" s="1"/>
  <c r="T774" i="1"/>
  <c r="U774" i="1" s="1"/>
  <c r="T775" i="1"/>
  <c r="U775" i="1" s="1"/>
  <c r="T776" i="1"/>
  <c r="U776" i="1" s="1"/>
  <c r="T777" i="1"/>
  <c r="U777" i="1" s="1"/>
  <c r="T778" i="1"/>
  <c r="U778" i="1" s="1"/>
  <c r="T779" i="1"/>
  <c r="T780" i="1"/>
  <c r="T781" i="1"/>
  <c r="T782" i="1"/>
  <c r="U782" i="1" s="1"/>
  <c r="T783" i="1"/>
  <c r="U783" i="1" s="1"/>
  <c r="T784" i="1"/>
  <c r="U784" i="1" s="1"/>
  <c r="T785" i="1"/>
  <c r="U785" i="1" s="1"/>
  <c r="T786" i="1"/>
  <c r="U786" i="1" s="1"/>
  <c r="T787" i="1"/>
  <c r="U787" i="1" s="1"/>
  <c r="T788" i="1"/>
  <c r="U788" i="1" s="1"/>
  <c r="T789" i="1"/>
  <c r="U789" i="1" s="1"/>
  <c r="T790" i="1"/>
  <c r="U790" i="1" s="1"/>
  <c r="T791" i="1"/>
  <c r="U791" i="1" s="1"/>
  <c r="T792" i="1"/>
  <c r="U792" i="1" s="1"/>
  <c r="T793" i="1"/>
  <c r="U793" i="1" s="1"/>
  <c r="T794" i="1"/>
  <c r="U794" i="1" s="1"/>
  <c r="T795" i="1"/>
  <c r="U795" i="1" s="1"/>
  <c r="T796" i="1"/>
  <c r="U796" i="1" s="1"/>
  <c r="T797" i="1"/>
  <c r="U797" i="1" s="1"/>
  <c r="T798" i="1"/>
  <c r="T799" i="1"/>
  <c r="U799" i="1" s="1"/>
  <c r="T800" i="1"/>
  <c r="U800" i="1" s="1"/>
  <c r="T801" i="1"/>
  <c r="T802" i="1"/>
  <c r="U802" i="1" s="1"/>
  <c r="T803" i="1"/>
  <c r="U803" i="1" s="1"/>
  <c r="T804" i="1"/>
  <c r="U804" i="1" s="1"/>
  <c r="T805" i="1"/>
  <c r="U805" i="1" s="1"/>
  <c r="T806" i="1"/>
  <c r="U806" i="1" s="1"/>
  <c r="T807" i="1"/>
  <c r="U807" i="1" s="1"/>
  <c r="T808" i="1"/>
  <c r="U808" i="1" s="1"/>
  <c r="T809" i="1"/>
  <c r="U809" i="1" s="1"/>
  <c r="T810" i="1"/>
  <c r="T811" i="1"/>
  <c r="U811" i="1" s="1"/>
  <c r="T812" i="1"/>
  <c r="U812" i="1" s="1"/>
  <c r="T813" i="1"/>
  <c r="U813" i="1" s="1"/>
  <c r="T814" i="1"/>
  <c r="U814" i="1" s="1"/>
  <c r="T815" i="1"/>
  <c r="U815" i="1" s="1"/>
  <c r="T816" i="1"/>
  <c r="U816" i="1" s="1"/>
  <c r="T817" i="1"/>
  <c r="U817" i="1" s="1"/>
  <c r="T818" i="1"/>
  <c r="U818" i="1" s="1"/>
  <c r="T819" i="1"/>
  <c r="U819" i="1" s="1"/>
  <c r="T820" i="1"/>
  <c r="U820" i="1" s="1"/>
  <c r="T821" i="1"/>
  <c r="U821" i="1" s="1"/>
  <c r="T822" i="1"/>
  <c r="T823" i="1"/>
  <c r="U823" i="1" s="1"/>
  <c r="T824" i="1"/>
  <c r="U824" i="1" s="1"/>
  <c r="T825" i="1"/>
  <c r="T826" i="1"/>
  <c r="U826" i="1" s="1"/>
  <c r="T827" i="1"/>
  <c r="U827" i="1" s="1"/>
  <c r="T828" i="1"/>
  <c r="T829" i="1"/>
  <c r="U829" i="1" s="1"/>
  <c r="T830" i="1"/>
  <c r="U830" i="1" s="1"/>
  <c r="T831" i="1"/>
  <c r="U831" i="1" s="1"/>
  <c r="T832" i="1"/>
  <c r="U832" i="1" s="1"/>
  <c r="T833" i="1"/>
  <c r="U833" i="1" s="1"/>
  <c r="T834" i="1"/>
  <c r="T835" i="1"/>
  <c r="U835" i="1" s="1"/>
  <c r="T836" i="1"/>
  <c r="U836" i="1" s="1"/>
  <c r="T837" i="1"/>
  <c r="U837" i="1" s="1"/>
  <c r="T838" i="1"/>
  <c r="U838" i="1" s="1"/>
  <c r="T839" i="1"/>
  <c r="U839" i="1" s="1"/>
  <c r="T840" i="1"/>
  <c r="U840" i="1" s="1"/>
  <c r="T841" i="1"/>
  <c r="U841" i="1" s="1"/>
  <c r="T842" i="1"/>
  <c r="U842" i="1" s="1"/>
  <c r="T843" i="1"/>
  <c r="U843" i="1" s="1"/>
  <c r="T844" i="1"/>
  <c r="U844" i="1" s="1"/>
  <c r="T845" i="1"/>
  <c r="U845" i="1" s="1"/>
  <c r="T846" i="1"/>
  <c r="U846" i="1" s="1"/>
  <c r="T847" i="1"/>
  <c r="U847" i="1" s="1"/>
  <c r="T848" i="1"/>
  <c r="U848" i="1" s="1"/>
  <c r="T849" i="1"/>
  <c r="T850" i="1"/>
  <c r="U850" i="1" s="1"/>
  <c r="T851" i="1"/>
  <c r="U851" i="1" s="1"/>
  <c r="T852" i="1"/>
  <c r="U852" i="1" s="1"/>
  <c r="T853" i="1"/>
  <c r="U853" i="1" s="1"/>
  <c r="T854" i="1"/>
  <c r="U854" i="1" s="1"/>
  <c r="T855" i="1"/>
  <c r="U855" i="1" s="1"/>
  <c r="T856" i="1"/>
  <c r="U856" i="1" s="1"/>
  <c r="T857" i="1"/>
  <c r="U857" i="1" s="1"/>
  <c r="T858" i="1"/>
  <c r="T859" i="1"/>
  <c r="U859" i="1" s="1"/>
  <c r="T860" i="1"/>
  <c r="U860" i="1" s="1"/>
  <c r="T861" i="1"/>
  <c r="U861" i="1" s="1"/>
  <c r="T862" i="1"/>
  <c r="U862" i="1" s="1"/>
  <c r="T863" i="1"/>
  <c r="U863" i="1" s="1"/>
  <c r="T864" i="1"/>
  <c r="U864" i="1" s="1"/>
  <c r="T865" i="1"/>
  <c r="U865" i="1" s="1"/>
  <c r="T866" i="1"/>
  <c r="U866" i="1" s="1"/>
  <c r="T867" i="1"/>
  <c r="U867" i="1" s="1"/>
  <c r="T868" i="1"/>
  <c r="U868" i="1" s="1"/>
  <c r="T869" i="1"/>
  <c r="U869" i="1" s="1"/>
  <c r="T870" i="1"/>
  <c r="T871" i="1"/>
  <c r="U871" i="1" s="1"/>
  <c r="T872" i="1"/>
  <c r="U872" i="1" s="1"/>
  <c r="T873" i="1"/>
  <c r="U873" i="1" s="1"/>
  <c r="T874" i="1"/>
  <c r="U874" i="1" s="1"/>
  <c r="T875" i="1"/>
  <c r="U875" i="1" s="1"/>
  <c r="T876" i="1"/>
  <c r="U876" i="1" s="1"/>
  <c r="T877" i="1"/>
  <c r="U877" i="1" s="1"/>
  <c r="T878" i="1"/>
  <c r="U878" i="1" s="1"/>
  <c r="T879" i="1"/>
  <c r="U879" i="1" s="1"/>
  <c r="T880" i="1"/>
  <c r="U880" i="1" s="1"/>
  <c r="T881" i="1"/>
  <c r="U881" i="1" s="1"/>
  <c r="T882" i="1"/>
  <c r="T883" i="1"/>
  <c r="U883" i="1" s="1"/>
  <c r="T884" i="1"/>
  <c r="U884" i="1" s="1"/>
  <c r="T885" i="1"/>
  <c r="T886" i="1"/>
  <c r="U886" i="1" s="1"/>
  <c r="T887" i="1"/>
  <c r="U887" i="1" s="1"/>
  <c r="T888" i="1"/>
  <c r="U888" i="1" s="1"/>
  <c r="T889" i="1"/>
  <c r="U889" i="1" s="1"/>
  <c r="T890" i="1"/>
  <c r="U890" i="1" s="1"/>
  <c r="T891" i="1"/>
  <c r="U891" i="1" s="1"/>
  <c r="T892" i="1"/>
  <c r="U892" i="1" s="1"/>
  <c r="T893" i="1"/>
  <c r="U893" i="1" s="1"/>
  <c r="T894" i="1"/>
  <c r="T895" i="1"/>
  <c r="U895" i="1" s="1"/>
  <c r="T896" i="1"/>
  <c r="U896" i="1" s="1"/>
  <c r="T897" i="1"/>
  <c r="U897" i="1" s="1"/>
  <c r="T898" i="1"/>
  <c r="U898" i="1" s="1"/>
  <c r="T899" i="1"/>
  <c r="U899" i="1" s="1"/>
  <c r="T900" i="1"/>
  <c r="U900" i="1" s="1"/>
  <c r="T901" i="1"/>
  <c r="U901" i="1" s="1"/>
  <c r="T902" i="1"/>
  <c r="U902" i="1" s="1"/>
  <c r="T903" i="1"/>
  <c r="U903" i="1" s="1"/>
  <c r="T904" i="1"/>
  <c r="U904" i="1" s="1"/>
  <c r="T905" i="1"/>
  <c r="U905" i="1" s="1"/>
  <c r="T906" i="1"/>
  <c r="U906" i="1" s="1"/>
  <c r="T907" i="1"/>
  <c r="T908" i="1"/>
  <c r="U908" i="1" s="1"/>
  <c r="T909" i="1"/>
  <c r="U909" i="1" s="1"/>
  <c r="T910" i="1"/>
  <c r="U910" i="1" s="1"/>
  <c r="T911" i="1"/>
  <c r="T912" i="1"/>
  <c r="T913" i="1"/>
  <c r="U913" i="1" s="1"/>
  <c r="T914" i="1"/>
  <c r="U914" i="1" s="1"/>
  <c r="T915" i="1"/>
  <c r="U915" i="1" s="1"/>
  <c r="T916" i="1"/>
  <c r="U916" i="1" s="1"/>
  <c r="T917" i="1"/>
  <c r="U917" i="1" s="1"/>
  <c r="T918" i="1"/>
  <c r="U918" i="1" s="1"/>
  <c r="T919" i="1"/>
  <c r="U919" i="1" s="1"/>
  <c r="T920" i="1"/>
  <c r="U920" i="1" s="1"/>
  <c r="T921" i="1"/>
  <c r="U921" i="1" s="1"/>
  <c r="T922" i="1"/>
  <c r="U922" i="1" s="1"/>
  <c r="T923" i="1"/>
  <c r="U923" i="1" s="1"/>
  <c r="T924" i="1"/>
  <c r="U924" i="1" s="1"/>
  <c r="T925" i="1"/>
  <c r="U925" i="1" s="1"/>
  <c r="T926" i="1"/>
  <c r="U926" i="1" s="1"/>
  <c r="T927" i="1"/>
  <c r="U927" i="1" s="1"/>
  <c r="T928" i="1"/>
  <c r="U928" i="1" s="1"/>
  <c r="T929" i="1"/>
  <c r="U929" i="1" s="1"/>
  <c r="T930" i="1"/>
  <c r="T931" i="1"/>
  <c r="U931" i="1" s="1"/>
  <c r="T932" i="1"/>
  <c r="U932" i="1" s="1"/>
  <c r="T933" i="1"/>
  <c r="U933" i="1" s="1"/>
  <c r="T934" i="1"/>
  <c r="U934" i="1" s="1"/>
  <c r="T935" i="1"/>
  <c r="T936" i="1"/>
  <c r="T937" i="1"/>
  <c r="U937" i="1" s="1"/>
  <c r="T938" i="1"/>
  <c r="U938" i="1" s="1"/>
  <c r="T939" i="1"/>
  <c r="U939" i="1" s="1"/>
  <c r="T940" i="1"/>
  <c r="U940" i="1" s="1"/>
  <c r="T941" i="1"/>
  <c r="U941" i="1" s="1"/>
  <c r="T942" i="1"/>
  <c r="T943" i="1"/>
  <c r="U943" i="1" s="1"/>
  <c r="T944" i="1"/>
  <c r="U944" i="1" s="1"/>
  <c r="T945" i="1"/>
  <c r="T946" i="1"/>
  <c r="U946" i="1" s="1"/>
  <c r="T947" i="1"/>
  <c r="U947" i="1" s="1"/>
  <c r="T948" i="1"/>
  <c r="U948" i="1" s="1"/>
  <c r="T949" i="1"/>
  <c r="U949" i="1" s="1"/>
  <c r="T950" i="1"/>
  <c r="U950" i="1" s="1"/>
  <c r="T951" i="1"/>
  <c r="U951" i="1" s="1"/>
  <c r="T952" i="1"/>
  <c r="U952" i="1" s="1"/>
  <c r="T953" i="1"/>
  <c r="U953" i="1" s="1"/>
  <c r="T954" i="1"/>
  <c r="T955" i="1"/>
  <c r="U955" i="1" s="1"/>
  <c r="T956" i="1"/>
  <c r="U956" i="1" s="1"/>
  <c r="T957" i="1"/>
  <c r="T958" i="1"/>
  <c r="U958" i="1" s="1"/>
  <c r="T959" i="1"/>
  <c r="U959" i="1" s="1"/>
  <c r="T960" i="1"/>
  <c r="U960" i="1" s="1"/>
  <c r="T961" i="1"/>
  <c r="U961" i="1" s="1"/>
  <c r="T962" i="1"/>
  <c r="U962" i="1" s="1"/>
  <c r="T963" i="1"/>
  <c r="U963" i="1" s="1"/>
  <c r="T964" i="1"/>
  <c r="U964" i="1" s="1"/>
  <c r="T965" i="1"/>
  <c r="U965" i="1" s="1"/>
  <c r="T966" i="1"/>
  <c r="T967" i="1"/>
  <c r="U967" i="1" s="1"/>
  <c r="T968" i="1"/>
  <c r="U968" i="1" s="1"/>
  <c r="T969" i="1"/>
  <c r="T970" i="1"/>
  <c r="U970" i="1" s="1"/>
  <c r="T971" i="1"/>
  <c r="U971" i="1" s="1"/>
  <c r="T972" i="1"/>
  <c r="U972" i="1" s="1"/>
  <c r="T973" i="1"/>
  <c r="U973" i="1" s="1"/>
  <c r="T974" i="1"/>
  <c r="U974" i="1" s="1"/>
  <c r="T975" i="1"/>
  <c r="U975" i="1" s="1"/>
  <c r="T976" i="1"/>
  <c r="U976" i="1" s="1"/>
  <c r="T977" i="1"/>
  <c r="U977" i="1" s="1"/>
  <c r="T978" i="1"/>
  <c r="T979" i="1"/>
  <c r="U979" i="1" s="1"/>
  <c r="T980" i="1"/>
  <c r="U980" i="1" s="1"/>
  <c r="T981" i="1"/>
  <c r="T982" i="1"/>
  <c r="U982" i="1" s="1"/>
  <c r="T983" i="1"/>
  <c r="U983" i="1" s="1"/>
  <c r="T984" i="1"/>
  <c r="T985" i="1"/>
  <c r="U985" i="1" s="1"/>
  <c r="T986" i="1"/>
  <c r="U986" i="1" s="1"/>
  <c r="T987" i="1"/>
  <c r="U987" i="1" s="1"/>
  <c r="T988" i="1"/>
  <c r="U988" i="1" s="1"/>
  <c r="T989" i="1"/>
  <c r="U989" i="1" s="1"/>
  <c r="T990" i="1"/>
  <c r="U990" i="1" s="1"/>
  <c r="T991" i="1"/>
  <c r="U991" i="1" s="1"/>
  <c r="T992" i="1"/>
  <c r="U992" i="1" s="1"/>
  <c r="T993" i="1"/>
  <c r="U993" i="1" s="1"/>
  <c r="T994" i="1"/>
  <c r="U994" i="1" s="1"/>
  <c r="T995" i="1"/>
  <c r="U995" i="1" s="1"/>
  <c r="T996" i="1"/>
  <c r="U996" i="1" s="1"/>
  <c r="T997" i="1"/>
  <c r="U997" i="1" s="1"/>
  <c r="T998" i="1"/>
  <c r="U998" i="1" s="1"/>
  <c r="T999" i="1"/>
  <c r="U999" i="1" s="1"/>
  <c r="T1000" i="1"/>
  <c r="U1000" i="1" s="1"/>
  <c r="T1001" i="1"/>
  <c r="U1001" i="1" s="1"/>
  <c r="T1002" i="1"/>
  <c r="T1003" i="1"/>
  <c r="U1003" i="1" s="1"/>
  <c r="T1004" i="1"/>
  <c r="U1004" i="1" s="1"/>
  <c r="T1005" i="1"/>
  <c r="U1005" i="1" s="1"/>
  <c r="T1006" i="1"/>
  <c r="U1006" i="1" s="1"/>
  <c r="T1007" i="1"/>
  <c r="U1007" i="1" s="1"/>
  <c r="T1008" i="1"/>
  <c r="U1008" i="1" s="1"/>
  <c r="T1009" i="1"/>
  <c r="U1009" i="1" s="1"/>
  <c r="T1010" i="1"/>
  <c r="U1010" i="1" s="1"/>
  <c r="T1011" i="1"/>
  <c r="U1011" i="1" s="1"/>
  <c r="T1012" i="1"/>
  <c r="U1012" i="1" s="1"/>
  <c r="T1013" i="1"/>
  <c r="U1013" i="1" s="1"/>
  <c r="T1014" i="1"/>
  <c r="T1015" i="1"/>
  <c r="U1015" i="1" s="1"/>
  <c r="T1016" i="1"/>
  <c r="U1016" i="1" s="1"/>
  <c r="T1017" i="1"/>
  <c r="U1017" i="1" s="1"/>
  <c r="T1018" i="1"/>
  <c r="U1018" i="1" s="1"/>
  <c r="T1019" i="1"/>
  <c r="U1019" i="1" s="1"/>
  <c r="T1020" i="1"/>
  <c r="U1020" i="1" s="1"/>
  <c r="T1021" i="1"/>
  <c r="U1021" i="1" s="1"/>
  <c r="T1022" i="1"/>
  <c r="U1022" i="1" s="1"/>
  <c r="T1023" i="1"/>
  <c r="U1023" i="1" s="1"/>
  <c r="T1024" i="1"/>
  <c r="U1024" i="1" s="1"/>
  <c r="T1025" i="1"/>
  <c r="U1025" i="1" s="1"/>
  <c r="T1026" i="1"/>
  <c r="T1027" i="1"/>
  <c r="U1027" i="1" s="1"/>
  <c r="T1028" i="1"/>
  <c r="T1029" i="1"/>
  <c r="U1029" i="1" s="1"/>
  <c r="T1030" i="1"/>
  <c r="U1030" i="1" s="1"/>
  <c r="T1031" i="1"/>
  <c r="U1031" i="1" s="1"/>
  <c r="T1032" i="1"/>
  <c r="U1032" i="1" s="1"/>
  <c r="T1033" i="1"/>
  <c r="U1033" i="1" s="1"/>
  <c r="T1034" i="1"/>
  <c r="U1034" i="1" s="1"/>
  <c r="T1035" i="1"/>
  <c r="U1035" i="1" s="1"/>
  <c r="T1036" i="1"/>
  <c r="U1036" i="1" s="1"/>
  <c r="T1037" i="1"/>
  <c r="U1037" i="1" s="1"/>
  <c r="T1038" i="1"/>
  <c r="U1038" i="1" s="1"/>
  <c r="T1039" i="1"/>
  <c r="U1039" i="1" s="1"/>
  <c r="T1040" i="1"/>
  <c r="U1040" i="1" s="1"/>
  <c r="T1041" i="1"/>
  <c r="T1042" i="1"/>
  <c r="U1042" i="1" s="1"/>
  <c r="T1043" i="1"/>
  <c r="U1043" i="1" s="1"/>
  <c r="T1044" i="1"/>
  <c r="T1045" i="1"/>
  <c r="U1045" i="1" s="1"/>
  <c r="T1046" i="1"/>
  <c r="U1046" i="1" s="1"/>
  <c r="T1047" i="1"/>
  <c r="U1047" i="1" s="1"/>
  <c r="T1048" i="1"/>
  <c r="U1048" i="1" s="1"/>
  <c r="T1049" i="1"/>
  <c r="U1049" i="1" s="1"/>
  <c r="T1050" i="1"/>
  <c r="T1051" i="1"/>
  <c r="U1051" i="1" s="1"/>
  <c r="T1052" i="1"/>
  <c r="U1052" i="1" s="1"/>
  <c r="T1053" i="1"/>
  <c r="U1053" i="1" s="1"/>
  <c r="T1054" i="1"/>
  <c r="U1054" i="1" s="1"/>
  <c r="T1055" i="1"/>
  <c r="U1055" i="1" s="1"/>
  <c r="T1056" i="1"/>
  <c r="U1056" i="1" s="1"/>
  <c r="T1057" i="1"/>
  <c r="U1057" i="1" s="1"/>
  <c r="T1058" i="1"/>
  <c r="U1058" i="1" s="1"/>
  <c r="T1059" i="1"/>
  <c r="U1059" i="1" s="1"/>
  <c r="T1060" i="1"/>
  <c r="U1060" i="1" s="1"/>
  <c r="T1061" i="1"/>
  <c r="U1061" i="1" s="1"/>
  <c r="T1062" i="1"/>
  <c r="U1062" i="1" s="1"/>
  <c r="T1063" i="1"/>
  <c r="U1063" i="1" s="1"/>
  <c r="T1064" i="1"/>
  <c r="T1065" i="1"/>
  <c r="U1065" i="1" s="1"/>
  <c r="T1066" i="1"/>
  <c r="U1066" i="1" s="1"/>
  <c r="T1067" i="1"/>
  <c r="U1067" i="1" s="1"/>
  <c r="T1068" i="1"/>
  <c r="T1069" i="1"/>
  <c r="U1069" i="1" s="1"/>
  <c r="T1070" i="1"/>
  <c r="U1070" i="1" s="1"/>
  <c r="T1071" i="1"/>
  <c r="U1071" i="1" s="1"/>
  <c r="T1072" i="1"/>
  <c r="U1072" i="1" s="1"/>
  <c r="T1073" i="1"/>
  <c r="U1073" i="1" s="1"/>
  <c r="T1074" i="1"/>
  <c r="T1075" i="1"/>
  <c r="U1075" i="1" s="1"/>
  <c r="T1076" i="1"/>
  <c r="U1076" i="1" s="1"/>
  <c r="T1077" i="1"/>
  <c r="U1077" i="1" s="1"/>
  <c r="T1078" i="1"/>
  <c r="U1078" i="1" s="1"/>
  <c r="T1079" i="1"/>
  <c r="U1079" i="1" s="1"/>
  <c r="T1080" i="1"/>
  <c r="U1080" i="1" s="1"/>
  <c r="T1081" i="1"/>
  <c r="U1081" i="1" s="1"/>
  <c r="T1082" i="1"/>
  <c r="U1082" i="1" s="1"/>
  <c r="T1083" i="1"/>
  <c r="U1083" i="1" s="1"/>
  <c r="T1084" i="1"/>
  <c r="U1084" i="1" s="1"/>
  <c r="T1085" i="1"/>
  <c r="U1085" i="1" s="1"/>
  <c r="T1086" i="1"/>
  <c r="T1087" i="1"/>
  <c r="U1087" i="1" s="1"/>
  <c r="T1088" i="1"/>
  <c r="U1088" i="1" s="1"/>
  <c r="T1089" i="1"/>
  <c r="T1090" i="1"/>
  <c r="U1090" i="1" s="1"/>
  <c r="T1091" i="1"/>
  <c r="U1091" i="1" s="1"/>
  <c r="T1092" i="1"/>
  <c r="T1093" i="1"/>
  <c r="U1093" i="1" s="1"/>
  <c r="T1094" i="1"/>
  <c r="U1094" i="1" s="1"/>
  <c r="T1095" i="1"/>
  <c r="U1095" i="1" s="1"/>
  <c r="T1096" i="1"/>
  <c r="U1096" i="1" s="1"/>
  <c r="T1097" i="1"/>
  <c r="U1097" i="1" s="1"/>
  <c r="T1098" i="1"/>
  <c r="T1099" i="1"/>
  <c r="U1099" i="1" s="1"/>
  <c r="T1100" i="1"/>
  <c r="U1100" i="1" s="1"/>
  <c r="T1101" i="1"/>
  <c r="U1101" i="1" s="1"/>
  <c r="T1102" i="1"/>
  <c r="U1102" i="1" s="1"/>
  <c r="T1103" i="1"/>
  <c r="U1103" i="1" s="1"/>
  <c r="T1104" i="1"/>
  <c r="U1104" i="1" s="1"/>
  <c r="T1105" i="1"/>
  <c r="U1105" i="1" s="1"/>
  <c r="T1106" i="1"/>
  <c r="U1106" i="1" s="1"/>
  <c r="T1107" i="1"/>
  <c r="U1107" i="1" s="1"/>
  <c r="T1108" i="1"/>
  <c r="U1108" i="1" s="1"/>
  <c r="T1109" i="1"/>
  <c r="U1109" i="1" s="1"/>
  <c r="T1110" i="1"/>
  <c r="T1111" i="1"/>
  <c r="U1111" i="1" s="1"/>
  <c r="T1112" i="1"/>
  <c r="U1112" i="1" s="1"/>
  <c r="T1113" i="1"/>
  <c r="T1114" i="1"/>
  <c r="U1114" i="1" s="1"/>
  <c r="T1115" i="1"/>
  <c r="U1115" i="1" s="1"/>
  <c r="T1116" i="1"/>
  <c r="U1116" i="1" s="1"/>
  <c r="T1117" i="1"/>
  <c r="U1117" i="1" s="1"/>
  <c r="T1118" i="1"/>
  <c r="U1118" i="1" s="1"/>
  <c r="T1119" i="1"/>
  <c r="U1119" i="1" s="1"/>
  <c r="T1120" i="1"/>
  <c r="U1120" i="1" s="1"/>
  <c r="T1121" i="1"/>
  <c r="U1121" i="1" s="1"/>
  <c r="T1122" i="1"/>
  <c r="T1123" i="1"/>
  <c r="U1123" i="1" s="1"/>
  <c r="T1124" i="1"/>
  <c r="U1124" i="1" s="1"/>
  <c r="T1125" i="1"/>
  <c r="U1125" i="1" s="1"/>
  <c r="T1126" i="1"/>
  <c r="U1126" i="1" s="1"/>
  <c r="T1127" i="1"/>
  <c r="U1127" i="1" s="1"/>
  <c r="T1128" i="1"/>
  <c r="U1128" i="1" s="1"/>
  <c r="T1129" i="1"/>
  <c r="U1129" i="1" s="1"/>
  <c r="T1130" i="1"/>
  <c r="U1130" i="1" s="1"/>
  <c r="T1131" i="1"/>
  <c r="U1131" i="1" s="1"/>
  <c r="T1132" i="1"/>
  <c r="U1132" i="1" s="1"/>
  <c r="T1133" i="1"/>
  <c r="U1133" i="1" s="1"/>
  <c r="T1134" i="1"/>
  <c r="U1134" i="1" s="1"/>
  <c r="T1135" i="1"/>
  <c r="U1135" i="1" s="1"/>
  <c r="T1136" i="1"/>
  <c r="U1136" i="1" s="1"/>
  <c r="T1137" i="1"/>
  <c r="T1138" i="1"/>
  <c r="U1138" i="1" s="1"/>
  <c r="T1139" i="1"/>
  <c r="U1139" i="1" s="1"/>
  <c r="T1140" i="1"/>
  <c r="T1141" i="1"/>
  <c r="U1141" i="1" s="1"/>
  <c r="T1142" i="1"/>
  <c r="U1142" i="1" s="1"/>
  <c r="T1143" i="1"/>
  <c r="U1143" i="1" s="1"/>
  <c r="T1144" i="1"/>
  <c r="U1144" i="1" s="1"/>
  <c r="T1145" i="1"/>
  <c r="U1145" i="1" s="1"/>
  <c r="T1146" i="1"/>
  <c r="T1147" i="1"/>
  <c r="U1147" i="1" s="1"/>
  <c r="T1148" i="1"/>
  <c r="U1148" i="1" s="1"/>
  <c r="T1149" i="1"/>
  <c r="U1149" i="1" s="1"/>
  <c r="T1150" i="1"/>
  <c r="U1150" i="1" s="1"/>
  <c r="T1151" i="1"/>
  <c r="U1151" i="1" s="1"/>
  <c r="T1152" i="1"/>
  <c r="U1152" i="1" s="1"/>
  <c r="T1153" i="1"/>
  <c r="U1153" i="1" s="1"/>
  <c r="T1154" i="1"/>
  <c r="U1154" i="1" s="1"/>
  <c r="T1155" i="1"/>
  <c r="U1155" i="1" s="1"/>
  <c r="T1156" i="1"/>
  <c r="U1156" i="1" s="1"/>
  <c r="T1157" i="1"/>
  <c r="U1157" i="1" s="1"/>
  <c r="T1158" i="1"/>
  <c r="U1158" i="1" s="1"/>
  <c r="T1159" i="1"/>
  <c r="U1159" i="1" s="1"/>
  <c r="T1160" i="1"/>
  <c r="U1160" i="1" s="1"/>
  <c r="T1161" i="1"/>
  <c r="U1161" i="1" s="1"/>
  <c r="T1162" i="1"/>
  <c r="U1162" i="1" s="1"/>
  <c r="T1163" i="1"/>
  <c r="U1163" i="1" s="1"/>
  <c r="T1164" i="1"/>
  <c r="T1165" i="1"/>
  <c r="U1165" i="1" s="1"/>
  <c r="T1166" i="1"/>
  <c r="U1166" i="1" s="1"/>
  <c r="T1167" i="1"/>
  <c r="U1167" i="1" s="1"/>
  <c r="T1168" i="1"/>
  <c r="U1168" i="1" s="1"/>
  <c r="T1169" i="1"/>
  <c r="U1169" i="1" s="1"/>
  <c r="T1170" i="1"/>
  <c r="U1170" i="1" s="1"/>
  <c r="T1171" i="1"/>
  <c r="U1171" i="1" s="1"/>
  <c r="T1172" i="1"/>
  <c r="U1172" i="1" s="1"/>
  <c r="T1173" i="1"/>
  <c r="U1173" i="1" s="1"/>
  <c r="T1174" i="1"/>
  <c r="U1174" i="1" s="1"/>
  <c r="T1175" i="1"/>
  <c r="U1175" i="1" s="1"/>
  <c r="T1176" i="1"/>
  <c r="U1176" i="1" s="1"/>
  <c r="T1177" i="1"/>
  <c r="U1177" i="1" s="1"/>
  <c r="T1178" i="1"/>
  <c r="U1178" i="1" s="1"/>
  <c r="T1179" i="1"/>
  <c r="U1179" i="1" s="1"/>
  <c r="T1180" i="1"/>
  <c r="U1180" i="1" s="1"/>
  <c r="T1181" i="1"/>
  <c r="U1181" i="1" s="1"/>
  <c r="T1182" i="1"/>
  <c r="T1183" i="1"/>
  <c r="T1184" i="1"/>
  <c r="U1184" i="1" s="1"/>
  <c r="T1185" i="1"/>
  <c r="U1185" i="1" s="1"/>
  <c r="T1186" i="1"/>
  <c r="U1186" i="1" s="1"/>
  <c r="T1187" i="1"/>
  <c r="U1187" i="1" s="1"/>
  <c r="T1188" i="1"/>
  <c r="U1188" i="1" s="1"/>
  <c r="T1189" i="1"/>
  <c r="U1189" i="1" s="1"/>
  <c r="T1190" i="1"/>
  <c r="U1190" i="1" s="1"/>
  <c r="T1191" i="1"/>
  <c r="U1191" i="1" s="1"/>
  <c r="T1192" i="1"/>
  <c r="U1192" i="1" s="1"/>
  <c r="T1193" i="1"/>
  <c r="U1193" i="1" s="1"/>
  <c r="T1194" i="1"/>
  <c r="U1194" i="1" s="1"/>
  <c r="T1195" i="1"/>
  <c r="U1195" i="1" s="1"/>
  <c r="T1196" i="1"/>
  <c r="U1196" i="1" s="1"/>
  <c r="T1197" i="1"/>
  <c r="T1198" i="1"/>
  <c r="U1198" i="1" s="1"/>
  <c r="T1199" i="1"/>
  <c r="U1199" i="1" s="1"/>
  <c r="T1200" i="1"/>
  <c r="U1200" i="1" s="1"/>
  <c r="T1201" i="1"/>
  <c r="U1201" i="1" s="1"/>
  <c r="T1202" i="1"/>
  <c r="U1202" i="1" s="1"/>
  <c r="T1203" i="1"/>
  <c r="U1203" i="1" s="1"/>
  <c r="T1204" i="1"/>
  <c r="U1204" i="1" s="1"/>
  <c r="T1205" i="1"/>
  <c r="U1205" i="1" s="1"/>
  <c r="T1206" i="1"/>
  <c r="T1207" i="1"/>
  <c r="U1207" i="1" s="1"/>
  <c r="T1208" i="1"/>
  <c r="U1208" i="1" s="1"/>
  <c r="T1209" i="1"/>
  <c r="U1209" i="1" s="1"/>
  <c r="T1210" i="1"/>
  <c r="U1210" i="1" s="1"/>
  <c r="T1211" i="1"/>
  <c r="U1211" i="1" s="1"/>
  <c r="T1212" i="1"/>
  <c r="U1212" i="1" s="1"/>
  <c r="T1213" i="1"/>
  <c r="U1213" i="1" s="1"/>
  <c r="T1214" i="1"/>
  <c r="U1214" i="1" s="1"/>
  <c r="T1215" i="1"/>
  <c r="U1215" i="1" s="1"/>
  <c r="T1216" i="1"/>
  <c r="U1216" i="1" s="1"/>
  <c r="T1217" i="1"/>
  <c r="U1217" i="1" s="1"/>
  <c r="T1218" i="1"/>
  <c r="T1219" i="1"/>
  <c r="T1220" i="1"/>
  <c r="U1220" i="1" s="1"/>
  <c r="T1221" i="1"/>
  <c r="U1221" i="1" s="1"/>
  <c r="T1222" i="1"/>
  <c r="T1223" i="1"/>
  <c r="U1223" i="1" s="1"/>
  <c r="T1224" i="1"/>
  <c r="T1225" i="1"/>
  <c r="U1225" i="1" s="1"/>
  <c r="T1226" i="1"/>
  <c r="U1226" i="1" s="1"/>
  <c r="T1227" i="1"/>
  <c r="U1227" i="1" s="1"/>
  <c r="T1228" i="1"/>
  <c r="U1228" i="1" s="1"/>
  <c r="T1229" i="1"/>
  <c r="U1229" i="1" s="1"/>
  <c r="T1230" i="1"/>
  <c r="U1230" i="1" s="1"/>
  <c r="T1231" i="1"/>
  <c r="U1231" i="1" s="1"/>
  <c r="T1232" i="1"/>
  <c r="U1232" i="1" s="1"/>
  <c r="T1233" i="1"/>
  <c r="U1233" i="1" s="1"/>
  <c r="T1234" i="1"/>
  <c r="U1234" i="1" s="1"/>
  <c r="T1235" i="1"/>
  <c r="U1235" i="1" s="1"/>
  <c r="T1236" i="1"/>
  <c r="U1236" i="1" s="1"/>
  <c r="T1237" i="1"/>
  <c r="U1237" i="1" s="1"/>
  <c r="T1238" i="1"/>
  <c r="U1238" i="1" s="1"/>
  <c r="T1239" i="1"/>
  <c r="U1239" i="1" s="1"/>
  <c r="T1240" i="1"/>
  <c r="U1240" i="1" s="1"/>
  <c r="T1241" i="1"/>
  <c r="U1241" i="1" s="1"/>
  <c r="T1242" i="1"/>
  <c r="U1242" i="1" s="1"/>
  <c r="T1243" i="1"/>
  <c r="U1243" i="1" s="1"/>
  <c r="T1244" i="1"/>
  <c r="U1244" i="1" s="1"/>
  <c r="T1245" i="1"/>
  <c r="T1246" i="1"/>
  <c r="U1246" i="1" s="1"/>
  <c r="T1247" i="1"/>
  <c r="U1247" i="1" s="1"/>
  <c r="T1248" i="1"/>
  <c r="U1248" i="1" s="1"/>
  <c r="T1249" i="1"/>
  <c r="U1249" i="1" s="1"/>
  <c r="T1250" i="1"/>
  <c r="U1250" i="1" s="1"/>
  <c r="T1251" i="1"/>
  <c r="U1251" i="1" s="1"/>
  <c r="T1252" i="1"/>
  <c r="U1252" i="1" s="1"/>
  <c r="T1253" i="1"/>
  <c r="U1253" i="1" s="1"/>
  <c r="T1254" i="1"/>
  <c r="T1255" i="1"/>
  <c r="U1255" i="1" s="1"/>
  <c r="T1256" i="1"/>
  <c r="U1256" i="1" s="1"/>
  <c r="T1257" i="1"/>
  <c r="U1257" i="1" s="1"/>
  <c r="T1258" i="1"/>
  <c r="U1258" i="1" s="1"/>
  <c r="T1259" i="1"/>
  <c r="U1259" i="1" s="1"/>
  <c r="T1260" i="1"/>
  <c r="T1261" i="1"/>
  <c r="U1261" i="1" s="1"/>
  <c r="T1262" i="1"/>
  <c r="U1262" i="1" s="1"/>
  <c r="T1263" i="1"/>
  <c r="U1263" i="1" s="1"/>
  <c r="T1264" i="1"/>
  <c r="U1264" i="1" s="1"/>
  <c r="T1265" i="1"/>
  <c r="U1265" i="1" s="1"/>
  <c r="T1266" i="1"/>
  <c r="U1266" i="1" s="1"/>
  <c r="T1267" i="1"/>
  <c r="U1267" i="1" s="1"/>
  <c r="T1268" i="1"/>
  <c r="U1268" i="1" s="1"/>
  <c r="T1269" i="1"/>
  <c r="U1269" i="1" s="1"/>
  <c r="T1270" i="1"/>
  <c r="U1270" i="1" s="1"/>
  <c r="T1271" i="1"/>
  <c r="U1271" i="1" s="1"/>
  <c r="T1272" i="1"/>
  <c r="U1272" i="1" s="1"/>
  <c r="T1273" i="1"/>
  <c r="U1273" i="1" s="1"/>
  <c r="T1274" i="1"/>
  <c r="U1274" i="1" s="1"/>
  <c r="T1275" i="1"/>
  <c r="U1275" i="1" s="1"/>
  <c r="T1276" i="1"/>
  <c r="U1276" i="1" s="1"/>
  <c r="T1277" i="1"/>
  <c r="U1277" i="1" s="1"/>
  <c r="T1278" i="1"/>
  <c r="T1279" i="1"/>
  <c r="T1280" i="1"/>
  <c r="U1280" i="1" s="1"/>
  <c r="T1281" i="1"/>
  <c r="U1281" i="1" s="1"/>
  <c r="T1282" i="1"/>
  <c r="U1282" i="1" s="1"/>
  <c r="T1283" i="1"/>
  <c r="U1283" i="1" s="1"/>
  <c r="T1284" i="1"/>
  <c r="T1285" i="1"/>
  <c r="U1285" i="1" s="1"/>
  <c r="T1286" i="1"/>
  <c r="U1286" i="1" s="1"/>
  <c r="T1287" i="1"/>
  <c r="U1287" i="1" s="1"/>
  <c r="T1288" i="1"/>
  <c r="U1288" i="1" s="1"/>
  <c r="T1289" i="1"/>
  <c r="U1289" i="1" s="1"/>
  <c r="T1290" i="1"/>
  <c r="U1290" i="1" s="1"/>
  <c r="T1291" i="1"/>
  <c r="U1291" i="1" s="1"/>
  <c r="T1292" i="1"/>
  <c r="U1292" i="1" s="1"/>
  <c r="T1293" i="1"/>
  <c r="U1293" i="1" s="1"/>
  <c r="T1294" i="1"/>
  <c r="U1294" i="1" s="1"/>
  <c r="T1295" i="1"/>
  <c r="U1295" i="1" s="1"/>
  <c r="T1296" i="1"/>
  <c r="U1296" i="1" s="1"/>
  <c r="T1297" i="1"/>
  <c r="U1297" i="1" s="1"/>
  <c r="T1298" i="1"/>
  <c r="U1298" i="1" s="1"/>
  <c r="T1299" i="1"/>
  <c r="U1299" i="1" s="1"/>
  <c r="T1300" i="1"/>
  <c r="U1300" i="1" s="1"/>
  <c r="T1301" i="1"/>
  <c r="U1301" i="1" s="1"/>
  <c r="T1302" i="1"/>
  <c r="T1303" i="1"/>
  <c r="U1303" i="1" s="1"/>
  <c r="T1304" i="1"/>
  <c r="U1304" i="1" s="1"/>
  <c r="T1305" i="1"/>
  <c r="U1305" i="1" s="1"/>
  <c r="T1306" i="1"/>
  <c r="U1306" i="1" s="1"/>
  <c r="T1307" i="1"/>
  <c r="U1307" i="1" s="1"/>
  <c r="T1308" i="1"/>
  <c r="U1308" i="1" s="1"/>
  <c r="T1309" i="1"/>
  <c r="U1309" i="1" s="1"/>
  <c r="T1310" i="1"/>
  <c r="U1310" i="1" s="1"/>
  <c r="T1311" i="1"/>
  <c r="U1311" i="1" s="1"/>
  <c r="T1312" i="1"/>
  <c r="U1312" i="1" s="1"/>
  <c r="T1313" i="1"/>
  <c r="U1313" i="1" s="1"/>
  <c r="T1314" i="1"/>
  <c r="T1315" i="1"/>
  <c r="T1316" i="1"/>
  <c r="U1316" i="1" s="1"/>
  <c r="T1317" i="1"/>
  <c r="U1317" i="1" s="1"/>
  <c r="T1318" i="1"/>
  <c r="U1318" i="1" s="1"/>
  <c r="T1319" i="1"/>
  <c r="U1319" i="1" s="1"/>
  <c r="T1320" i="1"/>
  <c r="T1321" i="1"/>
  <c r="U1321" i="1" s="1"/>
  <c r="T1322" i="1"/>
  <c r="U1322" i="1" s="1"/>
  <c r="T1323" i="1"/>
  <c r="U1323" i="1" s="1"/>
  <c r="T1324" i="1"/>
  <c r="U1324" i="1" s="1"/>
  <c r="T1325" i="1"/>
  <c r="U1325" i="1" s="1"/>
  <c r="T1326" i="1"/>
  <c r="U1326" i="1" s="1"/>
  <c r="T1327" i="1"/>
  <c r="U1327" i="1" s="1"/>
  <c r="T1328" i="1"/>
  <c r="U1328" i="1" s="1"/>
  <c r="T1329" i="1"/>
  <c r="U1329" i="1" s="1"/>
  <c r="T1330" i="1"/>
  <c r="U1330" i="1" s="1"/>
  <c r="T1331" i="1"/>
  <c r="U1331" i="1" s="1"/>
  <c r="T1332" i="1"/>
  <c r="U1332" i="1" s="1"/>
  <c r="T1333" i="1"/>
  <c r="U1333" i="1" s="1"/>
  <c r="T1334" i="1"/>
  <c r="U1334" i="1" s="1"/>
  <c r="T1335" i="1"/>
  <c r="U1335" i="1" s="1"/>
  <c r="T1336" i="1"/>
  <c r="U1336" i="1" s="1"/>
  <c r="T1337" i="1"/>
  <c r="U1337" i="1" s="1"/>
  <c r="T1338" i="1"/>
  <c r="T1339" i="1"/>
  <c r="U1339" i="1" s="1"/>
  <c r="T1340" i="1"/>
  <c r="U1340" i="1" s="1"/>
  <c r="T1341" i="1"/>
  <c r="U1341" i="1" s="1"/>
  <c r="T1342" i="1"/>
  <c r="U1342" i="1" s="1"/>
  <c r="T1343" i="1"/>
  <c r="T1344" i="1"/>
  <c r="U1344" i="1" s="1"/>
  <c r="T1345" i="1"/>
  <c r="U1345" i="1" s="1"/>
  <c r="T1346" i="1"/>
  <c r="U1346" i="1" s="1"/>
  <c r="T1347" i="1"/>
  <c r="U1347" i="1" s="1"/>
  <c r="T1348" i="1"/>
  <c r="U1348" i="1" s="1"/>
  <c r="T1349" i="1"/>
  <c r="U1349" i="1" s="1"/>
  <c r="T1350" i="1"/>
  <c r="U1350" i="1" s="1"/>
  <c r="T1351" i="1"/>
  <c r="U1351" i="1" s="1"/>
  <c r="T1352" i="1"/>
  <c r="U1352" i="1" s="1"/>
  <c r="T1353" i="1"/>
  <c r="U1353" i="1" s="1"/>
  <c r="T1354" i="1"/>
  <c r="U1354" i="1" s="1"/>
  <c r="T1355" i="1"/>
  <c r="U1355" i="1" s="1"/>
  <c r="T1356" i="1"/>
  <c r="U1356" i="1" s="1"/>
  <c r="T1357" i="1"/>
  <c r="U1357" i="1" s="1"/>
  <c r="T1358" i="1"/>
  <c r="U1358" i="1" s="1"/>
  <c r="T1359" i="1"/>
  <c r="U1359" i="1" s="1"/>
  <c r="T1360" i="1"/>
  <c r="U1360" i="1" s="1"/>
  <c r="T1361" i="1"/>
  <c r="U1361" i="1" s="1"/>
  <c r="T1362" i="1"/>
  <c r="T1363" i="1"/>
  <c r="U1363" i="1" s="1"/>
  <c r="T1364" i="1"/>
  <c r="U1364" i="1" s="1"/>
  <c r="T1365" i="1"/>
  <c r="U1365" i="1" s="1"/>
  <c r="T1366" i="1"/>
  <c r="U1366" i="1" s="1"/>
  <c r="T1367" i="1"/>
  <c r="U1367" i="1" s="1"/>
  <c r="T1368" i="1"/>
  <c r="U1368" i="1" s="1"/>
  <c r="T1369" i="1"/>
  <c r="U1369" i="1" s="1"/>
  <c r="T1370" i="1"/>
  <c r="U1370" i="1" s="1"/>
  <c r="T1371" i="1"/>
  <c r="U1371" i="1" s="1"/>
  <c r="T1372" i="1"/>
  <c r="U1372" i="1" s="1"/>
  <c r="T1373" i="1"/>
  <c r="U1373" i="1" s="1"/>
  <c r="T1374" i="1"/>
  <c r="T1375" i="1"/>
  <c r="U1375" i="1" s="1"/>
  <c r="T1376" i="1"/>
  <c r="U1376" i="1" s="1"/>
  <c r="T1377" i="1"/>
  <c r="U1377" i="1" s="1"/>
  <c r="T1378" i="1"/>
  <c r="U1378" i="1" s="1"/>
  <c r="T1379" i="1"/>
  <c r="U1379" i="1" s="1"/>
  <c r="T1380" i="1"/>
  <c r="U1380" i="1" s="1"/>
  <c r="T1381" i="1"/>
  <c r="U1381" i="1" s="1"/>
  <c r="T1382" i="1"/>
  <c r="U1382" i="1" s="1"/>
  <c r="T1383" i="1"/>
  <c r="U1383" i="1" s="1"/>
  <c r="T1384" i="1"/>
  <c r="U1384" i="1" s="1"/>
  <c r="T1385" i="1"/>
  <c r="U1385" i="1" s="1"/>
  <c r="T1386" i="1"/>
  <c r="T1387" i="1"/>
  <c r="U1387" i="1" s="1"/>
  <c r="T1388" i="1"/>
  <c r="U1388" i="1" s="1"/>
  <c r="T1389" i="1"/>
  <c r="U1389" i="1" s="1"/>
  <c r="T1390" i="1"/>
  <c r="U1390" i="1" s="1"/>
  <c r="T1391" i="1"/>
  <c r="U1391" i="1" s="1"/>
  <c r="T1392" i="1"/>
  <c r="U1392" i="1" s="1"/>
  <c r="T1393" i="1"/>
  <c r="U1393" i="1" s="1"/>
  <c r="T1394" i="1"/>
  <c r="U1394" i="1" s="1"/>
  <c r="T1395" i="1"/>
  <c r="U1395" i="1" s="1"/>
  <c r="T1396" i="1"/>
  <c r="U1396" i="1" s="1"/>
  <c r="T1397" i="1"/>
  <c r="U1397" i="1" s="1"/>
  <c r="T1398" i="1"/>
  <c r="T1399" i="1"/>
  <c r="U1399" i="1" s="1"/>
  <c r="T1400" i="1"/>
  <c r="U1400" i="1" s="1"/>
  <c r="T1401" i="1"/>
  <c r="U1401" i="1" s="1"/>
  <c r="T1402" i="1"/>
  <c r="U1402" i="1" s="1"/>
  <c r="T1403" i="1"/>
  <c r="U1403" i="1" s="1"/>
  <c r="T1404" i="1"/>
  <c r="U1404" i="1" s="1"/>
  <c r="T1405" i="1"/>
  <c r="U1405" i="1" s="1"/>
  <c r="T1406" i="1"/>
  <c r="U1406" i="1" s="1"/>
  <c r="T1407" i="1"/>
  <c r="U1407" i="1" s="1"/>
  <c r="T1408" i="1"/>
  <c r="U1408" i="1" s="1"/>
  <c r="T1409" i="1"/>
  <c r="U1409" i="1" s="1"/>
  <c r="T1410" i="1"/>
  <c r="T1411" i="1"/>
  <c r="U1411" i="1" s="1"/>
  <c r="T1412" i="1"/>
  <c r="U1412" i="1" s="1"/>
  <c r="T1413" i="1"/>
  <c r="U1413" i="1" s="1"/>
  <c r="T1414" i="1"/>
  <c r="T1415" i="1"/>
  <c r="U1415" i="1" s="1"/>
  <c r="T1416" i="1"/>
  <c r="T1417" i="1"/>
  <c r="U1417" i="1" s="1"/>
  <c r="T1418" i="1"/>
  <c r="U1418" i="1" s="1"/>
  <c r="T1419" i="1"/>
  <c r="U1419" i="1" s="1"/>
  <c r="T1420" i="1"/>
  <c r="U1420" i="1" s="1"/>
  <c r="T1421" i="1"/>
  <c r="U1421" i="1" s="1"/>
  <c r="T1422" i="1"/>
  <c r="U1422" i="1" s="1"/>
  <c r="T1423" i="1"/>
  <c r="U1423" i="1" s="1"/>
  <c r="T1424" i="1"/>
  <c r="U1424" i="1" s="1"/>
  <c r="T1425" i="1"/>
  <c r="U1425" i="1" s="1"/>
  <c r="T1426" i="1"/>
  <c r="U1426" i="1" s="1"/>
  <c r="T1427" i="1"/>
  <c r="U1427" i="1" s="1"/>
  <c r="T1428" i="1"/>
  <c r="U1428" i="1" s="1"/>
  <c r="T1429" i="1"/>
  <c r="U1429" i="1" s="1"/>
  <c r="T1430" i="1"/>
  <c r="U1430" i="1" s="1"/>
  <c r="T1431" i="1"/>
  <c r="U1431" i="1" s="1"/>
  <c r="T1432" i="1"/>
  <c r="U1432" i="1" s="1"/>
  <c r="T1433" i="1"/>
  <c r="U1433" i="1" s="1"/>
  <c r="T1434" i="1"/>
  <c r="U1434" i="1" s="1"/>
  <c r="T1435" i="1"/>
  <c r="U1435" i="1" s="1"/>
  <c r="T1436" i="1"/>
  <c r="U1436" i="1" s="1"/>
  <c r="T1437" i="1"/>
  <c r="U1437" i="1" s="1"/>
  <c r="T1438" i="1"/>
  <c r="U1438" i="1" s="1"/>
  <c r="T1439" i="1"/>
  <c r="T1440" i="1"/>
  <c r="U1440" i="1" s="1"/>
  <c r="T1441" i="1"/>
  <c r="U1441" i="1" s="1"/>
  <c r="T1442" i="1"/>
  <c r="U1442" i="1" s="1"/>
  <c r="T1443" i="1"/>
  <c r="U1443" i="1" s="1"/>
  <c r="T1444" i="1"/>
  <c r="U1444" i="1" s="1"/>
  <c r="T1445" i="1"/>
  <c r="U1445" i="1" s="1"/>
  <c r="T1446" i="1"/>
  <c r="U1446" i="1" s="1"/>
  <c r="T1447" i="1"/>
  <c r="T1448" i="1"/>
  <c r="U1448" i="1" s="1"/>
  <c r="T1449" i="1"/>
  <c r="U1449" i="1" s="1"/>
  <c r="T1450" i="1"/>
  <c r="U1450" i="1" s="1"/>
  <c r="T1451" i="1"/>
  <c r="U1451" i="1" s="1"/>
  <c r="T1452" i="1"/>
  <c r="U1452" i="1" s="1"/>
  <c r="T1453" i="1"/>
  <c r="T1454" i="1"/>
  <c r="U1454" i="1" s="1"/>
  <c r="T1455" i="1"/>
  <c r="U1455" i="1" s="1"/>
  <c r="T1456" i="1"/>
  <c r="U1456" i="1" s="1"/>
  <c r="T1457" i="1"/>
  <c r="U1457" i="1" s="1"/>
  <c r="T1458" i="1"/>
  <c r="T1459" i="1"/>
  <c r="U1459" i="1" s="1"/>
  <c r="T1460" i="1"/>
  <c r="U1460" i="1" s="1"/>
  <c r="T1461" i="1"/>
  <c r="U1461" i="1" s="1"/>
  <c r="T1462" i="1"/>
  <c r="U1462" i="1" s="1"/>
  <c r="T1463" i="1"/>
  <c r="U1463" i="1" s="1"/>
  <c r="T1464" i="1"/>
  <c r="U1464" i="1" s="1"/>
  <c r="T1465" i="1"/>
  <c r="U1465" i="1" s="1"/>
  <c r="T1466" i="1"/>
  <c r="U1466" i="1" s="1"/>
  <c r="T1467" i="1"/>
  <c r="U1467" i="1" s="1"/>
  <c r="T1468" i="1"/>
  <c r="U1468" i="1" s="1"/>
  <c r="T1469" i="1"/>
  <c r="U1469" i="1" s="1"/>
  <c r="T1470" i="1"/>
  <c r="U1470" i="1" s="1"/>
  <c r="T1471" i="1"/>
  <c r="U1471" i="1" s="1"/>
  <c r="T1472" i="1"/>
  <c r="U1472" i="1" s="1"/>
  <c r="T1473" i="1"/>
  <c r="U1473" i="1" s="1"/>
  <c r="T1474" i="1"/>
  <c r="U1474" i="1" s="1"/>
  <c r="T1475" i="1"/>
  <c r="U1475" i="1" s="1"/>
  <c r="T1476" i="1"/>
  <c r="U1476" i="1" s="1"/>
  <c r="T1477" i="1"/>
  <c r="U1477" i="1" s="1"/>
  <c r="T1478" i="1"/>
  <c r="U1478" i="1" s="1"/>
  <c r="T1479" i="1"/>
  <c r="U1479" i="1" s="1"/>
  <c r="T1480" i="1"/>
  <c r="U1480" i="1" s="1"/>
  <c r="T1481" i="1"/>
  <c r="U1481" i="1" s="1"/>
  <c r="T1482" i="1"/>
  <c r="U1482" i="1" s="1"/>
  <c r="T1483" i="1"/>
  <c r="T1484" i="1"/>
  <c r="U1484" i="1" s="1"/>
  <c r="T1485" i="1"/>
  <c r="U1485" i="1" s="1"/>
  <c r="T1486" i="1"/>
  <c r="U1486" i="1" s="1"/>
  <c r="T1487" i="1"/>
  <c r="U1487" i="1" s="1"/>
  <c r="T1488" i="1"/>
  <c r="T1489" i="1"/>
  <c r="U1489" i="1" s="1"/>
  <c r="T1490" i="1"/>
  <c r="U1490" i="1" s="1"/>
  <c r="T1491" i="1"/>
  <c r="U1491" i="1" s="1"/>
  <c r="T1492" i="1"/>
  <c r="U1492" i="1" s="1"/>
  <c r="T1493" i="1"/>
  <c r="U1493" i="1" s="1"/>
  <c r="T1494" i="1"/>
  <c r="U1494" i="1" s="1"/>
  <c r="T1495" i="1"/>
  <c r="U1495" i="1" s="1"/>
  <c r="T1496" i="1"/>
  <c r="U1496" i="1" s="1"/>
  <c r="T1497" i="1"/>
  <c r="U1497" i="1" s="1"/>
  <c r="T1498" i="1"/>
  <c r="U1498" i="1" s="1"/>
  <c r="T1499" i="1"/>
  <c r="U1499" i="1" s="1"/>
  <c r="T1500" i="1"/>
  <c r="U1500" i="1" s="1"/>
  <c r="T1501" i="1"/>
  <c r="U1501" i="1" s="1"/>
  <c r="T2" i="1"/>
  <c r="P5"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2" i="1"/>
  <c r="P3" i="1"/>
  <c r="P4"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2" i="1"/>
  <c r="G5" i="8" l="1"/>
  <c r="B26" i="2"/>
  <c r="D26" i="2"/>
  <c r="C26" i="2"/>
  <c r="E26" i="2" s="1"/>
  <c r="D33" i="2"/>
  <c r="C33" i="2"/>
  <c r="B33" i="2"/>
  <c r="D25" i="2"/>
  <c r="C25" i="2"/>
  <c r="B25" i="2"/>
  <c r="C17" i="2"/>
  <c r="B3" i="2"/>
  <c r="B16" i="2"/>
  <c r="C15" i="2"/>
  <c r="C20" i="2"/>
  <c r="B17" i="2"/>
  <c r="C16" i="2"/>
  <c r="B15" i="2"/>
  <c r="B20" i="2"/>
  <c r="C19" i="2"/>
  <c r="B4" i="2"/>
  <c r="B18" i="2"/>
  <c r="B5" i="2"/>
  <c r="B19" i="2"/>
  <c r="C18" i="2"/>
  <c r="C32" i="2"/>
  <c r="B32" i="2"/>
  <c r="D32" i="2"/>
  <c r="B9" i="2"/>
  <c r="U2" i="1"/>
  <c r="D27" i="2"/>
  <c r="C27" i="2"/>
  <c r="E27" i="2" s="1"/>
  <c r="B27" i="2"/>
  <c r="D18" i="2" l="1"/>
  <c r="E32" i="2"/>
  <c r="D17" i="2"/>
  <c r="E25" i="2"/>
  <c r="E33" i="2"/>
  <c r="D16" i="2"/>
  <c r="D19" i="2"/>
  <c r="D31" i="2"/>
  <c r="C31" i="2"/>
  <c r="B31" i="2"/>
  <c r="D20" i="2"/>
  <c r="D15" i="2"/>
  <c r="E3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C030E5-E8E2-45BA-B85E-794B240EAC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6812BD-F0EB-4EC8-8C1C-CF7E9FCEF325}" name="WorksheetConnection_recruitment_data!$A:$X" type="102" refreshedVersion="8" minRefreshableVersion="5">
    <extLst>
      <ext xmlns:x15="http://schemas.microsoft.com/office/spreadsheetml/2010/11/main" uri="{DE250136-89BD-433C-8126-D09CA5730AF9}">
        <x15:connection id="Range" autoDelete="1">
          <x15:rangePr sourceName="_xlcn.WorksheetConnection_recruitment_dataAX"/>
        </x15:connection>
      </ext>
    </extLst>
  </connection>
</connections>
</file>

<file path=xl/sharedStrings.xml><?xml version="1.0" encoding="utf-8"?>
<sst xmlns="http://schemas.openxmlformats.org/spreadsheetml/2006/main" count="273" uniqueCount="129">
  <si>
    <t>Age</t>
  </si>
  <si>
    <t>Gender</t>
  </si>
  <si>
    <t>EducationLevel</t>
  </si>
  <si>
    <t>ExperienceYears</t>
  </si>
  <si>
    <t>PreviousCompanies</t>
  </si>
  <si>
    <t>DistanceFromCompany</t>
  </si>
  <si>
    <t>InterviewScore</t>
  </si>
  <si>
    <t>SkillScore</t>
  </si>
  <si>
    <t>PersonalityScore</t>
  </si>
  <si>
    <t>RecruitmentStrategy</t>
  </si>
  <si>
    <t>HiringDecision</t>
  </si>
  <si>
    <t>Candidate_id</t>
  </si>
  <si>
    <t>Gender_Name</t>
  </si>
  <si>
    <t>Education_Name</t>
  </si>
  <si>
    <t>Experience_Level</t>
  </si>
  <si>
    <t>Interview_Performance</t>
  </si>
  <si>
    <t>Technical_Skill_Level</t>
  </si>
  <si>
    <t>Personality_Level</t>
  </si>
  <si>
    <t>Hiring_Decision_Name</t>
  </si>
  <si>
    <t>Metric</t>
  </si>
  <si>
    <t>Value</t>
  </si>
  <si>
    <t>Total Candidates</t>
  </si>
  <si>
    <t>Total Hired</t>
  </si>
  <si>
    <t>Total Not Hired</t>
  </si>
  <si>
    <t>Hiring Rate</t>
  </si>
  <si>
    <t>Average Interview Score</t>
  </si>
  <si>
    <t>Average Skill Score</t>
  </si>
  <si>
    <t>Average Personality Score</t>
  </si>
  <si>
    <t>Average Readiness Score</t>
  </si>
  <si>
    <t>Candidate_Readiness_Score</t>
  </si>
  <si>
    <t>Readiness_Category</t>
  </si>
  <si>
    <t>Primary Strength</t>
  </si>
  <si>
    <t>Primary Gap</t>
  </si>
  <si>
    <t>Improvement Recommendation</t>
  </si>
  <si>
    <t>Hired</t>
  </si>
  <si>
    <t>Not Hired</t>
  </si>
  <si>
    <t>Candidate Count</t>
  </si>
  <si>
    <t>Avg Interview Score</t>
  </si>
  <si>
    <t>Avg Skill Score</t>
  </si>
  <si>
    <t>Avg Personality Score</t>
  </si>
  <si>
    <t>Avg Experience</t>
  </si>
  <si>
    <t>Avg Readiness Score</t>
  </si>
  <si>
    <t>Technical Skill Level</t>
  </si>
  <si>
    <t>Beginner</t>
  </si>
  <si>
    <t>Intermediate</t>
  </si>
  <si>
    <t>Advanced</t>
  </si>
  <si>
    <t>Difference</t>
  </si>
  <si>
    <t>Readiness Category</t>
  </si>
  <si>
    <t>Needs Improvement</t>
  </si>
  <si>
    <t>Developing</t>
  </si>
  <si>
    <t>Job Ready</t>
  </si>
  <si>
    <t>Grand Total</t>
  </si>
  <si>
    <t>Interview</t>
  </si>
  <si>
    <t>Personality</t>
  </si>
  <si>
    <t>Technical Skills</t>
  </si>
  <si>
    <t>Count of Candidate_id</t>
  </si>
  <si>
    <t>Bachelor's Type 1</t>
  </si>
  <si>
    <t>Entry Level</t>
  </si>
  <si>
    <t>Low</t>
  </si>
  <si>
    <t>Interview Preparation</t>
  </si>
  <si>
    <t>PhD</t>
  </si>
  <si>
    <t>Mid Level</t>
  </si>
  <si>
    <t>Bachelor's Type 2</t>
  </si>
  <si>
    <t>Average</t>
  </si>
  <si>
    <t>Personality &amp; Communication</t>
  </si>
  <si>
    <t>Senior Level</t>
  </si>
  <si>
    <t>Master's</t>
  </si>
  <si>
    <t>Strong</t>
  </si>
  <si>
    <t>Average of Candidate_Readiness_Score</t>
  </si>
  <si>
    <t>Total</t>
  </si>
  <si>
    <t>Overall</t>
  </si>
  <si>
    <t>Experience Level</t>
  </si>
  <si>
    <t>Interview Performance</t>
  </si>
  <si>
    <t>HireMap_Dashboard</t>
  </si>
  <si>
    <t>Hired  Candidates</t>
  </si>
  <si>
    <t>Row Labels</t>
  </si>
  <si>
    <t>Count of Hiring_Decision_Name</t>
  </si>
  <si>
    <t>Female</t>
  </si>
  <si>
    <t>hjghj</t>
  </si>
  <si>
    <t>jkk</t>
  </si>
  <si>
    <t>Candidate Hiring &amp; Readiness Intelligence</t>
  </si>
  <si>
    <t>1. Overall Hiring Performance</t>
  </si>
  <si>
    <r>
      <t xml:space="preserve">Total </t>
    </r>
    <r>
      <rPr>
        <b/>
        <sz val="11"/>
        <color theme="1"/>
        <rFont val="Calibri"/>
        <family val="2"/>
        <scheme val="minor"/>
      </rPr>
      <t>1,500 candidates</t>
    </r>
    <r>
      <rPr>
        <sz val="11"/>
        <color theme="1"/>
        <rFont val="Calibri"/>
        <family val="2"/>
        <scheme val="minor"/>
      </rPr>
      <t xml:space="preserve"> were evaluated.</t>
    </r>
  </si>
  <si>
    <r>
      <t xml:space="preserve">Out of these, </t>
    </r>
    <r>
      <rPr>
        <b/>
        <sz val="11"/>
        <color theme="1"/>
        <rFont val="Calibri"/>
        <family val="2"/>
        <scheme val="minor"/>
      </rPr>
      <t>465 candidates were hired</t>
    </r>
    <r>
      <rPr>
        <sz val="11"/>
        <color theme="1"/>
        <rFont val="Calibri"/>
        <family val="2"/>
        <scheme val="minor"/>
      </rPr>
      <t xml:space="preserve">, resulting in a </t>
    </r>
    <r>
      <rPr>
        <b/>
        <sz val="11"/>
        <color theme="1"/>
        <rFont val="Calibri"/>
        <family val="2"/>
        <scheme val="minor"/>
      </rPr>
      <t>31% hiring rate</t>
    </r>
    <r>
      <rPr>
        <sz val="11"/>
        <color theme="1"/>
        <rFont val="Calibri"/>
        <family val="2"/>
        <scheme val="minor"/>
      </rPr>
      <t>.</t>
    </r>
  </si>
  <si>
    <r>
      <t xml:space="preserve">This indicates that the organization follows a </t>
    </r>
    <r>
      <rPr>
        <b/>
        <sz val="11"/>
        <color theme="1"/>
        <rFont val="Calibri"/>
        <family val="2"/>
        <scheme val="minor"/>
      </rPr>
      <t>selective recruitment process</t>
    </r>
    <r>
      <rPr>
        <sz val="11"/>
        <color theme="1"/>
        <rFont val="Calibri"/>
        <family val="2"/>
        <scheme val="minor"/>
      </rPr>
      <t xml:space="preserve">, with nearly </t>
    </r>
    <r>
      <rPr>
        <b/>
        <sz val="11"/>
        <color theme="1"/>
        <rFont val="Calibri"/>
        <family val="2"/>
        <scheme val="minor"/>
      </rPr>
      <t>69% of applicants not being selected</t>
    </r>
    <r>
      <rPr>
        <sz val="11"/>
        <color theme="1"/>
        <rFont val="Calibri"/>
        <family val="2"/>
        <scheme val="minor"/>
      </rPr>
      <t>.</t>
    </r>
  </si>
  <si>
    <t>2. Candidate Readiness</t>
  </si>
  <si>
    <r>
      <t xml:space="preserve">The </t>
    </r>
    <r>
      <rPr>
        <b/>
        <sz val="11"/>
        <color theme="1"/>
        <rFont val="Calibri"/>
        <family val="2"/>
        <scheme val="minor"/>
      </rPr>
      <t>average readiness score is 51.10</t>
    </r>
    <r>
      <rPr>
        <sz val="11"/>
        <color theme="1"/>
        <rFont val="Calibri"/>
        <family val="2"/>
        <scheme val="minor"/>
      </rPr>
      <t>, which is around the midpoint of the readiness scale.</t>
    </r>
  </si>
  <si>
    <r>
      <t xml:space="preserve">This suggests that most candidates require </t>
    </r>
    <r>
      <rPr>
        <b/>
        <sz val="11"/>
        <color theme="1"/>
        <rFont val="Calibri"/>
        <family val="2"/>
        <scheme val="minor"/>
      </rPr>
      <t>additional training or skill enhancement</t>
    </r>
    <r>
      <rPr>
        <sz val="11"/>
        <color theme="1"/>
        <rFont val="Calibri"/>
        <family val="2"/>
        <scheme val="minor"/>
      </rPr>
      <t xml:space="preserve"> before becoming fully job-ready.</t>
    </r>
  </si>
  <si>
    <t>3. Recruitment Strategy Effectiveness</t>
  </si>
  <si>
    <r>
      <t>Job Portal</t>
    </r>
    <r>
      <rPr>
        <sz val="11"/>
        <color theme="1"/>
        <rFont val="Calibri"/>
        <family val="2"/>
        <scheme val="minor"/>
      </rPr>
      <t xml:space="preserve"> is the most effective recruitment source, attracting </t>
    </r>
    <r>
      <rPr>
        <b/>
        <sz val="11"/>
        <color theme="1"/>
        <rFont val="Calibri"/>
        <family val="2"/>
        <scheme val="minor"/>
      </rPr>
      <t>770 candidates</t>
    </r>
    <r>
      <rPr>
        <sz val="11"/>
        <color theme="1"/>
        <rFont val="Calibri"/>
        <family val="2"/>
        <scheme val="minor"/>
      </rPr>
      <t>, making it the primary hiring channel.</t>
    </r>
  </si>
  <si>
    <r>
      <t>Walk-in Drives</t>
    </r>
    <r>
      <rPr>
        <sz val="11"/>
        <color theme="1"/>
        <rFont val="Calibri"/>
        <family val="2"/>
        <scheme val="minor"/>
      </rPr>
      <t xml:space="preserve"> contributed </t>
    </r>
    <r>
      <rPr>
        <b/>
        <sz val="11"/>
        <color theme="1"/>
        <rFont val="Calibri"/>
        <family val="2"/>
        <scheme val="minor"/>
      </rPr>
      <t>445 candidates</t>
    </r>
    <r>
      <rPr>
        <sz val="11"/>
        <color theme="1"/>
        <rFont val="Calibri"/>
        <family val="2"/>
        <scheme val="minor"/>
      </rPr>
      <t>, showing moderate effectiveness.</t>
    </r>
  </si>
  <si>
    <r>
      <t>Campus Drives</t>
    </r>
    <r>
      <rPr>
        <sz val="11"/>
        <color theme="1"/>
        <rFont val="Calibri"/>
        <family val="2"/>
        <scheme val="minor"/>
      </rPr>
      <t xml:space="preserve"> generated only </t>
    </r>
    <r>
      <rPr>
        <b/>
        <sz val="11"/>
        <color theme="1"/>
        <rFont val="Calibri"/>
        <family val="2"/>
        <scheme val="minor"/>
      </rPr>
      <t>285 candidates</t>
    </r>
    <r>
      <rPr>
        <sz val="11"/>
        <color theme="1"/>
        <rFont val="Calibri"/>
        <family val="2"/>
        <scheme val="minor"/>
      </rPr>
      <t>, indicating comparatively lower contribution.</t>
    </r>
  </si>
  <si>
    <r>
      <t>Insight:</t>
    </r>
    <r>
      <rPr>
        <sz val="11"/>
        <color theme="1"/>
        <rFont val="Calibri"/>
        <family val="2"/>
        <scheme val="minor"/>
      </rPr>
      <t xml:space="preserve"> The company should continue investing in Job Portals while improving Campus Hiring strategies.</t>
    </r>
  </si>
  <si>
    <t>4. Experience Level Analysis</t>
  </si>
  <si>
    <r>
      <t>Senior-level candidates</t>
    </r>
    <r>
      <rPr>
        <sz val="11"/>
        <color theme="1"/>
        <rFont val="Calibri"/>
        <family val="2"/>
        <scheme val="minor"/>
      </rPr>
      <t xml:space="preserve"> show the highest hiring volume (</t>
    </r>
    <r>
      <rPr>
        <b/>
        <sz val="11"/>
        <color theme="1"/>
        <rFont val="Calibri"/>
        <family val="2"/>
        <scheme val="minor"/>
      </rPr>
      <t>871 candidates</t>
    </r>
    <r>
      <rPr>
        <sz val="11"/>
        <color theme="1"/>
        <rFont val="Calibri"/>
        <family val="2"/>
        <scheme val="minor"/>
      </rPr>
      <t>).</t>
    </r>
  </si>
  <si>
    <r>
      <t>Mid-level candidates</t>
    </r>
    <r>
      <rPr>
        <sz val="11"/>
        <color theme="1"/>
        <rFont val="Calibri"/>
        <family val="2"/>
        <scheme val="minor"/>
      </rPr>
      <t xml:space="preserve"> account for </t>
    </r>
    <r>
      <rPr>
        <b/>
        <sz val="11"/>
        <color theme="1"/>
        <rFont val="Calibri"/>
        <family val="2"/>
        <scheme val="minor"/>
      </rPr>
      <t>359 candidates</t>
    </r>
    <r>
      <rPr>
        <sz val="11"/>
        <color theme="1"/>
        <rFont val="Calibri"/>
        <family val="2"/>
        <scheme val="minor"/>
      </rPr>
      <t>.</t>
    </r>
  </si>
  <si>
    <r>
      <t>Entry-level candidates</t>
    </r>
    <r>
      <rPr>
        <sz val="11"/>
        <color theme="1"/>
        <rFont val="Calibri"/>
        <family val="2"/>
        <scheme val="minor"/>
      </rPr>
      <t xml:space="preserve"> are the lowest at </t>
    </r>
    <r>
      <rPr>
        <b/>
        <sz val="11"/>
        <color theme="1"/>
        <rFont val="Calibri"/>
        <family val="2"/>
        <scheme val="minor"/>
      </rPr>
      <t>270 candidates</t>
    </r>
    <r>
      <rPr>
        <sz val="11"/>
        <color theme="1"/>
        <rFont val="Calibri"/>
        <family val="2"/>
        <scheme val="minor"/>
      </rPr>
      <t>.</t>
    </r>
  </si>
  <si>
    <r>
      <t>Insight:</t>
    </r>
    <r>
      <rPr>
        <sz val="11"/>
        <color theme="1"/>
        <rFont val="Calibri"/>
        <family val="2"/>
        <scheme val="minor"/>
      </rPr>
      <t xml:space="preserve"> Recruitment demand is primarily focused on experienced professionals rather than freshers.</t>
    </r>
  </si>
  <si>
    <t>5. Gender-wise Hiring</t>
  </si>
  <si>
    <t>Hiring is almost equally distributed between genders:</t>
  </si>
  <si>
    <r>
      <t>Male:</t>
    </r>
    <r>
      <rPr>
        <sz val="11"/>
        <color theme="1"/>
        <rFont val="Calibri"/>
        <family val="2"/>
        <scheme val="minor"/>
      </rPr>
      <t xml:space="preserve"> 762</t>
    </r>
  </si>
  <si>
    <r>
      <t>Female:</t>
    </r>
    <r>
      <rPr>
        <sz val="11"/>
        <color theme="1"/>
        <rFont val="Calibri"/>
        <family val="2"/>
        <scheme val="minor"/>
      </rPr>
      <t xml:space="preserve"> 738</t>
    </r>
  </si>
  <si>
    <r>
      <t>Insight:</t>
    </r>
    <r>
      <rPr>
        <sz val="11"/>
        <color theme="1"/>
        <rFont val="Calibri"/>
        <family val="2"/>
        <scheme val="minor"/>
      </rPr>
      <t xml:space="preserve"> The recruitment process demonstrates </t>
    </r>
    <r>
      <rPr>
        <b/>
        <sz val="11"/>
        <color theme="1"/>
        <rFont val="Calibri"/>
        <family val="2"/>
        <scheme val="minor"/>
      </rPr>
      <t>balanced gender representation</t>
    </r>
    <r>
      <rPr>
        <sz val="11"/>
        <color theme="1"/>
        <rFont val="Calibri"/>
        <family val="2"/>
        <scheme val="minor"/>
      </rPr>
      <t>, indicating fair hiring practices.</t>
    </r>
  </si>
  <si>
    <t>6. Interview Performance vs Readiness</t>
  </si>
  <si>
    <r>
      <t xml:space="preserve">Candidates with </t>
    </r>
    <r>
      <rPr>
        <b/>
        <sz val="11"/>
        <color theme="1"/>
        <rFont val="Calibri"/>
        <family val="2"/>
        <scheme val="minor"/>
      </rPr>
      <t>Strong interview performance</t>
    </r>
    <r>
      <rPr>
        <sz val="11"/>
        <color theme="1"/>
        <rFont val="Calibri"/>
        <family val="2"/>
        <scheme val="minor"/>
      </rPr>
      <t xml:space="preserve"> achieved an average readiness score of </t>
    </r>
    <r>
      <rPr>
        <b/>
        <sz val="11"/>
        <color theme="1"/>
        <rFont val="Calibri"/>
        <family val="2"/>
        <scheme val="minor"/>
      </rPr>
      <t>62</t>
    </r>
    <r>
      <rPr>
        <sz val="11"/>
        <color theme="1"/>
        <rFont val="Calibri"/>
        <family val="2"/>
        <scheme val="minor"/>
      </rPr>
      <t>.</t>
    </r>
  </si>
  <si>
    <r>
      <t xml:space="preserve">Candidates with </t>
    </r>
    <r>
      <rPr>
        <b/>
        <sz val="11"/>
        <color theme="1"/>
        <rFont val="Calibri"/>
        <family val="2"/>
        <scheme val="minor"/>
      </rPr>
      <t>Average interview performance</t>
    </r>
    <r>
      <rPr>
        <sz val="11"/>
        <color theme="1"/>
        <rFont val="Calibri"/>
        <family val="2"/>
        <scheme val="minor"/>
      </rPr>
      <t xml:space="preserve"> scored </t>
    </r>
    <r>
      <rPr>
        <b/>
        <sz val="11"/>
        <color theme="1"/>
        <rFont val="Calibri"/>
        <family val="2"/>
        <scheme val="minor"/>
      </rPr>
      <t>54</t>
    </r>
    <r>
      <rPr>
        <sz val="11"/>
        <color theme="1"/>
        <rFont val="Calibri"/>
        <family val="2"/>
        <scheme val="minor"/>
      </rPr>
      <t>.</t>
    </r>
  </si>
  <si>
    <r>
      <t>Insight:</t>
    </r>
    <r>
      <rPr>
        <sz val="11"/>
        <color theme="1"/>
        <rFont val="Calibri"/>
        <family val="2"/>
        <scheme val="minor"/>
      </rPr>
      <t xml:space="preserve"> Better interview performance is strongly associated with higher candidate readiness.</t>
    </r>
  </si>
  <si>
    <t>7. Education Level Distribution</t>
  </si>
  <si>
    <r>
      <t>Bachelor's Degree holders</t>
    </r>
    <r>
      <rPr>
        <sz val="11"/>
        <color theme="1"/>
        <rFont val="Calibri"/>
        <family val="2"/>
        <scheme val="minor"/>
      </rPr>
      <t xml:space="preserve"> represent the largest candidate pool (</t>
    </r>
    <r>
      <rPr>
        <b/>
        <sz val="11"/>
        <color theme="1"/>
        <rFont val="Calibri"/>
        <family val="2"/>
        <scheme val="minor"/>
      </rPr>
      <t>740</t>
    </r>
    <r>
      <rPr>
        <sz val="11"/>
        <color theme="1"/>
        <rFont val="Calibri"/>
        <family val="2"/>
        <scheme val="minor"/>
      </rPr>
      <t>).</t>
    </r>
  </si>
  <si>
    <r>
      <t xml:space="preserve">Master's degree candidates account for </t>
    </r>
    <r>
      <rPr>
        <b/>
        <sz val="11"/>
        <color theme="1"/>
        <rFont val="Calibri"/>
        <family val="2"/>
        <scheme val="minor"/>
      </rPr>
      <t>317</t>
    </r>
    <r>
      <rPr>
        <sz val="11"/>
        <color theme="1"/>
        <rFont val="Calibri"/>
        <family val="2"/>
        <scheme val="minor"/>
      </rPr>
      <t>.</t>
    </r>
  </si>
  <si>
    <r>
      <t>PhD candidates are the smallest group (</t>
    </r>
    <r>
      <rPr>
        <b/>
        <sz val="11"/>
        <color theme="1"/>
        <rFont val="Calibri"/>
        <family val="2"/>
        <scheme val="minor"/>
      </rPr>
      <t>136</t>
    </r>
    <r>
      <rPr>
        <sz val="11"/>
        <color theme="1"/>
        <rFont val="Calibri"/>
        <family val="2"/>
        <scheme val="minor"/>
      </rPr>
      <t>).</t>
    </r>
  </si>
  <si>
    <r>
      <t>Insight:</t>
    </r>
    <r>
      <rPr>
        <sz val="11"/>
        <color theme="1"/>
        <rFont val="Calibri"/>
        <family val="2"/>
        <scheme val="minor"/>
      </rPr>
      <t xml:space="preserve"> Most applicants possess undergraduate qualifications, making Bachelor's graduates the primary talent source.</t>
    </r>
  </si>
  <si>
    <t>8. Hiring Decision Distribution</t>
  </si>
  <si>
    <r>
      <t>69% of candidates were not hired</t>
    </r>
    <r>
      <rPr>
        <sz val="11"/>
        <color theme="1"/>
        <rFont val="Calibri"/>
        <family val="2"/>
        <scheme val="minor"/>
      </rPr>
      <t xml:space="preserve">, while </t>
    </r>
    <r>
      <rPr>
        <b/>
        <sz val="11"/>
        <color theme="1"/>
        <rFont val="Calibri"/>
        <family val="2"/>
        <scheme val="minor"/>
      </rPr>
      <t>31% were selected</t>
    </r>
    <r>
      <rPr>
        <sz val="11"/>
        <color theme="1"/>
        <rFont val="Calibri"/>
        <family val="2"/>
        <scheme val="minor"/>
      </rPr>
      <t>.</t>
    </r>
  </si>
  <si>
    <r>
      <t>Insight:</t>
    </r>
    <r>
      <rPr>
        <sz val="11"/>
        <color theme="1"/>
        <rFont val="Calibri"/>
        <family val="2"/>
        <scheme val="minor"/>
      </rPr>
      <t xml:space="preserve"> The hiring process maintains high selection standards, ensuring only qualified candidates are recruited.</t>
    </r>
  </si>
  <si>
    <t>9. Candidate Strength Analysis</t>
  </si>
  <si>
    <t>The most common strengths identified among candidates are:</t>
  </si>
  <si>
    <t>Interview Skills – 524</t>
  </si>
  <si>
    <t>Technical Skills – 506</t>
  </si>
  <si>
    <t>Personality – 470</t>
  </si>
  <si>
    <r>
      <t>Insight:</t>
    </r>
    <r>
      <rPr>
        <sz val="11"/>
        <color theme="1"/>
        <rFont val="Calibri"/>
        <family val="2"/>
        <scheme val="minor"/>
      </rPr>
      <t xml:space="preserve"> Interview performance and technical expertise are the strongest competencies among successful candidates.</t>
    </r>
  </si>
  <si>
    <r>
      <t xml:space="preserve">Increase investment in </t>
    </r>
    <r>
      <rPr>
        <b/>
        <sz val="11"/>
        <color theme="1"/>
        <rFont val="Calibri"/>
        <family val="2"/>
        <scheme val="minor"/>
      </rPr>
      <t>Job Portal recruitment</t>
    </r>
    <r>
      <rPr>
        <sz val="11"/>
        <color theme="1"/>
        <rFont val="Calibri"/>
        <family val="2"/>
        <scheme val="minor"/>
      </rPr>
      <t>, as it delivers the highest candidate volume.</t>
    </r>
  </si>
  <si>
    <r>
      <t xml:space="preserve">Improve </t>
    </r>
    <r>
      <rPr>
        <b/>
        <sz val="11"/>
        <color theme="1"/>
        <rFont val="Calibri"/>
        <family val="2"/>
        <scheme val="minor"/>
      </rPr>
      <t>Campus Recruitment Programs</t>
    </r>
    <r>
      <rPr>
        <sz val="11"/>
        <color theme="1"/>
        <rFont val="Calibri"/>
        <family val="2"/>
        <scheme val="minor"/>
      </rPr>
      <t xml:space="preserve"> to attract higher-quality fresh talent.</t>
    </r>
  </si>
  <si>
    <r>
      <t xml:space="preserve">Introduce </t>
    </r>
    <r>
      <rPr>
        <b/>
        <sz val="11"/>
        <color theme="1"/>
        <rFont val="Calibri"/>
        <family val="2"/>
        <scheme val="minor"/>
      </rPr>
      <t>training programs</t>
    </r>
    <r>
      <rPr>
        <sz val="11"/>
        <color theme="1"/>
        <rFont val="Calibri"/>
        <family val="2"/>
        <scheme val="minor"/>
      </rPr>
      <t xml:space="preserve"> to increase the average readiness score beyond 60.</t>
    </r>
  </si>
  <si>
    <r>
      <t xml:space="preserve">Maintain the current </t>
    </r>
    <r>
      <rPr>
        <b/>
        <sz val="11"/>
        <color theme="1"/>
        <rFont val="Calibri"/>
        <family val="2"/>
        <scheme val="minor"/>
      </rPr>
      <t>gender-balanced hiring approach</t>
    </r>
    <r>
      <rPr>
        <sz val="11"/>
        <color theme="1"/>
        <rFont val="Calibri"/>
        <family val="2"/>
        <scheme val="minor"/>
      </rPr>
      <t>.</t>
    </r>
  </si>
  <si>
    <r>
      <t xml:space="preserve">Develop more opportunities for </t>
    </r>
    <r>
      <rPr>
        <b/>
        <sz val="11"/>
        <color theme="1"/>
        <rFont val="Calibri"/>
        <family val="2"/>
        <scheme val="minor"/>
      </rPr>
      <t>entry-level candidates</t>
    </r>
    <r>
      <rPr>
        <sz val="11"/>
        <color theme="1"/>
        <rFont val="Calibri"/>
        <family val="2"/>
        <scheme val="minor"/>
      </rPr>
      <t xml:space="preserve"> to strengthen the future talent pipeline.</t>
    </r>
  </si>
  <si>
    <r>
      <t xml:space="preserve">Continue emphasizing </t>
    </r>
    <r>
      <rPr>
        <b/>
        <sz val="11"/>
        <color theme="1"/>
        <rFont val="Calibri"/>
        <family val="2"/>
        <scheme val="minor"/>
      </rPr>
      <t>technical and interview skill assessments</t>
    </r>
    <r>
      <rPr>
        <sz val="11"/>
        <color theme="1"/>
        <rFont val="Calibri"/>
        <family val="2"/>
        <scheme val="minor"/>
      </rPr>
      <t>, as these are key indicators of hiring success.</t>
    </r>
  </si>
  <si>
    <t xml:space="preserve"> Key Insights</t>
  </si>
  <si>
    <t xml:space="preserve"> Business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</si>
</sst>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Arial"/>
      <family val="2"/>
    </font>
    <font>
      <b/>
      <sz val="24"/>
      <color theme="1"/>
      <name val="Calibri"/>
      <family val="2"/>
      <scheme val="minor"/>
    </font>
    <font>
      <b/>
      <sz val="22"/>
      <color theme="1"/>
      <name val="Arial"/>
      <family val="2"/>
    </font>
    <font>
      <b/>
      <sz val="28"/>
      <color theme="1"/>
      <name val="Calibri"/>
      <family val="2"/>
      <scheme val="minor"/>
    </font>
    <font>
      <b/>
      <sz val="12"/>
      <color theme="1"/>
      <name val="Calibri"/>
      <family val="2"/>
      <scheme val="minor"/>
    </font>
    <font>
      <b/>
      <sz val="22"/>
      <color theme="1"/>
      <name val="Calibri"/>
      <family val="2"/>
      <scheme val="minor"/>
    </font>
    <font>
      <b/>
      <sz val="18"/>
      <color theme="1"/>
      <name val="Calibri"/>
      <family val="2"/>
      <scheme val="minor"/>
    </font>
    <font>
      <b/>
      <sz val="13.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pivotButton="1"/>
    <xf numFmtId="10" fontId="0" fillId="0" borderId="0" xfId="0" applyNumberFormat="1"/>
    <xf numFmtId="0" fontId="16" fillId="0" borderId="0" xfId="0" applyFont="1" applyAlignment="1">
      <alignment vertical="center" wrapText="1"/>
    </xf>
    <xf numFmtId="10" fontId="16" fillId="0" borderId="0" xfId="0" applyNumberFormat="1" applyFont="1" applyAlignment="1">
      <alignment horizontal="right" vertical="center" wrapText="1"/>
    </xf>
    <xf numFmtId="0" fontId="0" fillId="0" borderId="0" xfId="0" applyAlignment="1">
      <alignment horizontal="left"/>
    </xf>
    <xf numFmtId="0" fontId="0" fillId="0" borderId="21" xfId="0" applyBorder="1"/>
    <xf numFmtId="0" fontId="0" fillId="0" borderId="16" xfId="0" applyBorder="1"/>
    <xf numFmtId="0" fontId="0" fillId="34" borderId="21" xfId="0" applyFill="1" applyBorder="1"/>
    <xf numFmtId="0" fontId="0" fillId="0" borderId="20" xfId="0" applyBorder="1"/>
    <xf numFmtId="0" fontId="22" fillId="33" borderId="12" xfId="0" applyFont="1" applyFill="1" applyBorder="1" applyAlignment="1">
      <alignment horizontal="center" vertical="center"/>
    </xf>
    <xf numFmtId="0" fontId="22" fillId="33" borderId="13" xfId="0" applyFont="1" applyFill="1" applyBorder="1" applyAlignment="1">
      <alignment horizontal="center" vertical="center"/>
    </xf>
    <xf numFmtId="0" fontId="22" fillId="33" borderId="14" xfId="0" applyFont="1" applyFill="1" applyBorder="1" applyAlignment="1">
      <alignment horizontal="center" vertical="center"/>
    </xf>
    <xf numFmtId="0" fontId="16" fillId="0" borderId="10" xfId="0" applyFont="1" applyBorder="1" applyAlignment="1">
      <alignment horizontal="center"/>
    </xf>
    <xf numFmtId="0" fontId="21" fillId="35" borderId="10" xfId="0" applyFont="1" applyFill="1" applyBorder="1" applyAlignment="1">
      <alignment horizontal="center" vertical="center"/>
    </xf>
    <xf numFmtId="0" fontId="18" fillId="33" borderId="15" xfId="0" applyFont="1" applyFill="1" applyBorder="1" applyAlignment="1">
      <alignment horizontal="center" vertical="center"/>
    </xf>
    <xf numFmtId="0" fontId="0" fillId="33" borderId="11" xfId="0" applyFill="1" applyBorder="1" applyAlignment="1">
      <alignment horizontal="center" vertical="center"/>
    </xf>
    <xf numFmtId="0" fontId="0" fillId="33" borderId="16" xfId="0" applyFill="1" applyBorder="1" applyAlignment="1">
      <alignment horizontal="center" vertical="center"/>
    </xf>
    <xf numFmtId="0" fontId="20" fillId="35" borderId="10" xfId="0" applyFont="1" applyFill="1" applyBorder="1" applyAlignment="1">
      <alignment horizontal="center" vertical="center"/>
    </xf>
    <xf numFmtId="0" fontId="16" fillId="0" borderId="17"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9" fillId="35" borderId="10" xfId="0" applyFont="1" applyFill="1" applyBorder="1" applyAlignment="1">
      <alignment horizontal="center" vertical="center"/>
    </xf>
    <xf numFmtId="0" fontId="16" fillId="0" borderId="18" xfId="0" applyFont="1" applyBorder="1" applyAlignment="1">
      <alignment horizontal="center"/>
    </xf>
    <xf numFmtId="0" fontId="16" fillId="0" borderId="19" xfId="0" applyFont="1" applyBorder="1" applyAlignment="1">
      <alignment horizontal="center"/>
    </xf>
    <xf numFmtId="9" fontId="21" fillId="35" borderId="10" xfId="42" applyFont="1" applyFill="1" applyBorder="1" applyAlignment="1">
      <alignment horizontal="center" vertical="center"/>
    </xf>
    <xf numFmtId="2" fontId="23" fillId="35" borderId="10" xfId="42" applyNumberFormat="1" applyFont="1" applyFill="1" applyBorder="1" applyAlignment="1">
      <alignment horizontal="center" vertical="center"/>
    </xf>
    <xf numFmtId="0" fontId="24" fillId="0" borderId="0" xfId="0" applyFont="1" applyAlignment="1">
      <alignment vertical="center"/>
    </xf>
    <xf numFmtId="0" fontId="25" fillId="0" borderId="0" xfId="0" applyFont="1" applyAlignment="1">
      <alignment vertical="center"/>
    </xf>
    <xf numFmtId="0" fontId="0" fillId="0" borderId="0" xfId="0" applyAlignment="1">
      <alignment horizontal="left" vertical="center" indent="1"/>
    </xf>
    <xf numFmtId="0" fontId="16" fillId="0" borderId="0" xfId="0" applyFont="1"/>
    <xf numFmtId="0" fontId="16" fillId="0" borderId="0" xfId="0" applyFont="1" applyAlignment="1">
      <alignment horizontal="left" vertical="center" indent="1"/>
    </xf>
    <xf numFmtId="0" fontId="0" fillId="0" borderId="0" xfId="0" applyAlignment="1">
      <alignment horizontal="left" vertical="center" indent="2"/>
    </xf>
    <xf numFmtId="0" fontId="16" fillId="0" borderId="0" xfId="0" applyFont="1" applyAlignment="1">
      <alignment horizontal="left" vertical="center" indent="2"/>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[Hire_Map Project.xlsx]Sheet2!PivotTable4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77000"/>
            </a:schemeClr>
          </a:solidFill>
          <a:ln w="19050">
            <a:solidFill>
              <a:schemeClr val="lt1"/>
            </a:solidFill>
          </a:ln>
          <a:effectLst/>
        </c:spPr>
        <c:dLbl>
          <c:idx val="0"/>
          <c:layout>
            <c:manualLayout>
              <c:x val="-0.17499999999999999"/>
              <c:y val="1.205562846310877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05555555555555"/>
                  <c:h val="0.18634259259259259"/>
                </c:manualLayout>
              </c15:layout>
            </c:ext>
          </c:extLst>
        </c:dLbl>
      </c:pivotFmt>
      <c:pivotFmt>
        <c:idx val="2"/>
        <c:spPr>
          <a:solidFill>
            <a:schemeClr val="accent4">
              <a:shade val="76000"/>
            </a:schemeClr>
          </a:solidFill>
          <a:ln w="19050">
            <a:solidFill>
              <a:schemeClr val="lt1"/>
            </a:solidFill>
          </a:ln>
          <a:effectLst/>
        </c:spPr>
        <c:dLbl>
          <c:idx val="0"/>
          <c:layout>
            <c:manualLayout>
              <c:x val="0.14166666666666666"/>
              <c:y val="2.6130067074948966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0.17245370370370372"/>
                </c:manualLayout>
              </c15:layout>
            </c:ext>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tint val="77000"/>
            </a:schemeClr>
          </a:solidFill>
          <a:ln w="19050">
            <a:solidFill>
              <a:schemeClr val="lt1"/>
            </a:solidFill>
          </a:ln>
          <a:effectLst/>
        </c:spPr>
        <c:dLbl>
          <c:idx val="0"/>
          <c:layout>
            <c:manualLayout>
              <c:x val="-0.17499999999999999"/>
              <c:y val="1.205562846310877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05555555555555"/>
                  <c:h val="0.18634259259259259"/>
                </c:manualLayout>
              </c15:layout>
            </c:ext>
          </c:extLst>
        </c:dLbl>
      </c:pivotFmt>
      <c:pivotFmt>
        <c:idx val="5"/>
        <c:spPr>
          <a:solidFill>
            <a:schemeClr val="accent4">
              <a:shade val="76000"/>
            </a:schemeClr>
          </a:solidFill>
          <a:ln w="19050">
            <a:solidFill>
              <a:schemeClr val="lt1"/>
            </a:solidFill>
          </a:ln>
          <a:effectLst/>
        </c:spPr>
        <c:dLbl>
          <c:idx val="0"/>
          <c:layout>
            <c:manualLayout>
              <c:x val="0.14166666666666666"/>
              <c:y val="2.6130067074948966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0.17245370370370372"/>
                </c:manualLayout>
              </c15:layout>
            </c:ext>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77000"/>
            </a:schemeClr>
          </a:solidFill>
          <a:ln w="19050">
            <a:solidFill>
              <a:schemeClr val="lt1"/>
            </a:solidFill>
          </a:ln>
          <a:effectLst/>
        </c:spPr>
        <c:dLbl>
          <c:idx val="0"/>
          <c:layout>
            <c:manualLayout>
              <c:x val="-0.17499999999999999"/>
              <c:y val="1.205562846310877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05555555555555"/>
                  <c:h val="0.18634259259259259"/>
                </c:manualLayout>
              </c15:layout>
            </c:ext>
          </c:extLst>
        </c:dLbl>
      </c:pivotFmt>
      <c:pivotFmt>
        <c:idx val="8"/>
        <c:spPr>
          <a:solidFill>
            <a:schemeClr val="accent4">
              <a:shade val="76000"/>
            </a:schemeClr>
          </a:solidFill>
          <a:ln w="19050">
            <a:solidFill>
              <a:schemeClr val="lt1"/>
            </a:solidFill>
          </a:ln>
          <a:effectLst/>
        </c:spPr>
        <c:dLbl>
          <c:idx val="0"/>
          <c:layout>
            <c:manualLayout>
              <c:x val="0.14166666666666666"/>
              <c:y val="2.6130067074948966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0.17245370370370372"/>
                </c:manualLayout>
              </c15:layout>
            </c:ext>
          </c:extLst>
        </c:dLbl>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tint val="77000"/>
            </a:schemeClr>
          </a:solidFill>
          <a:ln w="19050">
            <a:solidFill>
              <a:schemeClr val="lt1"/>
            </a:solidFill>
          </a:ln>
          <a:effectLst/>
        </c:spPr>
        <c:dLbl>
          <c:idx val="0"/>
          <c:layout>
            <c:manualLayout>
              <c:x val="-0.17499999999999999"/>
              <c:y val="1.205562846310877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05555555555555"/>
                  <c:h val="0.18634259259259259"/>
                </c:manualLayout>
              </c15:layout>
            </c:ext>
          </c:extLst>
        </c:dLbl>
      </c:pivotFmt>
      <c:pivotFmt>
        <c:idx val="11"/>
        <c:spPr>
          <a:solidFill>
            <a:schemeClr val="accent4">
              <a:shade val="76000"/>
            </a:schemeClr>
          </a:solidFill>
          <a:ln w="19050">
            <a:solidFill>
              <a:schemeClr val="lt1"/>
            </a:solidFill>
          </a:ln>
          <a:effectLst/>
        </c:spPr>
        <c:dLbl>
          <c:idx val="0"/>
          <c:layout>
            <c:manualLayout>
              <c:x val="0.14166666666666666"/>
              <c:y val="2.6130067074948966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0.17245370370370372"/>
                </c:manualLayout>
              </c15:layout>
            </c:ext>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tint val="77000"/>
            </a:schemeClr>
          </a:solidFill>
          <a:ln w="19050">
            <a:solidFill>
              <a:schemeClr val="lt1"/>
            </a:solidFill>
          </a:ln>
          <a:effectLst/>
        </c:spPr>
        <c:dLbl>
          <c:idx val="0"/>
          <c:layout>
            <c:manualLayout>
              <c:x val="-0.17499999999999999"/>
              <c:y val="1.205562846310877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05555555555555"/>
                  <c:h val="0.18634259259259259"/>
                </c:manualLayout>
              </c15:layout>
            </c:ext>
          </c:extLst>
        </c:dLbl>
      </c:pivotFmt>
      <c:pivotFmt>
        <c:idx val="14"/>
        <c:spPr>
          <a:solidFill>
            <a:schemeClr val="accent4">
              <a:shade val="76000"/>
            </a:schemeClr>
          </a:solidFill>
          <a:ln w="19050">
            <a:solidFill>
              <a:schemeClr val="lt1"/>
            </a:solidFill>
          </a:ln>
          <a:effectLst/>
        </c:spPr>
        <c:dLbl>
          <c:idx val="0"/>
          <c:layout>
            <c:manualLayout>
              <c:x val="0.14166666666666666"/>
              <c:y val="2.6130067074948966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583333333333334E-2"/>
                  <c:h val="0.17245370370370372"/>
                </c:manualLayout>
              </c15:layout>
            </c:ext>
          </c:extLst>
        </c:dLbl>
      </c:pivotFmt>
    </c:pivotFmts>
    <c:plotArea>
      <c:layout/>
      <c:pieChart>
        <c:varyColors val="1"/>
        <c:ser>
          <c:idx val="0"/>
          <c:order val="0"/>
          <c:tx>
            <c:strRef>
              <c:f>Sheet2!$B$3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04D5-4ED0-8D09-0A83AC3B3BF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4D5-4ED0-8D09-0A83AC3B3BF1}"/>
              </c:ext>
            </c:extLst>
          </c:dPt>
          <c:dLbls>
            <c:dLbl>
              <c:idx val="0"/>
              <c:layout>
                <c:manualLayout>
                  <c:x val="-0.17499999999999999"/>
                  <c:y val="1.205562846310877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805555555555555"/>
                      <c:h val="0.18634259259259259"/>
                    </c:manualLayout>
                  </c15:layout>
                </c:ext>
                <c:ext xmlns:c16="http://schemas.microsoft.com/office/drawing/2014/chart" uri="{C3380CC4-5D6E-409C-BE32-E72D297353CC}">
                  <c16:uniqueId val="{00000001-04D5-4ED0-8D09-0A83AC3B3B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Sheet2!$A$4:$A$5</c:f>
              <c:strCache>
                <c:ptCount val="1"/>
                <c:pt idx="0">
                  <c:v>Female</c:v>
                </c:pt>
              </c:strCache>
            </c:strRef>
          </c:cat>
          <c:val>
            <c:numRef>
              <c:f>Sheet2!$B$4:$B$5</c:f>
              <c:numCache>
                <c:formatCode>General</c:formatCode>
                <c:ptCount val="1"/>
                <c:pt idx="0">
                  <c:v>738</c:v>
                </c:pt>
              </c:numCache>
            </c:numRef>
          </c:val>
          <c:extLst>
            <c:ext xmlns:c16="http://schemas.microsoft.com/office/drawing/2014/chart" uri="{C3380CC4-5D6E-409C-BE32-E72D297353CC}">
              <c16:uniqueId val="{00000004-04D5-4ED0-8D09-0A83AC3B3BF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[Hire_Map Project.xlsx]Sheet1!PivotTable3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Decision Distribution </a:t>
            </a:r>
          </a:p>
        </c:rich>
      </c:tx>
      <c:layout>
        <c:manualLayout>
          <c:xMode val="edge"/>
          <c:yMode val="edge"/>
          <c:x val="0.37891666666666668"/>
          <c:y val="3.6016331291921846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Hired</c:v>
                </c:pt>
                <c:pt idx="1">
                  <c:v>Not Hired</c:v>
                </c:pt>
              </c:strCache>
            </c:strRef>
          </c:cat>
          <c:val>
            <c:numRef>
              <c:f>Sheet1!$B$4:$B$6</c:f>
              <c:numCache>
                <c:formatCode>General</c:formatCode>
                <c:ptCount val="2"/>
                <c:pt idx="0">
                  <c:v>228</c:v>
                </c:pt>
                <c:pt idx="1">
                  <c:v>510</c:v>
                </c:pt>
              </c:numCache>
            </c:numRef>
          </c:val>
          <c:extLst>
            <c:ext xmlns:c16="http://schemas.microsoft.com/office/drawing/2014/chart" uri="{C3380CC4-5D6E-409C-BE32-E72D297353CC}">
              <c16:uniqueId val="{00000000-F60A-4BBE-86FE-39C422943626}"/>
            </c:ext>
          </c:extLst>
        </c:ser>
        <c:dLbls>
          <c:dLblPos val="outEnd"/>
          <c:showLegendKey val="0"/>
          <c:showVal val="1"/>
          <c:showCatName val="0"/>
          <c:showSerName val="0"/>
          <c:showPercent val="0"/>
          <c:showBubbleSize val="0"/>
        </c:dLbls>
        <c:gapWidth val="219"/>
        <c:overlap val="-27"/>
        <c:axId val="792071008"/>
        <c:axId val="792068128"/>
      </c:barChart>
      <c:catAx>
        <c:axId val="79207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68128"/>
        <c:crosses val="autoZero"/>
        <c:auto val="1"/>
        <c:lblAlgn val="ctr"/>
        <c:lblOffset val="100"/>
        <c:noMultiLvlLbl val="0"/>
      </c:catAx>
      <c:valAx>
        <c:axId val="792068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7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[Hire_Map Project.xlsx]Sheet3!PivotTable1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Readiness Category Distribution</a:t>
            </a:r>
            <a:endParaRPr lang="en-US"/>
          </a:p>
        </c:rich>
      </c:tx>
      <c:layout>
        <c:manualLayout>
          <c:xMode val="edge"/>
          <c:yMode val="edge"/>
          <c:x val="5.2930529173748096E-2"/>
          <c:y val="3.2407358237942607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Developing</c:v>
                </c:pt>
                <c:pt idx="1">
                  <c:v>Job Ready</c:v>
                </c:pt>
                <c:pt idx="2">
                  <c:v>Needs Improvement</c:v>
                </c:pt>
              </c:strCache>
            </c:strRef>
          </c:cat>
          <c:val>
            <c:numRef>
              <c:f>Sheet3!$B$4:$B$7</c:f>
              <c:numCache>
                <c:formatCode>General</c:formatCode>
                <c:ptCount val="3"/>
                <c:pt idx="0">
                  <c:v>375</c:v>
                </c:pt>
                <c:pt idx="1">
                  <c:v>34</c:v>
                </c:pt>
                <c:pt idx="2">
                  <c:v>329</c:v>
                </c:pt>
              </c:numCache>
            </c:numRef>
          </c:val>
          <c:extLst>
            <c:ext xmlns:c16="http://schemas.microsoft.com/office/drawing/2014/chart" uri="{C3380CC4-5D6E-409C-BE32-E72D297353CC}">
              <c16:uniqueId val="{00000000-443F-4D57-AA09-C1805EF02037}"/>
            </c:ext>
          </c:extLst>
        </c:ser>
        <c:dLbls>
          <c:dLblPos val="outEnd"/>
          <c:showLegendKey val="0"/>
          <c:showVal val="1"/>
          <c:showCatName val="0"/>
          <c:showSerName val="0"/>
          <c:showPercent val="0"/>
          <c:showBubbleSize val="0"/>
        </c:dLbls>
        <c:gapWidth val="182"/>
        <c:axId val="767866080"/>
        <c:axId val="767866440"/>
      </c:barChart>
      <c:catAx>
        <c:axId val="76786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66440"/>
        <c:crosses val="autoZero"/>
        <c:auto val="1"/>
        <c:lblAlgn val="ctr"/>
        <c:lblOffset val="100"/>
        <c:noMultiLvlLbl val="0"/>
      </c:catAx>
      <c:valAx>
        <c:axId val="767866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[Hire_Map Project.xlsx]Sheet4!PivotTable2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Distribution By Experiennce Leve</a:t>
            </a:r>
            <a:r>
              <a:rPr lang="en-US"/>
              <a:t>l</a:t>
            </a:r>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8"/>
          <c:w val="0.87753018372703417"/>
          <c:h val="0.72088764946048411"/>
        </c:manualLayout>
      </c:layout>
      <c:barChart>
        <c:barDir val="col"/>
        <c:grouping val="clustered"/>
        <c:varyColors val="0"/>
        <c:ser>
          <c:idx val="0"/>
          <c:order val="0"/>
          <c:tx>
            <c:strRef>
              <c:f>Sheet4!$B$3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Entry Level</c:v>
                </c:pt>
                <c:pt idx="1">
                  <c:v>Mid Level</c:v>
                </c:pt>
                <c:pt idx="2">
                  <c:v>Senior Level</c:v>
                </c:pt>
              </c:strCache>
            </c:strRef>
          </c:cat>
          <c:val>
            <c:numRef>
              <c:f>Sheet4!$B$4:$B$7</c:f>
              <c:numCache>
                <c:formatCode>General</c:formatCode>
                <c:ptCount val="3"/>
                <c:pt idx="0">
                  <c:v>136</c:v>
                </c:pt>
                <c:pt idx="1">
                  <c:v>175</c:v>
                </c:pt>
                <c:pt idx="2">
                  <c:v>427</c:v>
                </c:pt>
              </c:numCache>
            </c:numRef>
          </c:val>
          <c:extLst>
            <c:ext xmlns:c16="http://schemas.microsoft.com/office/drawing/2014/chart" uri="{C3380CC4-5D6E-409C-BE32-E72D297353CC}">
              <c16:uniqueId val="{00000000-43C4-4E9D-8B50-C3CDE45764F6}"/>
            </c:ext>
          </c:extLst>
        </c:ser>
        <c:dLbls>
          <c:showLegendKey val="0"/>
          <c:showVal val="0"/>
          <c:showCatName val="0"/>
          <c:showSerName val="0"/>
          <c:showPercent val="0"/>
          <c:showBubbleSize val="0"/>
        </c:dLbls>
        <c:gapWidth val="219"/>
        <c:overlap val="-27"/>
        <c:axId val="759845192"/>
        <c:axId val="759847352"/>
      </c:barChart>
      <c:catAx>
        <c:axId val="759845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47352"/>
        <c:crosses val="autoZero"/>
        <c:auto val="1"/>
        <c:lblAlgn val="ctr"/>
        <c:lblOffset val="100"/>
        <c:noMultiLvlLbl val="0"/>
      </c:catAx>
      <c:valAx>
        <c:axId val="759847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84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[Hire_Map Project.xlsx]Sheet5!PivotTable3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Distribution by Education Level</a:t>
            </a:r>
            <a:endParaRPr lang="en-US"/>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Bachelor's Type 1</c:v>
                </c:pt>
                <c:pt idx="1">
                  <c:v>Bachelor's Type 2</c:v>
                </c:pt>
                <c:pt idx="2">
                  <c:v>Master's</c:v>
                </c:pt>
                <c:pt idx="3">
                  <c:v>PhD</c:v>
                </c:pt>
              </c:strCache>
            </c:strRef>
          </c:cat>
          <c:val>
            <c:numRef>
              <c:f>Sheet5!$B$4:$B$8</c:f>
              <c:numCache>
                <c:formatCode>General</c:formatCode>
                <c:ptCount val="4"/>
                <c:pt idx="0">
                  <c:v>147</c:v>
                </c:pt>
                <c:pt idx="1">
                  <c:v>363</c:v>
                </c:pt>
                <c:pt idx="2">
                  <c:v>164</c:v>
                </c:pt>
                <c:pt idx="3">
                  <c:v>64</c:v>
                </c:pt>
              </c:numCache>
            </c:numRef>
          </c:val>
          <c:extLst>
            <c:ext xmlns:c16="http://schemas.microsoft.com/office/drawing/2014/chart" uri="{C3380CC4-5D6E-409C-BE32-E72D297353CC}">
              <c16:uniqueId val="{00000000-994B-4471-AB60-F0E191A27F79}"/>
            </c:ext>
          </c:extLst>
        </c:ser>
        <c:dLbls>
          <c:dLblPos val="outEnd"/>
          <c:showLegendKey val="0"/>
          <c:showVal val="1"/>
          <c:showCatName val="0"/>
          <c:showSerName val="0"/>
          <c:showPercent val="0"/>
          <c:showBubbleSize val="0"/>
        </c:dLbls>
        <c:gapWidth val="182"/>
        <c:axId val="870898064"/>
        <c:axId val="870900944"/>
      </c:barChart>
      <c:catAx>
        <c:axId val="87089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00944"/>
        <c:crosses val="autoZero"/>
        <c:auto val="1"/>
        <c:lblAlgn val="ctr"/>
        <c:lblOffset val="100"/>
        <c:noMultiLvlLbl val="0"/>
      </c:catAx>
      <c:valAx>
        <c:axId val="87090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89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[Hire_Map Project.xlsx]Sheet6!PivotTable4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Candidate Strengths</a:t>
            </a:r>
            <a:endParaRPr lang="en-US"/>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Interview</c:v>
                </c:pt>
                <c:pt idx="1">
                  <c:v>Personality</c:v>
                </c:pt>
                <c:pt idx="2">
                  <c:v>Technical Skills</c:v>
                </c:pt>
              </c:strCache>
            </c:strRef>
          </c:cat>
          <c:val>
            <c:numRef>
              <c:f>Sheet6!$B$4:$B$7</c:f>
              <c:numCache>
                <c:formatCode>General</c:formatCode>
                <c:ptCount val="3"/>
                <c:pt idx="0">
                  <c:v>253</c:v>
                </c:pt>
                <c:pt idx="1">
                  <c:v>235</c:v>
                </c:pt>
                <c:pt idx="2">
                  <c:v>250</c:v>
                </c:pt>
              </c:numCache>
            </c:numRef>
          </c:val>
          <c:extLst>
            <c:ext xmlns:c16="http://schemas.microsoft.com/office/drawing/2014/chart" uri="{C3380CC4-5D6E-409C-BE32-E72D297353CC}">
              <c16:uniqueId val="{00000000-15DE-461C-8931-E2D64BE3511B}"/>
            </c:ext>
          </c:extLst>
        </c:ser>
        <c:dLbls>
          <c:dLblPos val="outEnd"/>
          <c:showLegendKey val="0"/>
          <c:showVal val="1"/>
          <c:showCatName val="0"/>
          <c:showSerName val="0"/>
          <c:showPercent val="0"/>
          <c:showBubbleSize val="0"/>
        </c:dLbls>
        <c:gapWidth val="182"/>
        <c:axId val="870885464"/>
        <c:axId val="870883664"/>
      </c:barChart>
      <c:catAx>
        <c:axId val="870885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883664"/>
        <c:crosses val="autoZero"/>
        <c:auto val="1"/>
        <c:lblAlgn val="ctr"/>
        <c:lblOffset val="100"/>
        <c:noMultiLvlLbl val="0"/>
      </c:catAx>
      <c:valAx>
        <c:axId val="870883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885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[Hire_Map Project.xlsx]Sheet7!PivotTable5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Candidate Development Gaps</a:t>
            </a:r>
            <a:endParaRPr lang="en-US"/>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Interview Preparation</c:v>
                </c:pt>
                <c:pt idx="1">
                  <c:v>Personality &amp; Communication</c:v>
                </c:pt>
                <c:pt idx="2">
                  <c:v>Technical Skills</c:v>
                </c:pt>
              </c:strCache>
            </c:strRef>
          </c:cat>
          <c:val>
            <c:numRef>
              <c:f>Sheet7!$B$4:$B$7</c:f>
              <c:numCache>
                <c:formatCode>General</c:formatCode>
                <c:ptCount val="3"/>
                <c:pt idx="0">
                  <c:v>256</c:v>
                </c:pt>
                <c:pt idx="1">
                  <c:v>236</c:v>
                </c:pt>
                <c:pt idx="2">
                  <c:v>246</c:v>
                </c:pt>
              </c:numCache>
            </c:numRef>
          </c:val>
          <c:extLst>
            <c:ext xmlns:c16="http://schemas.microsoft.com/office/drawing/2014/chart" uri="{C3380CC4-5D6E-409C-BE32-E72D297353CC}">
              <c16:uniqueId val="{00000000-49B8-4F7A-98EC-3EFDF5E066BE}"/>
            </c:ext>
          </c:extLst>
        </c:ser>
        <c:dLbls>
          <c:dLblPos val="outEnd"/>
          <c:showLegendKey val="0"/>
          <c:showVal val="1"/>
          <c:showCatName val="0"/>
          <c:showSerName val="0"/>
          <c:showPercent val="0"/>
          <c:showBubbleSize val="0"/>
        </c:dLbls>
        <c:gapWidth val="182"/>
        <c:axId val="870899504"/>
        <c:axId val="870903824"/>
      </c:barChart>
      <c:catAx>
        <c:axId val="8708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03824"/>
        <c:crosses val="autoZero"/>
        <c:auto val="1"/>
        <c:lblAlgn val="ctr"/>
        <c:lblOffset val="100"/>
        <c:noMultiLvlLbl val="0"/>
      </c:catAx>
      <c:valAx>
        <c:axId val="870903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8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579120</xdr:colOff>
      <xdr:row>27</xdr:row>
      <xdr:rowOff>53340</xdr:rowOff>
    </xdr:from>
    <xdr:to>
      <xdr:col>5</xdr:col>
      <xdr:colOff>579120</xdr:colOff>
      <xdr:row>40</xdr:row>
      <xdr:rowOff>142875</xdr:rowOff>
    </xdr:to>
    <mc:AlternateContent xmlns:mc="http://schemas.openxmlformats.org/markup-compatibility/2006" xmlns:a14="http://schemas.microsoft.com/office/drawing/2010/main">
      <mc:Choice Requires="a14">
        <xdr:graphicFrame macro="">
          <xdr:nvGraphicFramePr>
            <xdr:cNvPr id="6" name="Hiring_Decision_Name">
              <a:extLst>
                <a:ext uri="{FF2B5EF4-FFF2-40B4-BE49-F238E27FC236}">
                  <a16:creationId xmlns:a16="http://schemas.microsoft.com/office/drawing/2014/main" id="{6D73DC1B-8AE4-4912-49CC-6B46B787D78C}"/>
                </a:ext>
              </a:extLst>
            </xdr:cNvPr>
            <xdr:cNvGraphicFramePr/>
          </xdr:nvGraphicFramePr>
          <xdr:xfrm>
            <a:off x="0" y="0"/>
            <a:ext cx="0" cy="0"/>
          </xdr:xfrm>
          <a:graphic>
            <a:graphicData uri="http://schemas.microsoft.com/office/drawing/2010/slicer">
              <sle:slicer xmlns:sle="http://schemas.microsoft.com/office/drawing/2010/slicer" name="Hiring_Decision_Name"/>
            </a:graphicData>
          </a:graphic>
        </xdr:graphicFrame>
      </mc:Choice>
      <mc:Fallback xmlns="">
        <xdr:sp macro="" textlink="">
          <xdr:nvSpPr>
            <xdr:cNvPr id="0" name=""/>
            <xdr:cNvSpPr>
              <a:spLocks noTextEdit="1"/>
            </xdr:cNvSpPr>
          </xdr:nvSpPr>
          <xdr:spPr>
            <a:xfrm>
              <a:off x="3710940" y="499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0</xdr:rowOff>
    </xdr:from>
    <xdr:to>
      <xdr:col>4</xdr:col>
      <xdr:colOff>264836</xdr:colOff>
      <xdr:row>34</xdr:row>
      <xdr:rowOff>162188</xdr:rowOff>
    </xdr:to>
    <xdr:graphicFrame macro="">
      <xdr:nvGraphicFramePr>
        <xdr:cNvPr id="8" name="Chart 7">
          <a:extLst>
            <a:ext uri="{FF2B5EF4-FFF2-40B4-BE49-F238E27FC236}">
              <a16:creationId xmlns:a16="http://schemas.microsoft.com/office/drawing/2014/main" id="{E2280C59-E545-4EAA-BF20-A28675D19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0.555</cdr:x>
      <cdr:y>0.37917</cdr:y>
    </cdr:from>
    <cdr:to>
      <cdr:x>0.755</cdr:x>
      <cdr:y>0.7125</cdr:y>
    </cdr:to>
    <cdr:sp macro="" textlink="">
      <cdr:nvSpPr>
        <cdr:cNvPr id="2" name="TextBox 1">
          <a:extLst xmlns:a="http://schemas.openxmlformats.org/drawingml/2006/main">
            <a:ext uri="{FF2B5EF4-FFF2-40B4-BE49-F238E27FC236}">
              <a16:creationId xmlns:a16="http://schemas.microsoft.com/office/drawing/2014/main" id="{B5B15D46-549C-00F9-5E07-019F2B37427E}"/>
            </a:ext>
          </a:extLst>
        </cdr:cNvPr>
        <cdr:cNvSpPr txBox="1"/>
      </cdr:nvSpPr>
      <cdr:spPr>
        <a:xfrm xmlns:a="http://schemas.openxmlformats.org/drawingml/2006/main">
          <a:off x="2537454" y="104013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0.51166</cdr:x>
      <cdr:y>0.44583</cdr:y>
    </cdr:from>
    <cdr:to>
      <cdr:x>0.64</cdr:x>
      <cdr:y>0.57361</cdr:y>
    </cdr:to>
    <cdr:sp macro="" textlink="">
      <cdr:nvSpPr>
        <cdr:cNvPr id="3" name="TextBox 2">
          <a:extLst xmlns:a="http://schemas.openxmlformats.org/drawingml/2006/main">
            <a:ext uri="{FF2B5EF4-FFF2-40B4-BE49-F238E27FC236}">
              <a16:creationId xmlns:a16="http://schemas.microsoft.com/office/drawing/2014/main" id="{02B662D9-16BB-8D57-29C3-DCDFD0E7429C}"/>
            </a:ext>
          </a:extLst>
        </cdr:cNvPr>
        <cdr:cNvSpPr txBox="1"/>
      </cdr:nvSpPr>
      <cdr:spPr>
        <a:xfrm xmlns:a="http://schemas.openxmlformats.org/drawingml/2006/main">
          <a:off x="2339325" y="1223010"/>
          <a:ext cx="586770" cy="35052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Female</a:t>
          </a:r>
        </a:p>
      </cdr:txBody>
    </cdr:sp>
  </cdr:relSizeAnchor>
  <cdr:relSizeAnchor xmlns:cdr="http://schemas.openxmlformats.org/drawingml/2006/chartDrawing">
    <cdr:from>
      <cdr:x>0.365</cdr:x>
      <cdr:y>0.44722</cdr:y>
    </cdr:from>
    <cdr:to>
      <cdr:x>0.49</cdr:x>
      <cdr:y>0.78056</cdr:y>
    </cdr:to>
    <cdr:sp macro="" textlink="">
      <cdr:nvSpPr>
        <cdr:cNvPr id="4" name="TextBox 3">
          <a:extLst xmlns:a="http://schemas.openxmlformats.org/drawingml/2006/main">
            <a:ext uri="{FF2B5EF4-FFF2-40B4-BE49-F238E27FC236}">
              <a16:creationId xmlns:a16="http://schemas.microsoft.com/office/drawing/2014/main" id="{4987A94E-82D7-F3F1-CBA6-E4D1E1F45DF5}"/>
            </a:ext>
          </a:extLst>
        </cdr:cNvPr>
        <cdr:cNvSpPr txBox="1"/>
      </cdr:nvSpPr>
      <cdr:spPr>
        <a:xfrm xmlns:a="http://schemas.openxmlformats.org/drawingml/2006/main">
          <a:off x="1668774" y="1226820"/>
          <a:ext cx="5715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Male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304800</xdr:colOff>
      <xdr:row>24</xdr:row>
      <xdr:rowOff>53789</xdr:rowOff>
    </xdr:to>
    <xdr:graphicFrame macro="">
      <xdr:nvGraphicFramePr>
        <xdr:cNvPr id="3" name="Chart 2">
          <a:extLst>
            <a:ext uri="{FF2B5EF4-FFF2-40B4-BE49-F238E27FC236}">
              <a16:creationId xmlns:a16="http://schemas.microsoft.com/office/drawing/2014/main" id="{EBB92E15-E73B-4EB0-B67C-311596414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354061</xdr:colOff>
      <xdr:row>8</xdr:row>
      <xdr:rowOff>177031</xdr:rowOff>
    </xdr:from>
    <xdr:to>
      <xdr:col>15</xdr:col>
      <xdr:colOff>50800</xdr:colOff>
      <xdr:row>24</xdr:row>
      <xdr:rowOff>46092</xdr:rowOff>
    </xdr:to>
    <xdr:graphicFrame macro="">
      <xdr:nvGraphicFramePr>
        <xdr:cNvPr id="5" name="Chart 4">
          <a:extLst>
            <a:ext uri="{FF2B5EF4-FFF2-40B4-BE49-F238E27FC236}">
              <a16:creationId xmlns:a16="http://schemas.microsoft.com/office/drawing/2014/main" id="{791F76DD-1789-4EE9-AACB-CF5834E7C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17208</xdr:rowOff>
    </xdr:from>
    <xdr:to>
      <xdr:col>7</xdr:col>
      <xdr:colOff>303261</xdr:colOff>
      <xdr:row>40</xdr:row>
      <xdr:rowOff>76432</xdr:rowOff>
    </xdr:to>
    <xdr:graphicFrame macro="">
      <xdr:nvGraphicFramePr>
        <xdr:cNvPr id="6" name="Chart 5">
          <a:extLst>
            <a:ext uri="{FF2B5EF4-FFF2-40B4-BE49-F238E27FC236}">
              <a16:creationId xmlns:a16="http://schemas.microsoft.com/office/drawing/2014/main" id="{8ACC2C59-52BD-42F6-9DBE-7079295FC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384849</xdr:colOff>
      <xdr:row>25</xdr:row>
      <xdr:rowOff>28889</xdr:rowOff>
    </xdr:from>
    <xdr:to>
      <xdr:col>15</xdr:col>
      <xdr:colOff>81588</xdr:colOff>
      <xdr:row>40</xdr:row>
      <xdr:rowOff>82679</xdr:rowOff>
    </xdr:to>
    <xdr:graphicFrame macro="">
      <xdr:nvGraphicFramePr>
        <xdr:cNvPr id="7" name="Chart 6">
          <a:extLst>
            <a:ext uri="{FF2B5EF4-FFF2-40B4-BE49-F238E27FC236}">
              <a16:creationId xmlns:a16="http://schemas.microsoft.com/office/drawing/2014/main" id="{34D50700-D95D-4169-9BB0-232CA0774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397880</xdr:colOff>
      <xdr:row>41</xdr:row>
      <xdr:rowOff>114823</xdr:rowOff>
    </xdr:from>
    <xdr:to>
      <xdr:col>15</xdr:col>
      <xdr:colOff>93080</xdr:colOff>
      <xdr:row>56</xdr:row>
      <xdr:rowOff>168612</xdr:rowOff>
    </xdr:to>
    <xdr:graphicFrame macro="">
      <xdr:nvGraphicFramePr>
        <xdr:cNvPr id="8" name="Chart 7">
          <a:extLst>
            <a:ext uri="{FF2B5EF4-FFF2-40B4-BE49-F238E27FC236}">
              <a16:creationId xmlns:a16="http://schemas.microsoft.com/office/drawing/2014/main" id="{85F29B7F-BD32-477C-98D5-7A7F00BE9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41</xdr:row>
      <xdr:rowOff>103762</xdr:rowOff>
    </xdr:from>
    <xdr:to>
      <xdr:col>7</xdr:col>
      <xdr:colOff>304800</xdr:colOff>
      <xdr:row>56</xdr:row>
      <xdr:rowOff>156597</xdr:rowOff>
    </xdr:to>
    <xdr:graphicFrame macro="">
      <xdr:nvGraphicFramePr>
        <xdr:cNvPr id="9" name="Chart 8">
          <a:extLst>
            <a:ext uri="{FF2B5EF4-FFF2-40B4-BE49-F238E27FC236}">
              <a16:creationId xmlns:a16="http://schemas.microsoft.com/office/drawing/2014/main" id="{E281AACD-E62F-4D99-BB20-072A286ED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312429</xdr:colOff>
      <xdr:row>9</xdr:row>
      <xdr:rowOff>66568</xdr:rowOff>
    </xdr:from>
    <xdr:to>
      <xdr:col>18</xdr:col>
      <xdr:colOff>312429</xdr:colOff>
      <xdr:row>23</xdr:row>
      <xdr:rowOff>178339</xdr:rowOff>
    </xdr:to>
    <mc:AlternateContent xmlns:mc="http://schemas.openxmlformats.org/markup-compatibility/2006" xmlns:a14="http://schemas.microsoft.com/office/drawing/2010/main">
      <mc:Choice Requires="a14">
        <xdr:graphicFrame macro="">
          <xdr:nvGraphicFramePr>
            <xdr:cNvPr id="10" name="Readiness_Category">
              <a:extLst>
                <a:ext uri="{FF2B5EF4-FFF2-40B4-BE49-F238E27FC236}">
                  <a16:creationId xmlns:a16="http://schemas.microsoft.com/office/drawing/2014/main" id="{2659E122-B1C2-4638-9087-F64D38C997BF}"/>
                </a:ext>
              </a:extLst>
            </xdr:cNvPr>
            <xdr:cNvGraphicFramePr/>
          </xdr:nvGraphicFramePr>
          <xdr:xfrm>
            <a:off x="0" y="0"/>
            <a:ext cx="0" cy="0"/>
          </xdr:xfrm>
          <a:graphic>
            <a:graphicData uri="http://schemas.microsoft.com/office/drawing/2010/slicer">
              <sle:slicer xmlns:sle="http://schemas.microsoft.com/office/drawing/2010/slicer" name="Readiness_Category"/>
            </a:graphicData>
          </a:graphic>
        </xdr:graphicFrame>
      </mc:Choice>
      <mc:Fallback xmlns="">
        <xdr:sp macro="" textlink="">
          <xdr:nvSpPr>
            <xdr:cNvPr id="0" name=""/>
            <xdr:cNvSpPr>
              <a:spLocks noTextEdit="1"/>
            </xdr:cNvSpPr>
          </xdr:nvSpPr>
          <xdr:spPr>
            <a:xfrm>
              <a:off x="9553706" y="2093164"/>
              <a:ext cx="1848255" cy="2608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346571</xdr:colOff>
      <xdr:row>25</xdr:row>
      <xdr:rowOff>57222</xdr:rowOff>
    </xdr:from>
    <xdr:to>
      <xdr:col>18</xdr:col>
      <xdr:colOff>346571</xdr:colOff>
      <xdr:row>40</xdr:row>
      <xdr:rowOff>81064</xdr:rowOff>
    </xdr:to>
    <mc:AlternateContent xmlns:mc="http://schemas.openxmlformats.org/markup-compatibility/2006" xmlns:a14="http://schemas.microsoft.com/office/drawing/2010/main">
      <mc:Choice Requires="a14">
        <xdr:graphicFrame macro="">
          <xdr:nvGraphicFramePr>
            <xdr:cNvPr id="11" name="Experience_Level">
              <a:extLst>
                <a:ext uri="{FF2B5EF4-FFF2-40B4-BE49-F238E27FC236}">
                  <a16:creationId xmlns:a16="http://schemas.microsoft.com/office/drawing/2014/main" id="{7D4D865A-FE0E-4C7E-A2BD-5DEED1408AEF}"/>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9587848" y="4937265"/>
              <a:ext cx="1848255" cy="2698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353819</xdr:colOff>
      <xdr:row>41</xdr:row>
      <xdr:rowOff>143818</xdr:rowOff>
    </xdr:from>
    <xdr:to>
      <xdr:col>18</xdr:col>
      <xdr:colOff>353819</xdr:colOff>
      <xdr:row>56</xdr:row>
      <xdr:rowOff>81064</xdr:rowOff>
    </xdr:to>
    <mc:AlternateContent xmlns:mc="http://schemas.openxmlformats.org/markup-compatibility/2006" xmlns:a14="http://schemas.microsoft.com/office/drawing/2010/main">
      <mc:Choice Requires="a14">
        <xdr:graphicFrame macro="">
          <xdr:nvGraphicFramePr>
            <xdr:cNvPr id="12" name="Education_Name">
              <a:extLst>
                <a:ext uri="{FF2B5EF4-FFF2-40B4-BE49-F238E27FC236}">
                  <a16:creationId xmlns:a16="http://schemas.microsoft.com/office/drawing/2014/main" id="{B10938B4-65A4-47E2-A465-A1E2F3439832}"/>
                </a:ext>
              </a:extLst>
            </xdr:cNvPr>
            <xdr:cNvGraphicFramePr/>
          </xdr:nvGraphicFramePr>
          <xdr:xfrm>
            <a:off x="0" y="0"/>
            <a:ext cx="0" cy="0"/>
          </xdr:xfrm>
          <a:graphic>
            <a:graphicData uri="http://schemas.microsoft.com/office/drawing/2010/slicer">
              <sle:slicer xmlns:sle="http://schemas.microsoft.com/office/drawing/2010/slicer" name="Education_Name"/>
            </a:graphicData>
          </a:graphic>
        </xdr:graphicFrame>
      </mc:Choice>
      <mc:Fallback xmlns="">
        <xdr:sp macro="" textlink="">
          <xdr:nvSpPr>
            <xdr:cNvPr id="0" name=""/>
            <xdr:cNvSpPr>
              <a:spLocks noTextEdit="1"/>
            </xdr:cNvSpPr>
          </xdr:nvSpPr>
          <xdr:spPr>
            <a:xfrm>
              <a:off x="9595096" y="7877307"/>
              <a:ext cx="1848255" cy="2612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310331</xdr:colOff>
      <xdr:row>2</xdr:row>
      <xdr:rowOff>81064</xdr:rowOff>
    </xdr:from>
    <xdr:to>
      <xdr:col>18</xdr:col>
      <xdr:colOff>310331</xdr:colOff>
      <xdr:row>8</xdr:row>
      <xdr:rowOff>113489</xdr:rowOff>
    </xdr:to>
    <mc:AlternateContent xmlns:mc="http://schemas.openxmlformats.org/markup-compatibility/2006" xmlns:a14="http://schemas.microsoft.com/office/drawing/2010/main">
      <mc:Choice Requires="a14">
        <xdr:graphicFrame macro="">
          <xdr:nvGraphicFramePr>
            <xdr:cNvPr id="13" name="Gender_Name">
              <a:extLst>
                <a:ext uri="{FF2B5EF4-FFF2-40B4-BE49-F238E27FC236}">
                  <a16:creationId xmlns:a16="http://schemas.microsoft.com/office/drawing/2014/main" id="{2DD43281-C17D-492E-B4B2-625BD2192E00}"/>
                </a:ext>
              </a:extLst>
            </xdr:cNvPr>
            <xdr:cNvGraphicFramePr/>
          </xdr:nvGraphicFramePr>
          <xdr:xfrm>
            <a:off x="0" y="0"/>
            <a:ext cx="0" cy="0"/>
          </xdr:xfrm>
          <a:graphic>
            <a:graphicData uri="http://schemas.microsoft.com/office/drawing/2010/slicer">
              <sle:slicer xmlns:sle="http://schemas.microsoft.com/office/drawing/2010/slicer" name="Gender_Name"/>
            </a:graphicData>
          </a:graphic>
        </xdr:graphicFrame>
      </mc:Choice>
      <mc:Fallback xmlns="">
        <xdr:sp macro="" textlink="">
          <xdr:nvSpPr>
            <xdr:cNvPr id="0" name=""/>
            <xdr:cNvSpPr>
              <a:spLocks noTextEdit="1"/>
            </xdr:cNvSpPr>
          </xdr:nvSpPr>
          <xdr:spPr>
            <a:xfrm>
              <a:off x="9551608" y="859277"/>
              <a:ext cx="1848255" cy="1102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5.848279282407" createdVersion="8" refreshedVersion="8" minRefreshableVersion="3" recordCount="1501" xr:uid="{828DEBD3-F953-4A63-93A0-A4459E296405}">
  <cacheSource type="worksheet">
    <worksheetSource ref="A1:X1048576" sheet="recruitment_data"/>
  </cacheSource>
  <cacheFields count="24">
    <cacheField name="Age" numFmtId="0">
      <sharedItems containsString="0" containsBlank="1" containsNumber="1" containsInteger="1" minValue="20" maxValue="50"/>
    </cacheField>
    <cacheField name="Gender" numFmtId="0">
      <sharedItems containsString="0" containsBlank="1" containsNumber="1" containsInteger="1" minValue="0" maxValue="1"/>
    </cacheField>
    <cacheField name="EducationLevel" numFmtId="0">
      <sharedItems containsString="0" containsBlank="1" containsNumber="1" containsInteger="1" minValue="1" maxValue="4"/>
    </cacheField>
    <cacheField name="ExperienceYears" numFmtId="0">
      <sharedItems containsString="0" containsBlank="1" containsNumber="1" containsInteger="1" minValue="0" maxValue="15"/>
    </cacheField>
    <cacheField name="PreviousCompanies" numFmtId="0">
      <sharedItems containsString="0" containsBlank="1" containsNumber="1" containsInteger="1" minValue="1" maxValue="5"/>
    </cacheField>
    <cacheField name="DistanceFromCompany" numFmtId="0">
      <sharedItems containsString="0" containsBlank="1" containsNumber="1" minValue="1.0313758314228001" maxValue="50.992462224320001"/>
    </cacheField>
    <cacheField name="InterviewScore" numFmtId="0">
      <sharedItems containsString="0" containsBlank="1" containsNumber="1" containsInteger="1" minValue="0" maxValue="100"/>
    </cacheField>
    <cacheField name="SkillScore" numFmtId="0">
      <sharedItems containsString="0" containsBlank="1" containsNumber="1" containsInteger="1" minValue="0" maxValue="100"/>
    </cacheField>
    <cacheField name="PersonalityScore" numFmtId="0">
      <sharedItems containsString="0" containsBlank="1" containsNumber="1" containsInteger="1" minValue="0" maxValue="100"/>
    </cacheField>
    <cacheField name="RecruitmentStrategy" numFmtId="0">
      <sharedItems containsString="0" containsBlank="1" containsNumber="1" containsInteger="1" minValue="1" maxValue="3"/>
    </cacheField>
    <cacheField name="HiringDecision" numFmtId="0">
      <sharedItems containsString="0" containsBlank="1" containsNumber="1" containsInteger="1" minValue="0" maxValue="1"/>
    </cacheField>
    <cacheField name="Candidate_id" numFmtId="0">
      <sharedItems containsBlank="1"/>
    </cacheField>
    <cacheField name="Gender_Name" numFmtId="0">
      <sharedItems containsBlank="1"/>
    </cacheField>
    <cacheField name="Education_Name" numFmtId="0">
      <sharedItems containsBlank="1"/>
    </cacheField>
    <cacheField name="Experience_Level" numFmtId="0">
      <sharedItems containsBlank="1"/>
    </cacheField>
    <cacheField name="Interview_Performance" numFmtId="0">
      <sharedItems containsBlank="1"/>
    </cacheField>
    <cacheField name="Technical_Skill_Level" numFmtId="0">
      <sharedItems containsBlank="1"/>
    </cacheField>
    <cacheField name="Personality_Level" numFmtId="0">
      <sharedItems containsBlank="1"/>
    </cacheField>
    <cacheField name="Hiring_Decision_Name" numFmtId="0">
      <sharedItems containsBlank="1" count="3">
        <s v="Hired"/>
        <s v="Not Hired"/>
        <m/>
      </sharedItems>
    </cacheField>
    <cacheField name="Candidate_Readiness_Score" numFmtId="0">
      <sharedItems containsString="0" containsBlank="1" containsNumber="1" containsInteger="1" minValue="7" maxValue="90"/>
    </cacheField>
    <cacheField name="Readiness_Category" numFmtId="0">
      <sharedItems containsBlank="1"/>
    </cacheField>
    <cacheField name="Primary Strength" numFmtId="0">
      <sharedItems containsBlank="1" count="4">
        <s v="Personality"/>
        <s v="Technical Skills"/>
        <s v="Interview"/>
        <m/>
      </sharedItems>
    </cacheField>
    <cacheField name="Primary Gap" numFmtId="0">
      <sharedItems containsBlank="1"/>
    </cacheField>
    <cacheField name="Improvement Recommendatio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5.852983680554" createdVersion="8" refreshedVersion="8" minRefreshableVersion="3" recordCount="1500" xr:uid="{39E1C81F-924C-4F63-9C41-B31E5E80E319}">
  <cacheSource type="worksheet">
    <worksheetSource ref="A1:X1501" sheet="recruitment_data"/>
  </cacheSource>
  <cacheFields count="24">
    <cacheField name="Age" numFmtId="0">
      <sharedItems containsSemiMixedTypes="0" containsString="0" containsNumber="1" containsInteger="1" minValue="20" maxValue="50"/>
    </cacheField>
    <cacheField name="Gender" numFmtId="0">
      <sharedItems containsSemiMixedTypes="0" containsString="0" containsNumber="1" containsInteger="1" minValue="0" maxValue="1" count="2">
        <n v="1"/>
        <n v="0"/>
      </sharedItems>
    </cacheField>
    <cacheField name="EducationLevel" numFmtId="0">
      <sharedItems containsSemiMixedTypes="0" containsString="0" containsNumber="1" containsInteger="1" minValue="1" maxValue="4"/>
    </cacheField>
    <cacheField name="ExperienceYears" numFmtId="0">
      <sharedItems containsSemiMixedTypes="0" containsString="0" containsNumber="1" containsInteger="1" minValue="0" maxValue="15"/>
    </cacheField>
    <cacheField name="PreviousCompanies" numFmtId="0">
      <sharedItems containsSemiMixedTypes="0" containsString="0" containsNumber="1" containsInteger="1" minValue="1" maxValue="5"/>
    </cacheField>
    <cacheField name="DistanceFromCompany" numFmtId="0">
      <sharedItems containsSemiMixedTypes="0" containsString="0" containsNumber="1" minValue="1.0313758314228001" maxValue="50.992462224320001"/>
    </cacheField>
    <cacheField name="InterviewScore" numFmtId="0">
      <sharedItems containsSemiMixedTypes="0" containsString="0" containsNumber="1" containsInteger="1" minValue="0" maxValue="100" count="101">
        <n v="48"/>
        <n v="35"/>
        <n v="20"/>
        <n v="36"/>
        <n v="23"/>
        <n v="54"/>
        <n v="24"/>
        <n v="6"/>
        <n v="80"/>
        <n v="92"/>
        <n v="93"/>
        <n v="70"/>
        <n v="96"/>
        <n v="10"/>
        <n v="72"/>
        <n v="11"/>
        <n v="34"/>
        <n v="62"/>
        <n v="67"/>
        <n v="99"/>
        <n v="91"/>
        <n v="56"/>
        <n v="12"/>
        <n v="22"/>
        <n v="82"/>
        <n v="100"/>
        <n v="38"/>
        <n v="87"/>
        <n v="79"/>
        <n v="33"/>
        <n v="74"/>
        <n v="30"/>
        <n v="61"/>
        <n v="1"/>
        <n v="14"/>
        <n v="28"/>
        <n v="65"/>
        <n v="15"/>
        <n v="76"/>
        <n v="43"/>
        <n v="18"/>
        <n v="7"/>
        <n v="40"/>
        <n v="69"/>
        <n v="60"/>
        <n v="25"/>
        <n v="57"/>
        <n v="29"/>
        <n v="64"/>
        <n v="5"/>
        <n v="17"/>
        <n v="9"/>
        <n v="83"/>
        <n v="51"/>
        <n v="66"/>
        <n v="81"/>
        <n v="77"/>
        <n v="90"/>
        <n v="16"/>
        <n v="52"/>
        <n v="85"/>
        <n v="4"/>
        <n v="3"/>
        <n v="88"/>
        <n v="32"/>
        <n v="13"/>
        <n v="55"/>
        <n v="45"/>
        <n v="2"/>
        <n v="78"/>
        <n v="73"/>
        <n v="21"/>
        <n v="89"/>
        <n v="26"/>
        <n v="98"/>
        <n v="47"/>
        <n v="27"/>
        <n v="42"/>
        <n v="39"/>
        <n v="84"/>
        <n v="86"/>
        <n v="63"/>
        <n v="97"/>
        <n v="75"/>
        <n v="49"/>
        <n v="71"/>
        <n v="50"/>
        <n v="59"/>
        <n v="37"/>
        <n v="41"/>
        <n v="46"/>
        <n v="0"/>
        <n v="19"/>
        <n v="68"/>
        <n v="94"/>
        <n v="53"/>
        <n v="58"/>
        <n v="31"/>
        <n v="8"/>
        <n v="44"/>
        <n v="95"/>
      </sharedItems>
    </cacheField>
    <cacheField name="SkillScore" numFmtId="0">
      <sharedItems containsSemiMixedTypes="0" containsString="0" containsNumber="1" containsInteger="1" minValue="0" maxValue="100"/>
    </cacheField>
    <cacheField name="PersonalityScore" numFmtId="0">
      <sharedItems containsSemiMixedTypes="0" containsString="0" containsNumber="1" containsInteger="1" minValue="0" maxValue="100"/>
    </cacheField>
    <cacheField name="RecruitmentStrategy" numFmtId="0">
      <sharedItems containsSemiMixedTypes="0" containsString="0" containsNumber="1" containsInteger="1" minValue="1" maxValue="3"/>
    </cacheField>
    <cacheField name="HiringDecision" numFmtId="0">
      <sharedItems containsSemiMixedTypes="0" containsString="0" containsNumber="1" containsInteger="1" minValue="0" maxValue="1"/>
    </cacheField>
    <cacheField name="Candidate_id" numFmtId="0">
      <sharedItems/>
    </cacheField>
    <cacheField name="Gender_Name" numFmtId="0">
      <sharedItems count="2">
        <s v="Female"/>
        <s v="Male"/>
      </sharedItems>
    </cacheField>
    <cacheField name="Education_Name" numFmtId="0">
      <sharedItems count="4">
        <s v="Bachelor's Type 2"/>
        <s v="PhD"/>
        <s v="Bachelor's Type 1"/>
        <s v="Master's"/>
      </sharedItems>
    </cacheField>
    <cacheField name="Experience_Level" numFmtId="0">
      <sharedItems count="3">
        <s v="Entry Level"/>
        <s v="Senior Level"/>
        <s v="Mid Level"/>
      </sharedItems>
    </cacheField>
    <cacheField name="Interview_Performance" numFmtId="0">
      <sharedItems count="3">
        <s v="Low"/>
        <s v="Average"/>
        <s v="Strong"/>
      </sharedItems>
    </cacheField>
    <cacheField name="Technical_Skill_Level" numFmtId="0">
      <sharedItems count="3">
        <s v="Advanced"/>
        <s v="Intermediate"/>
        <s v="Beginner"/>
      </sharedItems>
    </cacheField>
    <cacheField name="Personality_Level" numFmtId="0">
      <sharedItems/>
    </cacheField>
    <cacheField name="Hiring_Decision_Name" numFmtId="0">
      <sharedItems count="2">
        <s v="Hired"/>
        <s v="Not Hired"/>
      </sharedItems>
    </cacheField>
    <cacheField name="Candidate_Readiness_Score" numFmtId="0">
      <sharedItems containsSemiMixedTypes="0" containsString="0" containsNumber="1" containsInteger="1" minValue="7" maxValue="90"/>
    </cacheField>
    <cacheField name="Readiness_Category" numFmtId="0">
      <sharedItems count="3">
        <s v="Developing"/>
        <s v="Needs Improvement"/>
        <s v="Job Ready"/>
      </sharedItems>
    </cacheField>
    <cacheField name="Primary Strength" numFmtId="0">
      <sharedItems count="3">
        <s v="Personality"/>
        <s v="Technical Skills"/>
        <s v="Interview"/>
      </sharedItems>
    </cacheField>
    <cacheField name="Primary Gap" numFmtId="0">
      <sharedItems count="3">
        <s v="Interview Preparation"/>
        <s v="Personality &amp; Communication"/>
        <s v="Technical Skills"/>
      </sharedItems>
    </cacheField>
    <cacheField name="Improvement Recommendation" numFmtId="0">
      <sharedItems/>
    </cacheField>
  </cacheFields>
  <extLst>
    <ext xmlns:x14="http://schemas.microsoft.com/office/spreadsheetml/2009/9/main" uri="{725AE2AE-9491-48be-B2B4-4EB974FC3084}">
      <x14:pivotCacheDefinition pivotCacheId="17990539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867870254631" backgroundQuery="1" createdVersion="8" refreshedVersion="8" minRefreshableVersion="3" recordCount="0" supportSubquery="1" supportAdvancedDrill="1" xr:uid="{73AD4D45-6490-4AD7-9ADD-D4D816571669}">
  <cacheSource type="external" connectionId="1"/>
  <cacheFields count="3">
    <cacheField name="[Range].[Primary Strength].[Primary Strength]" caption="Primary Strength" numFmtId="0" hierarchy="21" level="1">
      <sharedItems count="3">
        <s v="Interview"/>
        <s v="Personality"/>
        <s v="Technical Skills"/>
      </sharedItems>
    </cacheField>
    <cacheField name="[Range].[Hiring_Decision_Name].[Hiring_Decision_Name]" caption="Hiring_Decision_Name" numFmtId="0" hierarchy="18" level="1">
      <sharedItems count="2">
        <s v="Hired"/>
        <s v="Not Hired"/>
      </sharedItems>
    </cacheField>
    <cacheField name="[Measures].[Count of Candidate_id]" caption="Count of Candidate_id" numFmtId="0" hierarchy="26" level="32767"/>
  </cacheFields>
  <cacheHierarchies count="27">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20" unbalanced="0"/>
    <cacheHierarchy uniqueName="[Range].[EducationLevel]" caption="EducationLevel" attribute="1" defaultMemberUniqueName="[Range].[EducationLevel].[All]" allUniqueName="[Range].[EducationLevel].[All]" dimensionUniqueName="[Range]" displayFolder="" count="0" memberValueDatatype="20" unbalanced="0"/>
    <cacheHierarchy uniqueName="[Range].[ExperienceYears]" caption="ExperienceYears" attribute="1" defaultMemberUniqueName="[Range].[ExperienceYears].[All]" allUniqueName="[Range].[ExperienceYears].[All]" dimensionUniqueName="[Range]" displayFolder="" count="0" memberValueDatatype="20" unbalanced="0"/>
    <cacheHierarchy uniqueName="[Range].[PreviousCompanies]" caption="PreviousCompanies" attribute="1" defaultMemberUniqueName="[Range].[PreviousCompanies].[All]" allUniqueName="[Range].[PreviousCompanies].[All]" dimensionUniqueName="[Range]" displayFolder="" count="0" memberValueDatatype="20" unbalanced="0"/>
    <cacheHierarchy uniqueName="[Range].[DistanceFromCompany]" caption="DistanceFromCompany" attribute="1" defaultMemberUniqueName="[Range].[DistanceFromCompany].[All]" allUniqueName="[Range].[DistanceFromCompany].[All]" dimensionUniqueName="[Range]" displayFolder="" count="0" memberValueDatatype="5" unbalanced="0"/>
    <cacheHierarchy uniqueName="[Range].[InterviewScore]" caption="InterviewScore" attribute="1" defaultMemberUniqueName="[Range].[InterviewScore].[All]" allUniqueName="[Range].[InterviewScore].[All]" dimensionUniqueName="[Range]" displayFolder="" count="0" memberValueDatatype="20" unbalanced="0"/>
    <cacheHierarchy uniqueName="[Range].[SkillScore]" caption="SkillScore" attribute="1" defaultMemberUniqueName="[Range].[SkillScore].[All]" allUniqueName="[Range].[SkillScore].[All]" dimensionUniqueName="[Range]" displayFolder="" count="0" memberValueDatatype="20" unbalanced="0"/>
    <cacheHierarchy uniqueName="[Range].[PersonalityScore]" caption="PersonalityScore" attribute="1" defaultMemberUniqueName="[Range].[PersonalityScore].[All]" allUniqueName="[Range].[PersonalityScore].[All]" dimensionUniqueName="[Range]" displayFolder="" count="0" memberValueDatatype="20" unbalanced="0"/>
    <cacheHierarchy uniqueName="[Range].[RecruitmentStrategy]" caption="RecruitmentStrategy" attribute="1" defaultMemberUniqueName="[Range].[RecruitmentStrategy].[All]" allUniqueName="[Range].[RecruitmentStrategy].[All]" dimensionUniqueName="[Range]" displayFolder="" count="0" memberValueDatatype="20" unbalanced="0"/>
    <cacheHierarchy uniqueName="[Range].[HiringDecision]" caption="HiringDecision" attribute="1" defaultMemberUniqueName="[Range].[HiringDecision].[All]" allUniqueName="[Range].[HiringDecision].[All]" dimensionUniqueName="[Range]" displayFolder="" count="0" memberValueDatatype="20" unbalanced="0"/>
    <cacheHierarchy uniqueName="[Range].[Candidate_id]" caption="Candidate_id" attribute="1" defaultMemberUniqueName="[Range].[Candidate_id].[All]" allUniqueName="[Range].[Candidate_id].[All]" dimensionUniqueName="[Range]" displayFolder="" count="0" memberValueDatatype="130" unbalanced="0"/>
    <cacheHierarchy uniqueName="[Range].[Gender_Name]" caption="Gender_Name" attribute="1" defaultMemberUniqueName="[Range].[Gender_Name].[All]" allUniqueName="[Range].[Gender_Name].[All]" dimensionUniqueName="[Range]" displayFolder="" count="0" memberValueDatatype="130" unbalanced="0"/>
    <cacheHierarchy uniqueName="[Range].[Education_Name]" caption="Education_Name" attribute="1" defaultMemberUniqueName="[Range].[Education_Name].[All]" allUniqueName="[Range].[Education_Name].[All]" dimensionUniqueName="[Range]" displayFolder="" count="0" memberValueDatatype="130" unbalanced="0"/>
    <cacheHierarchy uniqueName="[Range].[Experience_Level]" caption="Experience_Level" attribute="1" defaultMemberUniqueName="[Range].[Experience_Level].[All]" allUniqueName="[Range].[Experience_Level].[All]" dimensionUniqueName="[Range]" displayFolder="" count="0" memberValueDatatype="130" unbalanced="0"/>
    <cacheHierarchy uniqueName="[Range].[Interview_Performance]" caption="Interview_Performance" attribute="1" defaultMemberUniqueName="[Range].[Interview_Performance].[All]" allUniqueName="[Range].[Interview_Performance].[All]" dimensionUniqueName="[Range]" displayFolder="" count="0" memberValueDatatype="130" unbalanced="0"/>
    <cacheHierarchy uniqueName="[Range].[Technical_Skill_Level]" caption="Technical_Skill_Level" attribute="1" defaultMemberUniqueName="[Range].[Technical_Skill_Level].[All]" allUniqueName="[Range].[Technical_Skill_Level].[All]" dimensionUniqueName="[Range]" displayFolder="" count="0" memberValueDatatype="130" unbalanced="0"/>
    <cacheHierarchy uniqueName="[Range].[Personality_Level]" caption="Personality_Level" attribute="1" defaultMemberUniqueName="[Range].[Personality_Level].[All]" allUniqueName="[Range].[Personality_Level].[All]" dimensionUniqueName="[Range]" displayFolder="" count="0" memberValueDatatype="130" unbalanced="0"/>
    <cacheHierarchy uniqueName="[Range].[Hiring_Decision_Name]" caption="Hiring_Decision_Name" attribute="1" defaultMemberUniqueName="[Range].[Hiring_Decision_Name].[All]" allUniqueName="[Range].[Hiring_Decision_Name].[All]" dimensionUniqueName="[Range]" displayFolder="" count="2" memberValueDatatype="130" unbalanced="0">
      <fieldsUsage count="2">
        <fieldUsage x="-1"/>
        <fieldUsage x="1"/>
      </fieldsUsage>
    </cacheHierarchy>
    <cacheHierarchy uniqueName="[Range].[Candidate_Readiness_Score]" caption="Candidate_Readiness_Score" attribute="1" defaultMemberUniqueName="[Range].[Candidate_Readiness_Score].[All]" allUniqueName="[Range].[Candidate_Readiness_Score].[All]" dimensionUniqueName="[Range]" displayFolder="" count="0" memberValueDatatype="20" unbalanced="0"/>
    <cacheHierarchy uniqueName="[Range].[Readiness_Category]" caption="Readiness_Category" attribute="1" defaultMemberUniqueName="[Range].[Readiness_Category].[All]" allUniqueName="[Range].[Readiness_Category].[All]" dimensionUniqueName="[Range]" displayFolder="" count="0" memberValueDatatype="130" unbalanced="0"/>
    <cacheHierarchy uniqueName="[Range].[Primary Strength]" caption="Primary Strength" attribute="1" defaultMemberUniqueName="[Range].[Primary Strength].[All]" allUniqueName="[Range].[Primary Strength].[All]" dimensionUniqueName="[Range]" displayFolder="" count="2" memberValueDatatype="130" unbalanced="0">
      <fieldsUsage count="2">
        <fieldUsage x="-1"/>
        <fieldUsage x="0"/>
      </fieldsUsage>
    </cacheHierarchy>
    <cacheHierarchy uniqueName="[Range].[Primary Gap]" caption="Primary Gap" attribute="1" defaultMemberUniqueName="[Range].[Primary Gap].[All]" allUniqueName="[Range].[Primary Gap].[All]" dimensionUniqueName="[Range]" displayFolder="" count="0" memberValueDatatype="130" unbalanced="0"/>
    <cacheHierarchy uniqueName="[Range].[Improvement Recommendation]" caption="Improvement Recommendation" attribute="1" defaultMemberUniqueName="[Range].[Improvement Recommendation].[All]" allUniqueName="[Range].[Improvement Recommendat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didate_id]" caption="Count of Candidate_id"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n v="26"/>
    <n v="1"/>
    <n v="2"/>
    <n v="0"/>
    <n v="3"/>
    <n v="26.783827553853602"/>
    <n v="48"/>
    <n v="78"/>
    <n v="91"/>
    <n v="1"/>
    <n v="1"/>
    <s v="C001"/>
    <s v="Female"/>
    <s v="Bachelor's Type 2"/>
    <s v="Entry Level"/>
    <s v="Low"/>
    <s v="Advanced"/>
    <s v="Strong"/>
    <x v="0"/>
    <n v="59"/>
    <s v="Developing"/>
    <x v="0"/>
    <s v="Interview Preparation"/>
    <s v="Improve interview preparation and communication"/>
  </r>
  <r>
    <n v="39"/>
    <n v="1"/>
    <n v="4"/>
    <n v="12"/>
    <n v="3"/>
    <n v="25.862694329543899"/>
    <n v="35"/>
    <n v="68"/>
    <n v="80"/>
    <n v="2"/>
    <n v="1"/>
    <s v="C002"/>
    <s v="Female"/>
    <s v="PhD"/>
    <s v="Senior Level"/>
    <s v="Low"/>
    <s v="Intermediate"/>
    <s v="Strong"/>
    <x v="0"/>
    <n v="64"/>
    <s v="Developing"/>
    <x v="0"/>
    <s v="Interview Preparation"/>
    <s v="Improve interview preparation and communication"/>
  </r>
  <r>
    <n v="48"/>
    <n v="0"/>
    <n v="2"/>
    <n v="3"/>
    <n v="2"/>
    <n v="9.9208048281747807"/>
    <n v="20"/>
    <n v="67"/>
    <n v="13"/>
    <n v="2"/>
    <n v="0"/>
    <s v="C003"/>
    <s v="Male"/>
    <s v="Bachelor's Type 2"/>
    <s v="Mid Level"/>
    <s v="Low"/>
    <s v="Intermediate"/>
    <s v="Needs Improvement"/>
    <x v="1"/>
    <n v="34"/>
    <s v="Needs Improvement"/>
    <x v="1"/>
    <s v="Personality &amp; Communication"/>
    <s v="Work on communication and personality development"/>
  </r>
  <r>
    <n v="34"/>
    <n v="1"/>
    <n v="2"/>
    <n v="5"/>
    <n v="2"/>
    <n v="6.4077507286678301"/>
    <n v="36"/>
    <n v="27"/>
    <n v="70"/>
    <n v="3"/>
    <n v="0"/>
    <s v="C004"/>
    <s v="Female"/>
    <s v="Bachelor's Type 2"/>
    <s v="Mid Level"/>
    <s v="Low"/>
    <s v="Beginner"/>
    <s v="Good"/>
    <x v="1"/>
    <n v="40"/>
    <s v="Needs Improvement"/>
    <x v="0"/>
    <s v="Technical Skills"/>
    <s v="Strengthen technical skills and practical knowledge"/>
  </r>
  <r>
    <n v="30"/>
    <n v="0"/>
    <n v="1"/>
    <n v="6"/>
    <n v="1"/>
    <n v="43.105343124175498"/>
    <n v="23"/>
    <n v="52"/>
    <n v="85"/>
    <n v="2"/>
    <n v="0"/>
    <s v="C005"/>
    <s v="Male"/>
    <s v="Bachelor's Type 1"/>
    <s v="Mid Level"/>
    <s v="Low"/>
    <s v="Intermediate"/>
    <s v="Strong"/>
    <x v="1"/>
    <n v="48"/>
    <s v="Needs Improvement"/>
    <x v="0"/>
    <s v="Interview Preparation"/>
    <s v="Improve interview preparation and communication"/>
  </r>
  <r>
    <n v="27"/>
    <n v="0"/>
    <n v="3"/>
    <n v="14"/>
    <n v="4"/>
    <n v="31.706658809375899"/>
    <n v="54"/>
    <n v="50"/>
    <n v="50"/>
    <n v="1"/>
    <n v="1"/>
    <s v="C006"/>
    <s v="Male"/>
    <s v="Master's"/>
    <s v="Senior Level"/>
    <s v="Average"/>
    <s v="Intermediate"/>
    <s v="Good"/>
    <x v="0"/>
    <n v="59"/>
    <s v="Developing"/>
    <x v="2"/>
    <s v="Technical Skills"/>
    <s v="Strengthen technical skills and practical knowledge"/>
  </r>
  <r>
    <n v="48"/>
    <n v="0"/>
    <n v="2"/>
    <n v="6"/>
    <n v="1"/>
    <n v="17.291229200972399"/>
    <n v="24"/>
    <n v="52"/>
    <n v="64"/>
    <n v="3"/>
    <n v="0"/>
    <s v="C007"/>
    <s v="Male"/>
    <s v="Bachelor's Type 2"/>
    <s v="Mid Level"/>
    <s v="Low"/>
    <s v="Intermediate"/>
    <s v="Good"/>
    <x v="1"/>
    <n v="44"/>
    <s v="Needs Improvement"/>
    <x v="0"/>
    <s v="Interview Preparation"/>
    <s v="Improve interview preparation and communication"/>
  </r>
  <r>
    <n v="40"/>
    <n v="0"/>
    <n v="4"/>
    <n v="13"/>
    <n v="3"/>
    <n v="10.5868108695133"/>
    <n v="6"/>
    <n v="3"/>
    <n v="92"/>
    <n v="3"/>
    <n v="0"/>
    <s v="C008"/>
    <s v="Male"/>
    <s v="PhD"/>
    <s v="Senior Level"/>
    <s v="Low"/>
    <s v="Beginner"/>
    <s v="Strong"/>
    <x v="1"/>
    <n v="39"/>
    <s v="Needs Improvement"/>
    <x v="0"/>
    <s v="Technical Skills"/>
    <s v="Strengthen technical skills and practical knowledge"/>
  </r>
  <r>
    <n v="26"/>
    <n v="1"/>
    <n v="3"/>
    <n v="6"/>
    <n v="5"/>
    <n v="28.774864008481501"/>
    <n v="80"/>
    <n v="78"/>
    <n v="51"/>
    <n v="1"/>
    <n v="1"/>
    <s v="C009"/>
    <s v="Female"/>
    <s v="Master's"/>
    <s v="Mid Level"/>
    <s v="Strong"/>
    <s v="Advanced"/>
    <s v="Good"/>
    <x v="0"/>
    <n v="67"/>
    <s v="Developing"/>
    <x v="2"/>
    <s v="Personality &amp; Communication"/>
    <s v="Work on communication and personality development"/>
  </r>
  <r>
    <n v="45"/>
    <n v="1"/>
    <n v="2"/>
    <n v="2"/>
    <n v="5"/>
    <n v="30.195964463056701"/>
    <n v="92"/>
    <n v="16"/>
    <n v="94"/>
    <n v="3"/>
    <n v="0"/>
    <s v="C010"/>
    <s v="Female"/>
    <s v="Bachelor's Type 2"/>
    <s v="Entry Level"/>
    <s v="Strong"/>
    <s v="Beginner"/>
    <s v="Strong"/>
    <x v="1"/>
    <n v="56"/>
    <s v="Developing"/>
    <x v="0"/>
    <s v="Technical Skills"/>
    <s v="Strengthen technical skills and practical knowledge"/>
  </r>
  <r>
    <n v="38"/>
    <n v="1"/>
    <n v="1"/>
    <n v="15"/>
    <n v="2"/>
    <n v="11.349680062252901"/>
    <n v="93"/>
    <n v="66"/>
    <n v="29"/>
    <n v="2"/>
    <n v="0"/>
    <s v="C011"/>
    <s v="Female"/>
    <s v="Bachelor's Type 1"/>
    <s v="Senior Level"/>
    <s v="Strong"/>
    <s v="Intermediate"/>
    <s v="Needs Improvement"/>
    <x v="1"/>
    <n v="71"/>
    <s v="Developing"/>
    <x v="2"/>
    <s v="Personality &amp; Communication"/>
    <s v="Work on communication and personality development"/>
  </r>
  <r>
    <n v="42"/>
    <n v="0"/>
    <n v="3"/>
    <n v="5"/>
    <n v="5"/>
    <n v="43.570287394573697"/>
    <n v="70"/>
    <n v="73"/>
    <n v="56"/>
    <n v="2"/>
    <n v="0"/>
    <s v="C012"/>
    <s v="Male"/>
    <s v="Master's"/>
    <s v="Mid Level"/>
    <s v="Average"/>
    <s v="Intermediate"/>
    <s v="Good"/>
    <x v="1"/>
    <n v="63"/>
    <s v="Developing"/>
    <x v="1"/>
    <s v="Personality &amp; Communication"/>
    <s v="Work on communication and personality development"/>
  </r>
  <r>
    <n v="30"/>
    <n v="0"/>
    <n v="3"/>
    <n v="12"/>
    <n v="5"/>
    <n v="5.21321830779255"/>
    <n v="96"/>
    <n v="46"/>
    <n v="78"/>
    <n v="3"/>
    <n v="1"/>
    <s v="C013"/>
    <s v="Male"/>
    <s v="Master's"/>
    <s v="Senior Level"/>
    <s v="Strong"/>
    <s v="Beginner"/>
    <s v="Strong"/>
    <x v="0"/>
    <n v="74"/>
    <s v="Developing"/>
    <x v="2"/>
    <s v="Technical Skills"/>
    <s v="Strengthen technical skills and practical knowledge"/>
  </r>
  <r>
    <n v="30"/>
    <n v="0"/>
    <n v="1"/>
    <n v="7"/>
    <n v="5"/>
    <n v="18.804654258321001"/>
    <n v="70"/>
    <n v="55"/>
    <n v="81"/>
    <n v="2"/>
    <n v="0"/>
    <s v="C014"/>
    <s v="Male"/>
    <s v="Bachelor's Type 1"/>
    <s v="Senior Level"/>
    <s v="Average"/>
    <s v="Intermediate"/>
    <s v="Strong"/>
    <x v="1"/>
    <n v="63"/>
    <s v="Developing"/>
    <x v="0"/>
    <s v="Technical Skills"/>
    <s v="Strengthen technical skills and practical knowledge"/>
  </r>
  <r>
    <n v="43"/>
    <n v="1"/>
    <n v="2"/>
    <n v="3"/>
    <n v="3"/>
    <n v="35.019220688126097"/>
    <n v="23"/>
    <n v="22"/>
    <n v="98"/>
    <n v="1"/>
    <n v="0"/>
    <s v="C015"/>
    <s v="Female"/>
    <s v="Bachelor's Type 2"/>
    <s v="Mid Level"/>
    <s v="Low"/>
    <s v="Beginner"/>
    <s v="Strong"/>
    <x v="1"/>
    <n v="39"/>
    <s v="Needs Improvement"/>
    <x v="0"/>
    <s v="Technical Skills"/>
    <s v="Strengthen technical skills and practical knowledge"/>
  </r>
  <r>
    <n v="40"/>
    <n v="0"/>
    <n v="3"/>
    <n v="12"/>
    <n v="5"/>
    <n v="14.70601819096"/>
    <n v="10"/>
    <n v="17"/>
    <n v="29"/>
    <n v="2"/>
    <n v="0"/>
    <s v="C016"/>
    <s v="Male"/>
    <s v="Master's"/>
    <s v="Senior Level"/>
    <s v="Low"/>
    <s v="Beginner"/>
    <s v="Needs Improvement"/>
    <x v="1"/>
    <n v="30"/>
    <s v="Needs Improvement"/>
    <x v="0"/>
    <s v="Interview Preparation"/>
    <s v="Improve interview preparation and communication"/>
  </r>
  <r>
    <n v="23"/>
    <n v="1"/>
    <n v="1"/>
    <n v="7"/>
    <n v="5"/>
    <n v="42.3837597390635"/>
    <n v="72"/>
    <n v="0"/>
    <n v="97"/>
    <n v="2"/>
    <n v="0"/>
    <s v="C017"/>
    <s v="Female"/>
    <s v="Bachelor's Type 1"/>
    <s v="Senior Level"/>
    <s v="Average"/>
    <s v="Beginner"/>
    <s v="Strong"/>
    <x v="1"/>
    <n v="51"/>
    <s v="Developing"/>
    <x v="0"/>
    <s v="Technical Skills"/>
    <s v="Strengthen technical skills and practical knowledge"/>
  </r>
  <r>
    <n v="27"/>
    <n v="1"/>
    <n v="4"/>
    <n v="1"/>
    <n v="5"/>
    <n v="37.993391330020103"/>
    <n v="11"/>
    <n v="34"/>
    <n v="41"/>
    <n v="1"/>
    <n v="0"/>
    <s v="C018"/>
    <s v="Female"/>
    <s v="PhD"/>
    <s v="Entry Level"/>
    <s v="Low"/>
    <s v="Beginner"/>
    <s v="Needs Improvement"/>
    <x v="1"/>
    <n v="28"/>
    <s v="Needs Improvement"/>
    <x v="0"/>
    <s v="Interview Preparation"/>
    <s v="Improve interview preparation and communication"/>
  </r>
  <r>
    <n v="43"/>
    <n v="1"/>
    <n v="2"/>
    <n v="14"/>
    <n v="1"/>
    <n v="40.451142227406699"/>
    <n v="34"/>
    <n v="63"/>
    <n v="10"/>
    <n v="2"/>
    <n v="0"/>
    <s v="C019"/>
    <s v="Female"/>
    <s v="Bachelor's Type 2"/>
    <s v="Senior Level"/>
    <s v="Low"/>
    <s v="Intermediate"/>
    <s v="Needs Improvement"/>
    <x v="1"/>
    <n v="48"/>
    <s v="Needs Improvement"/>
    <x v="1"/>
    <s v="Personality &amp; Communication"/>
    <s v="Work on communication and personality development"/>
  </r>
  <r>
    <n v="22"/>
    <n v="1"/>
    <n v="1"/>
    <n v="9"/>
    <n v="3"/>
    <n v="6.9553267938358099"/>
    <n v="62"/>
    <n v="57"/>
    <n v="26"/>
    <n v="2"/>
    <n v="0"/>
    <s v="C020"/>
    <s v="Female"/>
    <s v="Bachelor's Type 1"/>
    <s v="Senior Level"/>
    <s v="Average"/>
    <s v="Intermediate"/>
    <s v="Needs Improvement"/>
    <x v="1"/>
    <n v="52"/>
    <s v="Developing"/>
    <x v="2"/>
    <s v="Personality &amp; Communication"/>
    <s v="Work on communication and personality development"/>
  </r>
  <r>
    <n v="41"/>
    <n v="1"/>
    <n v="3"/>
    <n v="8"/>
    <n v="2"/>
    <n v="8.0273563997771404"/>
    <n v="67"/>
    <n v="94"/>
    <n v="23"/>
    <n v="2"/>
    <n v="0"/>
    <s v="C021"/>
    <s v="Female"/>
    <s v="Master's"/>
    <s v="Senior Level"/>
    <s v="Average"/>
    <s v="Advanced"/>
    <s v="Needs Improvement"/>
    <x v="1"/>
    <n v="65"/>
    <s v="Developing"/>
    <x v="1"/>
    <s v="Personality &amp; Communication"/>
    <s v="Work on communication and personality development"/>
  </r>
  <r>
    <n v="40"/>
    <n v="1"/>
    <n v="2"/>
    <n v="8"/>
    <n v="1"/>
    <n v="15.323686887229099"/>
    <n v="99"/>
    <n v="58"/>
    <n v="98"/>
    <n v="2"/>
    <n v="1"/>
    <s v="C022"/>
    <s v="Female"/>
    <s v="Bachelor's Type 2"/>
    <s v="Senior Level"/>
    <s v="Strong"/>
    <s v="Intermediate"/>
    <s v="Strong"/>
    <x v="0"/>
    <n v="77"/>
    <s v="Job Ready"/>
    <x v="2"/>
    <s v="Technical Skills"/>
    <s v="Strengthen technical skills and practical knowledge"/>
  </r>
  <r>
    <n v="21"/>
    <n v="0"/>
    <n v="2"/>
    <n v="7"/>
    <n v="4"/>
    <n v="26.903858259878"/>
    <n v="91"/>
    <n v="0"/>
    <n v="38"/>
    <n v="3"/>
    <n v="0"/>
    <s v="C023"/>
    <s v="Male"/>
    <s v="Bachelor's Type 2"/>
    <s v="Senior Level"/>
    <s v="Strong"/>
    <s v="Beginner"/>
    <s v="Needs Improvement"/>
    <x v="1"/>
    <n v="44"/>
    <s v="Needs Improvement"/>
    <x v="2"/>
    <s v="Technical Skills"/>
    <s v="Strengthen technical skills and practical knowledge"/>
  </r>
  <r>
    <n v="43"/>
    <n v="0"/>
    <n v="1"/>
    <n v="9"/>
    <n v="3"/>
    <n v="38.400803834970098"/>
    <n v="56"/>
    <n v="2"/>
    <n v="71"/>
    <n v="2"/>
    <n v="0"/>
    <s v="C024"/>
    <s v="Male"/>
    <s v="Bachelor's Type 1"/>
    <s v="Senior Level"/>
    <s v="Average"/>
    <s v="Beginner"/>
    <s v="Good"/>
    <x v="1"/>
    <n v="43"/>
    <s v="Needs Improvement"/>
    <x v="0"/>
    <s v="Technical Skills"/>
    <s v="Strengthen technical skills and practical knowledge"/>
  </r>
  <r>
    <n v="31"/>
    <n v="1"/>
    <n v="1"/>
    <n v="13"/>
    <n v="3"/>
    <n v="42.826544538045098"/>
    <n v="12"/>
    <n v="66"/>
    <n v="17"/>
    <n v="2"/>
    <n v="0"/>
    <s v="C025"/>
    <s v="Female"/>
    <s v="Bachelor's Type 1"/>
    <s v="Senior Level"/>
    <s v="Low"/>
    <s v="Intermediate"/>
    <s v="Needs Improvement"/>
    <x v="1"/>
    <n v="42"/>
    <s v="Needs Improvement"/>
    <x v="1"/>
    <s v="Interview Preparation"/>
    <s v="Improve interview preparation and communication"/>
  </r>
  <r>
    <n v="49"/>
    <n v="1"/>
    <n v="2"/>
    <n v="12"/>
    <n v="4"/>
    <n v="36.216765797858997"/>
    <n v="22"/>
    <n v="36"/>
    <n v="76"/>
    <n v="1"/>
    <n v="1"/>
    <s v="C026"/>
    <s v="Female"/>
    <s v="Bachelor's Type 2"/>
    <s v="Senior Level"/>
    <s v="Low"/>
    <s v="Beginner"/>
    <s v="Strong"/>
    <x v="0"/>
    <n v="47"/>
    <s v="Needs Improvement"/>
    <x v="0"/>
    <s v="Interview Preparation"/>
    <s v="Improve interview preparation and communication"/>
  </r>
  <r>
    <n v="25"/>
    <n v="0"/>
    <n v="2"/>
    <n v="9"/>
    <n v="4"/>
    <n v="47.4298440765319"/>
    <n v="82"/>
    <n v="82"/>
    <n v="44"/>
    <n v="2"/>
    <n v="0"/>
    <s v="C027"/>
    <s v="Male"/>
    <s v="Bachelor's Type 2"/>
    <s v="Senior Level"/>
    <s v="Strong"/>
    <s v="Advanced"/>
    <s v="Needs Improvement"/>
    <x v="1"/>
    <n v="70"/>
    <s v="Developing"/>
    <x v="2"/>
    <s v="Personality &amp; Communication"/>
    <s v="Work on communication and personality development"/>
  </r>
  <r>
    <n v="21"/>
    <n v="1"/>
    <n v="2"/>
    <n v="0"/>
    <n v="4"/>
    <n v="37.937175480796498"/>
    <n v="100"/>
    <n v="28"/>
    <n v="87"/>
    <n v="3"/>
    <n v="0"/>
    <s v="C028"/>
    <s v="Female"/>
    <s v="Bachelor's Type 2"/>
    <s v="Entry Level"/>
    <s v="Strong"/>
    <s v="Beginner"/>
    <s v="Strong"/>
    <x v="1"/>
    <n v="58"/>
    <s v="Developing"/>
    <x v="2"/>
    <s v="Technical Skills"/>
    <s v="Strengthen technical skills and practical knowledge"/>
  </r>
  <r>
    <n v="47"/>
    <n v="1"/>
    <n v="3"/>
    <n v="1"/>
    <n v="2"/>
    <n v="16.313394350230698"/>
    <n v="38"/>
    <n v="88"/>
    <n v="86"/>
    <n v="2"/>
    <n v="0"/>
    <s v="C029"/>
    <s v="Female"/>
    <s v="Master's"/>
    <s v="Entry Level"/>
    <s v="Low"/>
    <s v="Advanced"/>
    <s v="Strong"/>
    <x v="1"/>
    <n v="60"/>
    <s v="Developing"/>
    <x v="1"/>
    <s v="Interview Preparation"/>
    <s v="Improve interview preparation and communication"/>
  </r>
  <r>
    <n v="40"/>
    <n v="0"/>
    <n v="2"/>
    <n v="5"/>
    <n v="5"/>
    <n v="14.254064216928599"/>
    <n v="87"/>
    <n v="32"/>
    <n v="11"/>
    <n v="2"/>
    <n v="0"/>
    <s v="C030"/>
    <s v="Male"/>
    <s v="Bachelor's Type 2"/>
    <s v="Mid Level"/>
    <s v="Strong"/>
    <s v="Beginner"/>
    <s v="Needs Improvement"/>
    <x v="1"/>
    <n v="45"/>
    <s v="Needs Improvement"/>
    <x v="2"/>
    <s v="Personality &amp; Communication"/>
    <s v="Work on communication and personality development"/>
  </r>
  <r>
    <n v="20"/>
    <n v="1"/>
    <n v="1"/>
    <n v="9"/>
    <n v="3"/>
    <n v="35.8096225150544"/>
    <n v="79"/>
    <n v="99"/>
    <n v="48"/>
    <n v="2"/>
    <n v="0"/>
    <s v="C031"/>
    <s v="Female"/>
    <s v="Bachelor's Type 1"/>
    <s v="Senior Level"/>
    <s v="Strong"/>
    <s v="Advanced"/>
    <s v="Needs Improvement"/>
    <x v="1"/>
    <n v="75"/>
    <s v="Job Ready"/>
    <x v="1"/>
    <s v="Personality &amp; Communication"/>
    <s v="Work on communication and personality development"/>
  </r>
  <r>
    <n v="31"/>
    <n v="1"/>
    <n v="2"/>
    <n v="4"/>
    <n v="5"/>
    <n v="10.6435284344807"/>
    <n v="96"/>
    <n v="60"/>
    <n v="93"/>
    <n v="2"/>
    <n v="0"/>
    <s v="C032"/>
    <s v="Female"/>
    <s v="Bachelor's Type 2"/>
    <s v="Mid Level"/>
    <s v="Strong"/>
    <s v="Intermediate"/>
    <s v="Strong"/>
    <x v="1"/>
    <n v="72"/>
    <s v="Developing"/>
    <x v="2"/>
    <s v="Technical Skills"/>
    <s v="Strengthen technical skills and practical knowledge"/>
  </r>
  <r>
    <n v="45"/>
    <n v="1"/>
    <n v="4"/>
    <n v="11"/>
    <n v="5"/>
    <n v="5.6357405405134902"/>
    <n v="11"/>
    <n v="92"/>
    <n v="30"/>
    <n v="1"/>
    <n v="1"/>
    <s v="C033"/>
    <s v="Female"/>
    <s v="PhD"/>
    <s v="Senior Level"/>
    <s v="Low"/>
    <s v="Advanced"/>
    <s v="Needs Improvement"/>
    <x v="0"/>
    <n v="53"/>
    <s v="Developing"/>
    <x v="1"/>
    <s v="Interview Preparation"/>
    <s v="Improve interview preparation and communication"/>
  </r>
  <r>
    <n v="41"/>
    <n v="0"/>
    <n v="3"/>
    <n v="13"/>
    <n v="4"/>
    <n v="27.611143742809599"/>
    <n v="33"/>
    <n v="89"/>
    <n v="91"/>
    <n v="3"/>
    <n v="1"/>
    <s v="C034"/>
    <s v="Male"/>
    <s v="Master's"/>
    <s v="Senior Level"/>
    <s v="Low"/>
    <s v="Advanced"/>
    <s v="Strong"/>
    <x v="0"/>
    <n v="72"/>
    <s v="Developing"/>
    <x v="0"/>
    <s v="Interview Preparation"/>
    <s v="Improve interview preparation and communication"/>
  </r>
  <r>
    <n v="48"/>
    <n v="0"/>
    <n v="2"/>
    <n v="8"/>
    <n v="2"/>
    <n v="42.082078488947701"/>
    <n v="70"/>
    <n v="3"/>
    <n v="21"/>
    <n v="1"/>
    <n v="0"/>
    <s v="C035"/>
    <s v="Male"/>
    <s v="Bachelor's Type 2"/>
    <s v="Senior Level"/>
    <s v="Average"/>
    <s v="Beginner"/>
    <s v="Needs Improvement"/>
    <x v="1"/>
    <n v="37"/>
    <s v="Needs Improvement"/>
    <x v="2"/>
    <s v="Technical Skills"/>
    <s v="Strengthen technical skills and practical knowledge"/>
  </r>
  <r>
    <n v="31"/>
    <n v="0"/>
    <n v="2"/>
    <n v="4"/>
    <n v="1"/>
    <n v="6.0689921234931701"/>
    <n v="74"/>
    <n v="13"/>
    <n v="43"/>
    <n v="2"/>
    <n v="0"/>
    <s v="C036"/>
    <s v="Male"/>
    <s v="Bachelor's Type 2"/>
    <s v="Mid Level"/>
    <s v="Average"/>
    <s v="Beginner"/>
    <s v="Needs Improvement"/>
    <x v="1"/>
    <n v="41"/>
    <s v="Needs Improvement"/>
    <x v="2"/>
    <s v="Technical Skills"/>
    <s v="Strengthen technical skills and practical knowledge"/>
  </r>
  <r>
    <n v="44"/>
    <n v="1"/>
    <n v="2"/>
    <n v="1"/>
    <n v="2"/>
    <n v="40.594566189786399"/>
    <n v="30"/>
    <n v="90"/>
    <n v="91"/>
    <n v="2"/>
    <n v="0"/>
    <s v="C037"/>
    <s v="Female"/>
    <s v="Bachelor's Type 2"/>
    <s v="Entry Level"/>
    <s v="Low"/>
    <s v="Advanced"/>
    <s v="Strong"/>
    <x v="1"/>
    <n v="58"/>
    <s v="Developing"/>
    <x v="0"/>
    <s v="Interview Preparation"/>
    <s v="Improve interview preparation and communication"/>
  </r>
  <r>
    <n v="36"/>
    <n v="1"/>
    <n v="3"/>
    <n v="9"/>
    <n v="5"/>
    <n v="41.578600217577403"/>
    <n v="92"/>
    <n v="32"/>
    <n v="63"/>
    <n v="2"/>
    <n v="1"/>
    <s v="C038"/>
    <s v="Female"/>
    <s v="Master's"/>
    <s v="Senior Level"/>
    <s v="Strong"/>
    <s v="Beginner"/>
    <s v="Good"/>
    <x v="0"/>
    <n v="63"/>
    <s v="Developing"/>
    <x v="2"/>
    <s v="Technical Skills"/>
    <s v="Strengthen technical skills and practical knowledge"/>
  </r>
  <r>
    <n v="46"/>
    <n v="0"/>
    <n v="3"/>
    <n v="3"/>
    <n v="2"/>
    <n v="25.113700004077099"/>
    <n v="61"/>
    <n v="21"/>
    <n v="76"/>
    <n v="1"/>
    <n v="1"/>
    <s v="C039"/>
    <s v="Male"/>
    <s v="Master's"/>
    <s v="Mid Level"/>
    <s v="Average"/>
    <s v="Beginner"/>
    <s v="Strong"/>
    <x v="0"/>
    <n v="47"/>
    <s v="Needs Improvement"/>
    <x v="0"/>
    <s v="Technical Skills"/>
    <s v="Strengthen technical skills and practical knowledge"/>
  </r>
  <r>
    <n v="46"/>
    <n v="1"/>
    <n v="2"/>
    <n v="8"/>
    <n v="4"/>
    <n v="3.86551550052434"/>
    <n v="12"/>
    <n v="47"/>
    <n v="24"/>
    <n v="2"/>
    <n v="0"/>
    <s v="C040"/>
    <s v="Female"/>
    <s v="Bachelor's Type 2"/>
    <s v="Senior Level"/>
    <s v="Low"/>
    <s v="Beginner"/>
    <s v="Needs Improvement"/>
    <x v="1"/>
    <n v="33"/>
    <s v="Needs Improvement"/>
    <x v="1"/>
    <s v="Interview Preparation"/>
    <s v="Improve interview preparation and communication"/>
  </r>
  <r>
    <n v="50"/>
    <n v="1"/>
    <n v="3"/>
    <n v="0"/>
    <n v="1"/>
    <n v="9.7294925623593205"/>
    <n v="30"/>
    <n v="2"/>
    <n v="50"/>
    <n v="1"/>
    <n v="0"/>
    <s v="C041"/>
    <s v="Female"/>
    <s v="Master's"/>
    <s v="Entry Level"/>
    <s v="Low"/>
    <s v="Beginner"/>
    <s v="Good"/>
    <x v="1"/>
    <n v="23"/>
    <s v="Needs Improvement"/>
    <x v="0"/>
    <s v="Technical Skills"/>
    <s v="Strengthen technical skills and practical knowledge"/>
  </r>
  <r>
    <n v="29"/>
    <n v="1"/>
    <n v="3"/>
    <n v="10"/>
    <n v="4"/>
    <n v="36.371313758096598"/>
    <n v="1"/>
    <n v="86"/>
    <n v="6"/>
    <n v="1"/>
    <n v="1"/>
    <s v="C042"/>
    <s v="Female"/>
    <s v="Master's"/>
    <s v="Senior Level"/>
    <s v="Low"/>
    <s v="Advanced"/>
    <s v="Needs Improvement"/>
    <x v="0"/>
    <n v="41"/>
    <s v="Needs Improvement"/>
    <x v="1"/>
    <s v="Interview Preparation"/>
    <s v="Improve interview preparation and communication"/>
  </r>
  <r>
    <n v="47"/>
    <n v="1"/>
    <n v="1"/>
    <n v="0"/>
    <n v="1"/>
    <n v="36.588897249547401"/>
    <n v="14"/>
    <n v="84"/>
    <n v="5"/>
    <n v="2"/>
    <n v="0"/>
    <s v="C043"/>
    <s v="Female"/>
    <s v="Bachelor's Type 1"/>
    <s v="Entry Level"/>
    <s v="Low"/>
    <s v="Advanced"/>
    <s v="Needs Improvement"/>
    <x v="1"/>
    <n v="33"/>
    <s v="Needs Improvement"/>
    <x v="1"/>
    <s v="Personality &amp; Communication"/>
    <s v="Work on communication and personality development"/>
  </r>
  <r>
    <n v="47"/>
    <n v="1"/>
    <n v="2"/>
    <n v="11"/>
    <n v="5"/>
    <n v="45.917763758383202"/>
    <n v="56"/>
    <n v="22"/>
    <n v="23"/>
    <n v="2"/>
    <n v="0"/>
    <s v="C044"/>
    <s v="Female"/>
    <s v="Bachelor's Type 2"/>
    <s v="Senior Level"/>
    <s v="Average"/>
    <s v="Beginner"/>
    <s v="Needs Improvement"/>
    <x v="1"/>
    <n v="42"/>
    <s v="Needs Improvement"/>
    <x v="2"/>
    <s v="Technical Skills"/>
    <s v="Strengthen technical skills and practical knowledge"/>
  </r>
  <r>
    <n v="35"/>
    <n v="0"/>
    <n v="1"/>
    <n v="6"/>
    <n v="1"/>
    <n v="30.1343073277291"/>
    <n v="74"/>
    <n v="67"/>
    <n v="18"/>
    <n v="1"/>
    <n v="1"/>
    <s v="C045"/>
    <s v="Male"/>
    <s v="Bachelor's Type 1"/>
    <s v="Mid Level"/>
    <s v="Average"/>
    <s v="Intermediate"/>
    <s v="Needs Improvement"/>
    <x v="0"/>
    <n v="54"/>
    <s v="Developing"/>
    <x v="2"/>
    <s v="Personality &amp; Communication"/>
    <s v="Work on communication and personality development"/>
  </r>
  <r>
    <n v="34"/>
    <n v="1"/>
    <n v="2"/>
    <n v="10"/>
    <n v="1"/>
    <n v="7.2053683856888604"/>
    <n v="33"/>
    <n v="20"/>
    <n v="82"/>
    <n v="1"/>
    <n v="1"/>
    <s v="C046"/>
    <s v="Female"/>
    <s v="Bachelor's Type 2"/>
    <s v="Senior Level"/>
    <s v="Low"/>
    <s v="Beginner"/>
    <s v="Strong"/>
    <x v="0"/>
    <n v="45"/>
    <s v="Needs Improvement"/>
    <x v="0"/>
    <s v="Technical Skills"/>
    <s v="Strengthen technical skills and practical knowledge"/>
  </r>
  <r>
    <n v="49"/>
    <n v="0"/>
    <n v="3"/>
    <n v="2"/>
    <n v="1"/>
    <n v="7.0707452752486004"/>
    <n v="67"/>
    <n v="100"/>
    <n v="99"/>
    <n v="3"/>
    <n v="0"/>
    <s v="C047"/>
    <s v="Male"/>
    <s v="Master's"/>
    <s v="Entry Level"/>
    <s v="Average"/>
    <s v="Advanced"/>
    <s v="Strong"/>
    <x v="1"/>
    <n v="76"/>
    <s v="Job Ready"/>
    <x v="1"/>
    <s v="Interview Preparation"/>
    <s v="Improve interview preparation and communication"/>
  </r>
  <r>
    <n v="49"/>
    <n v="1"/>
    <n v="2"/>
    <n v="9"/>
    <n v="2"/>
    <n v="37.056617867841098"/>
    <n v="74"/>
    <n v="42"/>
    <n v="8"/>
    <n v="3"/>
    <n v="0"/>
    <s v="C048"/>
    <s v="Female"/>
    <s v="Bachelor's Type 2"/>
    <s v="Senior Level"/>
    <s v="Average"/>
    <s v="Beginner"/>
    <s v="Needs Improvement"/>
    <x v="1"/>
    <n v="48"/>
    <s v="Needs Improvement"/>
    <x v="2"/>
    <s v="Personality &amp; Communication"/>
    <s v="Work on communication and personality development"/>
  </r>
  <r>
    <n v="34"/>
    <n v="0"/>
    <n v="2"/>
    <n v="1"/>
    <n v="2"/>
    <n v="10.189233255394999"/>
    <n v="28"/>
    <n v="94"/>
    <n v="35"/>
    <n v="1"/>
    <n v="0"/>
    <s v="C049"/>
    <s v="Male"/>
    <s v="Bachelor's Type 2"/>
    <s v="Entry Level"/>
    <s v="Low"/>
    <s v="Advanced"/>
    <s v="Needs Improvement"/>
    <x v="1"/>
    <n v="47"/>
    <s v="Needs Improvement"/>
    <x v="1"/>
    <s v="Interview Preparation"/>
    <s v="Improve interview preparation and communication"/>
  </r>
  <r>
    <n v="49"/>
    <n v="1"/>
    <n v="1"/>
    <n v="8"/>
    <n v="5"/>
    <n v="17.419274980830199"/>
    <n v="65"/>
    <n v="84"/>
    <n v="39"/>
    <n v="2"/>
    <n v="0"/>
    <s v="C050"/>
    <s v="Female"/>
    <s v="Bachelor's Type 1"/>
    <s v="Senior Level"/>
    <s v="Average"/>
    <s v="Advanced"/>
    <s v="Needs Improvement"/>
    <x v="1"/>
    <n v="63"/>
    <s v="Developing"/>
    <x v="1"/>
    <s v="Personality &amp; Communication"/>
    <s v="Work on communication and personality development"/>
  </r>
  <r>
    <n v="38"/>
    <n v="0"/>
    <n v="2"/>
    <n v="2"/>
    <n v="1"/>
    <n v="25.360600346095602"/>
    <n v="15"/>
    <n v="25"/>
    <n v="92"/>
    <n v="2"/>
    <n v="0"/>
    <s v="C051"/>
    <s v="Male"/>
    <s v="Bachelor's Type 2"/>
    <s v="Entry Level"/>
    <s v="Low"/>
    <s v="Beginner"/>
    <s v="Strong"/>
    <x v="1"/>
    <n v="35"/>
    <s v="Needs Improvement"/>
    <x v="0"/>
    <s v="Interview Preparation"/>
    <s v="Improve interview preparation and communication"/>
  </r>
  <r>
    <n v="31"/>
    <n v="1"/>
    <n v="2"/>
    <n v="15"/>
    <n v="3"/>
    <n v="2.2382438788075598"/>
    <n v="38"/>
    <n v="40"/>
    <n v="23"/>
    <n v="2"/>
    <n v="0"/>
    <s v="C052"/>
    <s v="Female"/>
    <s v="Bachelor's Type 2"/>
    <s v="Senior Level"/>
    <s v="Low"/>
    <s v="Beginner"/>
    <s v="Needs Improvement"/>
    <x v="1"/>
    <n v="46"/>
    <s v="Needs Improvement"/>
    <x v="1"/>
    <s v="Personality &amp; Communication"/>
    <s v="Work on communication and personality development"/>
  </r>
  <r>
    <n v="42"/>
    <n v="0"/>
    <n v="2"/>
    <n v="1"/>
    <n v="5"/>
    <n v="13.4409513509965"/>
    <n v="76"/>
    <n v="98"/>
    <n v="47"/>
    <n v="3"/>
    <n v="0"/>
    <s v="C053"/>
    <s v="Male"/>
    <s v="Bachelor's Type 2"/>
    <s v="Entry Level"/>
    <s v="Strong"/>
    <s v="Advanced"/>
    <s v="Needs Improvement"/>
    <x v="1"/>
    <n v="65"/>
    <s v="Developing"/>
    <x v="1"/>
    <s v="Personality &amp; Communication"/>
    <s v="Work on communication and personality development"/>
  </r>
  <r>
    <n v="39"/>
    <n v="1"/>
    <n v="2"/>
    <n v="11"/>
    <n v="1"/>
    <n v="21.394480425364002"/>
    <n v="36"/>
    <n v="37"/>
    <n v="62"/>
    <n v="1"/>
    <n v="1"/>
    <s v="C054"/>
    <s v="Female"/>
    <s v="Bachelor's Type 2"/>
    <s v="Senior Level"/>
    <s v="Low"/>
    <s v="Beginner"/>
    <s v="Good"/>
    <x v="0"/>
    <n v="48"/>
    <s v="Needs Improvement"/>
    <x v="0"/>
    <s v="Interview Preparation"/>
    <s v="Improve interview preparation and communication"/>
  </r>
  <r>
    <n v="44"/>
    <n v="0"/>
    <n v="2"/>
    <n v="7"/>
    <n v="1"/>
    <n v="14.9818159246603"/>
    <n v="80"/>
    <n v="87"/>
    <n v="68"/>
    <n v="2"/>
    <n v="1"/>
    <s v="C055"/>
    <s v="Male"/>
    <s v="Bachelor's Type 2"/>
    <s v="Senior Level"/>
    <s v="Strong"/>
    <s v="Advanced"/>
    <s v="Good"/>
    <x v="0"/>
    <n v="73"/>
    <s v="Developing"/>
    <x v="1"/>
    <s v="Personality &amp; Communication"/>
    <s v="Work on communication and personality development"/>
  </r>
  <r>
    <n v="22"/>
    <n v="1"/>
    <n v="2"/>
    <n v="9"/>
    <n v="2"/>
    <n v="7.8185163733782899"/>
    <n v="20"/>
    <n v="10"/>
    <n v="52"/>
    <n v="2"/>
    <n v="0"/>
    <s v="C056"/>
    <s v="Female"/>
    <s v="Bachelor's Type 2"/>
    <s v="Senior Level"/>
    <s v="Low"/>
    <s v="Beginner"/>
    <s v="Good"/>
    <x v="1"/>
    <n v="31"/>
    <s v="Needs Improvement"/>
    <x v="0"/>
    <s v="Technical Skills"/>
    <s v="Strengthen technical skills and practical knowledge"/>
  </r>
  <r>
    <n v="24"/>
    <n v="0"/>
    <n v="1"/>
    <n v="5"/>
    <n v="5"/>
    <n v="37.4006128898098"/>
    <n v="43"/>
    <n v="28"/>
    <n v="53"/>
    <n v="2"/>
    <n v="0"/>
    <s v="C057"/>
    <s v="Male"/>
    <s v="Bachelor's Type 1"/>
    <s v="Mid Level"/>
    <s v="Low"/>
    <s v="Beginner"/>
    <s v="Good"/>
    <x v="1"/>
    <n v="39"/>
    <s v="Needs Improvement"/>
    <x v="0"/>
    <s v="Technical Skills"/>
    <s v="Strengthen technical skills and practical knowledge"/>
  </r>
  <r>
    <n v="38"/>
    <n v="0"/>
    <n v="1"/>
    <n v="5"/>
    <n v="1"/>
    <n v="41.657382758399201"/>
    <n v="18"/>
    <n v="59"/>
    <n v="41"/>
    <n v="2"/>
    <n v="0"/>
    <s v="C058"/>
    <s v="Male"/>
    <s v="Bachelor's Type 1"/>
    <s v="Mid Level"/>
    <s v="Low"/>
    <s v="Intermediate"/>
    <s v="Needs Improvement"/>
    <x v="1"/>
    <n v="39"/>
    <s v="Needs Improvement"/>
    <x v="1"/>
    <s v="Interview Preparation"/>
    <s v="Improve interview preparation and communication"/>
  </r>
  <r>
    <n v="26"/>
    <n v="1"/>
    <n v="2"/>
    <n v="9"/>
    <n v="1"/>
    <n v="13.873948807186199"/>
    <n v="70"/>
    <n v="66"/>
    <n v="44"/>
    <n v="3"/>
    <n v="0"/>
    <s v="C059"/>
    <s v="Female"/>
    <s v="Bachelor's Type 2"/>
    <s v="Senior Level"/>
    <s v="Average"/>
    <s v="Intermediate"/>
    <s v="Needs Improvement"/>
    <x v="1"/>
    <n v="61"/>
    <s v="Developing"/>
    <x v="2"/>
    <s v="Personality &amp; Communication"/>
    <s v="Work on communication and personality development"/>
  </r>
  <r>
    <n v="40"/>
    <n v="1"/>
    <n v="2"/>
    <n v="10"/>
    <n v="5"/>
    <n v="39.720974730315099"/>
    <n v="7"/>
    <n v="64"/>
    <n v="89"/>
    <n v="1"/>
    <n v="1"/>
    <s v="C060"/>
    <s v="Female"/>
    <s v="Bachelor's Type 2"/>
    <s v="Senior Level"/>
    <s v="Low"/>
    <s v="Intermediate"/>
    <s v="Strong"/>
    <x v="0"/>
    <n v="52"/>
    <s v="Developing"/>
    <x v="0"/>
    <s v="Interview Preparation"/>
    <s v="Improve interview preparation and communication"/>
  </r>
  <r>
    <n v="28"/>
    <n v="0"/>
    <n v="2"/>
    <n v="6"/>
    <n v="3"/>
    <n v="20.277678220065599"/>
    <n v="76"/>
    <n v="60"/>
    <n v="13"/>
    <n v="1"/>
    <n v="1"/>
    <s v="C061"/>
    <s v="Male"/>
    <s v="Bachelor's Type 2"/>
    <s v="Mid Level"/>
    <s v="Strong"/>
    <s v="Intermediate"/>
    <s v="Needs Improvement"/>
    <x v="0"/>
    <n v="52"/>
    <s v="Developing"/>
    <x v="2"/>
    <s v="Personality &amp; Communication"/>
    <s v="Work on communication and personality development"/>
  </r>
  <r>
    <n v="26"/>
    <n v="1"/>
    <n v="2"/>
    <n v="6"/>
    <n v="5"/>
    <n v="26.334289542700098"/>
    <n v="100"/>
    <n v="18"/>
    <n v="28"/>
    <n v="1"/>
    <n v="1"/>
    <s v="C062"/>
    <s v="Female"/>
    <s v="Bachelor's Type 2"/>
    <s v="Mid Level"/>
    <s v="Strong"/>
    <s v="Beginner"/>
    <s v="Needs Improvement"/>
    <x v="0"/>
    <n v="50"/>
    <s v="Developing"/>
    <x v="2"/>
    <s v="Technical Skills"/>
    <s v="Strengthen technical skills and practical knowledge"/>
  </r>
  <r>
    <n v="37"/>
    <n v="0"/>
    <n v="2"/>
    <n v="10"/>
    <n v="5"/>
    <n v="43.800053744657603"/>
    <n v="65"/>
    <n v="45"/>
    <n v="5"/>
    <n v="3"/>
    <n v="0"/>
    <s v="C063"/>
    <s v="Male"/>
    <s v="Bachelor's Type 2"/>
    <s v="Senior Level"/>
    <s v="Average"/>
    <s v="Beginner"/>
    <s v="Needs Improvement"/>
    <x v="1"/>
    <n v="47"/>
    <s v="Needs Improvement"/>
    <x v="2"/>
    <s v="Personality &amp; Communication"/>
    <s v="Work on communication and personality development"/>
  </r>
  <r>
    <n v="23"/>
    <n v="0"/>
    <n v="3"/>
    <n v="12"/>
    <n v="3"/>
    <n v="38.497684090120302"/>
    <n v="40"/>
    <n v="48"/>
    <n v="6"/>
    <n v="2"/>
    <n v="0"/>
    <s v="C064"/>
    <s v="Male"/>
    <s v="Master's"/>
    <s v="Senior Level"/>
    <s v="Low"/>
    <s v="Beginner"/>
    <s v="Needs Improvement"/>
    <x v="1"/>
    <n v="43"/>
    <s v="Needs Improvement"/>
    <x v="1"/>
    <s v="Personality &amp; Communication"/>
    <s v="Work on communication and personality development"/>
  </r>
  <r>
    <n v="44"/>
    <n v="0"/>
    <n v="1"/>
    <n v="14"/>
    <n v="5"/>
    <n v="41.255842565808798"/>
    <n v="74"/>
    <n v="21"/>
    <n v="36"/>
    <n v="2"/>
    <n v="0"/>
    <s v="C065"/>
    <s v="Male"/>
    <s v="Bachelor's Type 1"/>
    <s v="Senior Level"/>
    <s v="Average"/>
    <s v="Beginner"/>
    <s v="Needs Improvement"/>
    <x v="1"/>
    <n v="52"/>
    <s v="Developing"/>
    <x v="2"/>
    <s v="Technical Skills"/>
    <s v="Strengthen technical skills and practical knowledge"/>
  </r>
  <r>
    <n v="47"/>
    <n v="1"/>
    <n v="2"/>
    <n v="5"/>
    <n v="1"/>
    <n v="7.8422583293178398"/>
    <n v="87"/>
    <n v="77"/>
    <n v="52"/>
    <n v="1"/>
    <n v="1"/>
    <s v="C066"/>
    <s v="Female"/>
    <s v="Bachelor's Type 2"/>
    <s v="Mid Level"/>
    <s v="Strong"/>
    <s v="Advanced"/>
    <s v="Good"/>
    <x v="0"/>
    <n v="67"/>
    <s v="Developing"/>
    <x v="2"/>
    <s v="Personality &amp; Communication"/>
    <s v="Work on communication and personality development"/>
  </r>
  <r>
    <n v="33"/>
    <n v="0"/>
    <n v="3"/>
    <n v="3"/>
    <n v="5"/>
    <n v="4.4859712916864698"/>
    <n v="69"/>
    <n v="56"/>
    <n v="17"/>
    <n v="3"/>
    <n v="0"/>
    <s v="C067"/>
    <s v="Male"/>
    <s v="Master's"/>
    <s v="Mid Level"/>
    <s v="Average"/>
    <s v="Intermediate"/>
    <s v="Needs Improvement"/>
    <x v="1"/>
    <n v="48"/>
    <s v="Needs Improvement"/>
    <x v="2"/>
    <s v="Personality &amp; Communication"/>
    <s v="Work on communication and personality development"/>
  </r>
  <r>
    <n v="37"/>
    <n v="0"/>
    <n v="2"/>
    <n v="10"/>
    <n v="3"/>
    <n v="45.670236454399301"/>
    <n v="60"/>
    <n v="13"/>
    <n v="86"/>
    <n v="3"/>
    <n v="0"/>
    <s v="C068"/>
    <s v="Male"/>
    <s v="Bachelor's Type 2"/>
    <s v="Senior Level"/>
    <s v="Average"/>
    <s v="Beginner"/>
    <s v="Strong"/>
    <x v="1"/>
    <n v="52"/>
    <s v="Developing"/>
    <x v="0"/>
    <s v="Technical Skills"/>
    <s v="Strengthen technical skills and practical knowledge"/>
  </r>
  <r>
    <n v="45"/>
    <n v="1"/>
    <n v="2"/>
    <n v="8"/>
    <n v="4"/>
    <n v="20.391713478554699"/>
    <n v="25"/>
    <n v="43"/>
    <n v="37"/>
    <n v="2"/>
    <n v="0"/>
    <s v="C069"/>
    <s v="Female"/>
    <s v="Bachelor's Type 2"/>
    <s v="Senior Level"/>
    <s v="Low"/>
    <s v="Beginner"/>
    <s v="Needs Improvement"/>
    <x v="1"/>
    <n v="38"/>
    <s v="Needs Improvement"/>
    <x v="1"/>
    <s v="Interview Preparation"/>
    <s v="Improve interview preparation and communication"/>
  </r>
  <r>
    <n v="28"/>
    <n v="1"/>
    <n v="4"/>
    <n v="5"/>
    <n v="5"/>
    <n v="15.393983903483999"/>
    <n v="70"/>
    <n v="15"/>
    <n v="58"/>
    <n v="2"/>
    <n v="0"/>
    <s v="C070"/>
    <s v="Female"/>
    <s v="PhD"/>
    <s v="Mid Level"/>
    <s v="Average"/>
    <s v="Beginner"/>
    <s v="Good"/>
    <x v="1"/>
    <n v="47"/>
    <s v="Needs Improvement"/>
    <x v="2"/>
    <s v="Technical Skills"/>
    <s v="Strengthen technical skills and practical knowledge"/>
  </r>
  <r>
    <n v="45"/>
    <n v="1"/>
    <n v="3"/>
    <n v="3"/>
    <n v="2"/>
    <n v="37.234812713091202"/>
    <n v="82"/>
    <n v="96"/>
    <n v="0"/>
    <n v="1"/>
    <n v="1"/>
    <s v="C071"/>
    <s v="Female"/>
    <s v="Master's"/>
    <s v="Mid Level"/>
    <s v="Strong"/>
    <s v="Advanced"/>
    <s v="Needs Improvement"/>
    <x v="0"/>
    <n v="60"/>
    <s v="Developing"/>
    <x v="1"/>
    <s v="Personality &amp; Communication"/>
    <s v="Work on communication and personality development"/>
  </r>
  <r>
    <n v="40"/>
    <n v="1"/>
    <n v="2"/>
    <n v="11"/>
    <n v="1"/>
    <n v="42.820779828992798"/>
    <n v="69"/>
    <n v="76"/>
    <n v="67"/>
    <n v="2"/>
    <n v="0"/>
    <s v="C072"/>
    <s v="Female"/>
    <s v="Bachelor's Type 2"/>
    <s v="Senior Level"/>
    <s v="Average"/>
    <s v="Advanced"/>
    <s v="Good"/>
    <x v="1"/>
    <n v="70"/>
    <s v="Developing"/>
    <x v="1"/>
    <s v="Personality &amp; Communication"/>
    <s v="Work on communication and personality development"/>
  </r>
  <r>
    <n v="21"/>
    <n v="0"/>
    <n v="2"/>
    <n v="2"/>
    <n v="1"/>
    <n v="44.124481094914998"/>
    <n v="28"/>
    <n v="11"/>
    <n v="43"/>
    <n v="2"/>
    <n v="0"/>
    <s v="C073"/>
    <s v="Male"/>
    <s v="Bachelor's Type 2"/>
    <s v="Entry Level"/>
    <s v="Low"/>
    <s v="Beginner"/>
    <s v="Needs Improvement"/>
    <x v="1"/>
    <n v="25"/>
    <s v="Needs Improvement"/>
    <x v="0"/>
    <s v="Technical Skills"/>
    <s v="Strengthen technical skills and practical knowledge"/>
  </r>
  <r>
    <n v="39"/>
    <n v="0"/>
    <n v="2"/>
    <n v="3"/>
    <n v="2"/>
    <n v="16.799857056261299"/>
    <n v="65"/>
    <n v="54"/>
    <n v="46"/>
    <n v="1"/>
    <n v="0"/>
    <s v="C074"/>
    <s v="Male"/>
    <s v="Bachelor's Type 2"/>
    <s v="Mid Level"/>
    <s v="Average"/>
    <s v="Intermediate"/>
    <s v="Needs Improvement"/>
    <x v="1"/>
    <n v="50"/>
    <s v="Developing"/>
    <x v="2"/>
    <s v="Personality &amp; Communication"/>
    <s v="Work on communication and personality development"/>
  </r>
  <r>
    <n v="47"/>
    <n v="0"/>
    <n v="2"/>
    <n v="2"/>
    <n v="2"/>
    <n v="43.610619560083698"/>
    <n v="18"/>
    <n v="50"/>
    <n v="34"/>
    <n v="2"/>
    <n v="0"/>
    <s v="C075"/>
    <s v="Male"/>
    <s v="Bachelor's Type 2"/>
    <s v="Entry Level"/>
    <s v="Low"/>
    <s v="Intermediate"/>
    <s v="Needs Improvement"/>
    <x v="1"/>
    <n v="32"/>
    <s v="Needs Improvement"/>
    <x v="1"/>
    <s v="Interview Preparation"/>
    <s v="Improve interview preparation and communication"/>
  </r>
  <r>
    <n v="34"/>
    <n v="0"/>
    <n v="2"/>
    <n v="14"/>
    <n v="5"/>
    <n v="3.0466972187172598"/>
    <n v="67"/>
    <n v="38"/>
    <n v="86"/>
    <n v="1"/>
    <n v="1"/>
    <s v="C076"/>
    <s v="Male"/>
    <s v="Bachelor's Type 2"/>
    <s v="Senior Level"/>
    <s v="Average"/>
    <s v="Beginner"/>
    <s v="Strong"/>
    <x v="0"/>
    <n v="65"/>
    <s v="Developing"/>
    <x v="0"/>
    <s v="Technical Skills"/>
    <s v="Strengthen technical skills and practical knowledge"/>
  </r>
  <r>
    <n v="47"/>
    <n v="1"/>
    <n v="2"/>
    <n v="1"/>
    <n v="2"/>
    <n v="3.4830745729859398"/>
    <n v="57"/>
    <n v="32"/>
    <n v="90"/>
    <n v="2"/>
    <n v="0"/>
    <s v="C077"/>
    <s v="Female"/>
    <s v="Bachelor's Type 2"/>
    <s v="Entry Level"/>
    <s v="Average"/>
    <s v="Beginner"/>
    <s v="Strong"/>
    <x v="1"/>
    <n v="48"/>
    <s v="Needs Improvement"/>
    <x v="0"/>
    <s v="Technical Skills"/>
    <s v="Strengthen technical skills and practical knowledge"/>
  </r>
  <r>
    <n v="26"/>
    <n v="0"/>
    <n v="2"/>
    <n v="13"/>
    <n v="4"/>
    <n v="32.175959758707698"/>
    <n v="69"/>
    <n v="32"/>
    <n v="59"/>
    <n v="2"/>
    <n v="0"/>
    <s v="C078"/>
    <s v="Male"/>
    <s v="Bachelor's Type 2"/>
    <s v="Senior Level"/>
    <s v="Average"/>
    <s v="Beginner"/>
    <s v="Good"/>
    <x v="1"/>
    <n v="58"/>
    <s v="Developing"/>
    <x v="2"/>
    <s v="Technical Skills"/>
    <s v="Strengthen technical skills and practical knowledge"/>
  </r>
  <r>
    <n v="31"/>
    <n v="0"/>
    <n v="2"/>
    <n v="4"/>
    <n v="3"/>
    <n v="4.1553184557773104"/>
    <n v="56"/>
    <n v="28"/>
    <n v="89"/>
    <n v="1"/>
    <n v="0"/>
    <s v="C079"/>
    <s v="Male"/>
    <s v="Bachelor's Type 2"/>
    <s v="Mid Level"/>
    <s v="Average"/>
    <s v="Beginner"/>
    <s v="Strong"/>
    <x v="1"/>
    <n v="50"/>
    <s v="Developing"/>
    <x v="0"/>
    <s v="Technical Skills"/>
    <s v="Strengthen technical skills and practical knowledge"/>
  </r>
  <r>
    <n v="48"/>
    <n v="1"/>
    <n v="3"/>
    <n v="1"/>
    <n v="2"/>
    <n v="17.230458425508001"/>
    <n v="36"/>
    <n v="68"/>
    <n v="51"/>
    <n v="2"/>
    <n v="0"/>
    <s v="C080"/>
    <s v="Female"/>
    <s v="Master's"/>
    <s v="Entry Level"/>
    <s v="Low"/>
    <s v="Intermediate"/>
    <s v="Good"/>
    <x v="1"/>
    <n v="46"/>
    <s v="Needs Improvement"/>
    <x v="1"/>
    <s v="Interview Preparation"/>
    <s v="Improve interview preparation and communication"/>
  </r>
  <r>
    <n v="27"/>
    <n v="0"/>
    <n v="2"/>
    <n v="5"/>
    <n v="2"/>
    <n v="34.637799312346203"/>
    <n v="60"/>
    <n v="69"/>
    <n v="7"/>
    <n v="2"/>
    <n v="0"/>
    <s v="C081"/>
    <s v="Male"/>
    <s v="Bachelor's Type 2"/>
    <s v="Mid Level"/>
    <s v="Average"/>
    <s v="Intermediate"/>
    <s v="Needs Improvement"/>
    <x v="1"/>
    <n v="48"/>
    <s v="Needs Improvement"/>
    <x v="1"/>
    <s v="Personality &amp; Communication"/>
    <s v="Work on communication and personality development"/>
  </r>
  <r>
    <n v="34"/>
    <n v="0"/>
    <n v="1"/>
    <n v="2"/>
    <n v="4"/>
    <n v="17.8633448027113"/>
    <n v="91"/>
    <n v="30"/>
    <n v="79"/>
    <n v="1"/>
    <n v="1"/>
    <s v="C082"/>
    <s v="Male"/>
    <s v="Bachelor's Type 1"/>
    <s v="Entry Level"/>
    <s v="Strong"/>
    <s v="Beginner"/>
    <s v="Strong"/>
    <x v="0"/>
    <n v="57"/>
    <s v="Developing"/>
    <x v="2"/>
    <s v="Technical Skills"/>
    <s v="Strengthen technical skills and practical knowledge"/>
  </r>
  <r>
    <n v="22"/>
    <n v="0"/>
    <n v="2"/>
    <n v="5"/>
    <n v="1"/>
    <n v="9.9799890720047895"/>
    <n v="29"/>
    <n v="79"/>
    <n v="40"/>
    <n v="3"/>
    <n v="0"/>
    <s v="C083"/>
    <s v="Male"/>
    <s v="Bachelor's Type 2"/>
    <s v="Mid Level"/>
    <s v="Low"/>
    <s v="Advanced"/>
    <s v="Needs Improvement"/>
    <x v="1"/>
    <n v="48"/>
    <s v="Needs Improvement"/>
    <x v="1"/>
    <s v="Interview Preparation"/>
    <s v="Improve interview preparation and communication"/>
  </r>
  <r>
    <n v="33"/>
    <n v="0"/>
    <n v="2"/>
    <n v="14"/>
    <n v="1"/>
    <n v="15.067531092692001"/>
    <n v="70"/>
    <n v="30"/>
    <n v="2"/>
    <n v="1"/>
    <n v="0"/>
    <s v="C084"/>
    <s v="Male"/>
    <s v="Bachelor's Type 2"/>
    <s v="Senior Level"/>
    <s v="Average"/>
    <s v="Beginner"/>
    <s v="Needs Improvement"/>
    <x v="1"/>
    <n v="47"/>
    <s v="Needs Improvement"/>
    <x v="2"/>
    <s v="Personality &amp; Communication"/>
    <s v="Work on communication and personality development"/>
  </r>
  <r>
    <n v="36"/>
    <n v="0"/>
    <n v="2"/>
    <n v="10"/>
    <n v="5"/>
    <n v="23.878766612521499"/>
    <n v="72"/>
    <n v="88"/>
    <n v="95"/>
    <n v="2"/>
    <n v="1"/>
    <s v="C085"/>
    <s v="Male"/>
    <s v="Bachelor's Type 2"/>
    <s v="Senior Level"/>
    <s v="Average"/>
    <s v="Advanced"/>
    <s v="Strong"/>
    <x v="0"/>
    <n v="80"/>
    <s v="Job Ready"/>
    <x v="0"/>
    <s v="Interview Preparation"/>
    <s v="Improve interview preparation and communication"/>
  </r>
  <r>
    <n v="23"/>
    <n v="0"/>
    <n v="2"/>
    <n v="9"/>
    <n v="4"/>
    <n v="24.7692927677741"/>
    <n v="24"/>
    <n v="45"/>
    <n v="68"/>
    <n v="1"/>
    <n v="1"/>
    <s v="C086"/>
    <s v="Male"/>
    <s v="Bachelor's Type 2"/>
    <s v="Senior Level"/>
    <s v="Low"/>
    <s v="Beginner"/>
    <s v="Good"/>
    <x v="0"/>
    <n v="46"/>
    <s v="Needs Improvement"/>
    <x v="0"/>
    <s v="Interview Preparation"/>
    <s v="Improve interview preparation and communication"/>
  </r>
  <r>
    <n v="37"/>
    <n v="1"/>
    <n v="2"/>
    <n v="8"/>
    <n v="3"/>
    <n v="40.150011567360004"/>
    <n v="96"/>
    <n v="96"/>
    <n v="83"/>
    <n v="1"/>
    <n v="1"/>
    <s v="C087"/>
    <s v="Female"/>
    <s v="Bachelor's Type 2"/>
    <s v="Senior Level"/>
    <s v="Strong"/>
    <s v="Advanced"/>
    <s v="Strong"/>
    <x v="0"/>
    <n v="85"/>
    <s v="Job Ready"/>
    <x v="2"/>
    <s v="Personality &amp; Communication"/>
    <s v="Work on communication and personality development"/>
  </r>
  <r>
    <n v="27"/>
    <n v="1"/>
    <n v="2"/>
    <n v="0"/>
    <n v="3"/>
    <n v="38.507661471575602"/>
    <n v="64"/>
    <n v="76"/>
    <n v="13"/>
    <n v="1"/>
    <n v="0"/>
    <s v="C088"/>
    <s v="Female"/>
    <s v="Bachelor's Type 2"/>
    <s v="Entry Level"/>
    <s v="Average"/>
    <s v="Advanced"/>
    <s v="Needs Improvement"/>
    <x v="1"/>
    <n v="47"/>
    <s v="Needs Improvement"/>
    <x v="1"/>
    <s v="Personality &amp; Communication"/>
    <s v="Work on communication and personality development"/>
  </r>
  <r>
    <n v="23"/>
    <n v="0"/>
    <n v="1"/>
    <n v="15"/>
    <n v="4"/>
    <n v="23.8408902278067"/>
    <n v="5"/>
    <n v="51"/>
    <n v="95"/>
    <n v="1"/>
    <n v="1"/>
    <s v="C089"/>
    <s v="Male"/>
    <s v="Bachelor's Type 1"/>
    <s v="Senior Level"/>
    <s v="Low"/>
    <s v="Intermediate"/>
    <s v="Strong"/>
    <x v="0"/>
    <n v="53"/>
    <s v="Developing"/>
    <x v="0"/>
    <s v="Interview Preparation"/>
    <s v="Improve interview preparation and communication"/>
  </r>
  <r>
    <n v="21"/>
    <n v="0"/>
    <n v="1"/>
    <n v="15"/>
    <n v="3"/>
    <n v="43.283367454938499"/>
    <n v="17"/>
    <n v="9"/>
    <n v="25"/>
    <n v="2"/>
    <n v="0"/>
    <s v="C090"/>
    <s v="Male"/>
    <s v="Bachelor's Type 1"/>
    <s v="Senior Level"/>
    <s v="Low"/>
    <s v="Beginner"/>
    <s v="Needs Improvement"/>
    <x v="1"/>
    <n v="30"/>
    <s v="Needs Improvement"/>
    <x v="0"/>
    <s v="Technical Skills"/>
    <s v="Strengthen technical skills and practical knowledge"/>
  </r>
  <r>
    <n v="49"/>
    <n v="1"/>
    <n v="2"/>
    <n v="5"/>
    <n v="1"/>
    <n v="6.7118569295697901"/>
    <n v="9"/>
    <n v="87"/>
    <n v="69"/>
    <n v="1"/>
    <n v="1"/>
    <s v="C091"/>
    <s v="Female"/>
    <s v="Bachelor's Type 2"/>
    <s v="Mid Level"/>
    <s v="Low"/>
    <s v="Advanced"/>
    <s v="Good"/>
    <x v="0"/>
    <n v="50"/>
    <s v="Developing"/>
    <x v="1"/>
    <s v="Interview Preparation"/>
    <s v="Improve interview preparation and communication"/>
  </r>
  <r>
    <n v="25"/>
    <n v="0"/>
    <n v="2"/>
    <n v="8"/>
    <n v="3"/>
    <n v="13.767667511445"/>
    <n v="91"/>
    <n v="73"/>
    <n v="57"/>
    <n v="2"/>
    <n v="0"/>
    <s v="C092"/>
    <s v="Male"/>
    <s v="Bachelor's Type 2"/>
    <s v="Senior Level"/>
    <s v="Strong"/>
    <s v="Intermediate"/>
    <s v="Good"/>
    <x v="1"/>
    <n v="71"/>
    <s v="Developing"/>
    <x v="2"/>
    <s v="Personality &amp; Communication"/>
    <s v="Work on communication and personality development"/>
  </r>
  <r>
    <n v="41"/>
    <n v="0"/>
    <n v="4"/>
    <n v="10"/>
    <n v="3"/>
    <n v="42.398823175112497"/>
    <n v="10"/>
    <n v="40"/>
    <n v="99"/>
    <n v="1"/>
    <n v="1"/>
    <s v="C093"/>
    <s v="Male"/>
    <s v="PhD"/>
    <s v="Senior Level"/>
    <s v="Low"/>
    <s v="Beginner"/>
    <s v="Strong"/>
    <x v="0"/>
    <n v="50"/>
    <s v="Developing"/>
    <x v="0"/>
    <s v="Interview Preparation"/>
    <s v="Improve interview preparation and communication"/>
  </r>
  <r>
    <n v="29"/>
    <n v="0"/>
    <n v="2"/>
    <n v="3"/>
    <n v="4"/>
    <n v="19.8997019313076"/>
    <n v="96"/>
    <n v="94"/>
    <n v="39"/>
    <n v="1"/>
    <n v="1"/>
    <s v="C094"/>
    <s v="Male"/>
    <s v="Bachelor's Type 2"/>
    <s v="Mid Level"/>
    <s v="Strong"/>
    <s v="Advanced"/>
    <s v="Needs Improvement"/>
    <x v="0"/>
    <n v="70"/>
    <s v="Developing"/>
    <x v="2"/>
    <s v="Personality &amp; Communication"/>
    <s v="Work on communication and personality development"/>
  </r>
  <r>
    <n v="23"/>
    <n v="1"/>
    <n v="2"/>
    <n v="10"/>
    <n v="4"/>
    <n v="50.059077939692102"/>
    <n v="64"/>
    <n v="76"/>
    <n v="50"/>
    <n v="2"/>
    <n v="0"/>
    <s v="C095"/>
    <s v="Female"/>
    <s v="Bachelor's Type 2"/>
    <s v="Senior Level"/>
    <s v="Average"/>
    <s v="Advanced"/>
    <s v="Good"/>
    <x v="1"/>
    <n v="65"/>
    <s v="Developing"/>
    <x v="1"/>
    <s v="Personality &amp; Communication"/>
    <s v="Work on communication and personality development"/>
  </r>
  <r>
    <n v="41"/>
    <n v="0"/>
    <n v="2"/>
    <n v="11"/>
    <n v="3"/>
    <n v="24.312664076391702"/>
    <n v="76"/>
    <n v="2"/>
    <n v="4"/>
    <n v="3"/>
    <n v="0"/>
    <s v="C096"/>
    <s v="Male"/>
    <s v="Bachelor's Type 2"/>
    <s v="Senior Level"/>
    <s v="Strong"/>
    <s v="Beginner"/>
    <s v="Needs Improvement"/>
    <x v="1"/>
    <n v="38"/>
    <s v="Needs Improvement"/>
    <x v="2"/>
    <s v="Technical Skills"/>
    <s v="Strengthen technical skills and practical knowledge"/>
  </r>
  <r>
    <n v="48"/>
    <n v="1"/>
    <n v="1"/>
    <n v="1"/>
    <n v="2"/>
    <n v="40.596781148188199"/>
    <n v="100"/>
    <n v="58"/>
    <n v="76"/>
    <n v="2"/>
    <n v="0"/>
    <s v="C097"/>
    <s v="Female"/>
    <s v="Bachelor's Type 1"/>
    <s v="Entry Level"/>
    <s v="Strong"/>
    <s v="Intermediate"/>
    <s v="Strong"/>
    <x v="1"/>
    <n v="66"/>
    <s v="Developing"/>
    <x v="2"/>
    <s v="Technical Skills"/>
    <s v="Strengthen technical skills and practical knowledge"/>
  </r>
  <r>
    <n v="50"/>
    <n v="0"/>
    <n v="4"/>
    <n v="12"/>
    <n v="4"/>
    <n v="21.115352069118501"/>
    <n v="83"/>
    <n v="51"/>
    <n v="31"/>
    <n v="2"/>
    <n v="1"/>
    <s v="C098"/>
    <s v="Male"/>
    <s v="PhD"/>
    <s v="Senior Level"/>
    <s v="Strong"/>
    <s v="Intermediate"/>
    <s v="Needs Improvement"/>
    <x v="0"/>
    <n v="63"/>
    <s v="Developing"/>
    <x v="2"/>
    <s v="Personality &amp; Communication"/>
    <s v="Work on communication and personality development"/>
  </r>
  <r>
    <n v="37"/>
    <n v="1"/>
    <n v="2"/>
    <n v="3"/>
    <n v="5"/>
    <n v="22.247675953121501"/>
    <n v="64"/>
    <n v="33"/>
    <n v="79"/>
    <n v="1"/>
    <n v="0"/>
    <s v="C099"/>
    <s v="Female"/>
    <s v="Bachelor's Type 2"/>
    <s v="Mid Level"/>
    <s v="Average"/>
    <s v="Beginner"/>
    <s v="Strong"/>
    <x v="1"/>
    <n v="50"/>
    <s v="Developing"/>
    <x v="0"/>
    <s v="Technical Skills"/>
    <s v="Strengthen technical skills and practical knowledge"/>
  </r>
  <r>
    <n v="45"/>
    <n v="1"/>
    <n v="3"/>
    <n v="0"/>
    <n v="5"/>
    <n v="20.1441573642091"/>
    <n v="51"/>
    <n v="48"/>
    <n v="0"/>
    <n v="3"/>
    <n v="0"/>
    <s v="C100"/>
    <s v="Female"/>
    <s v="Master's"/>
    <s v="Entry Level"/>
    <s v="Average"/>
    <s v="Beginner"/>
    <s v="Needs Improvement"/>
    <x v="1"/>
    <n v="33"/>
    <s v="Needs Improvement"/>
    <x v="2"/>
    <s v="Personality &amp; Communication"/>
    <s v="Work on communication and personality development"/>
  </r>
  <r>
    <n v="31"/>
    <n v="0"/>
    <n v="1"/>
    <n v="2"/>
    <n v="1"/>
    <n v="36.953781025540501"/>
    <n v="66"/>
    <n v="27"/>
    <n v="76"/>
    <n v="1"/>
    <n v="0"/>
    <s v="C101"/>
    <s v="Male"/>
    <s v="Bachelor's Type 1"/>
    <s v="Entry Level"/>
    <s v="Average"/>
    <s v="Beginner"/>
    <s v="Strong"/>
    <x v="1"/>
    <n v="48"/>
    <s v="Needs Improvement"/>
    <x v="0"/>
    <s v="Technical Skills"/>
    <s v="Strengthen technical skills and practical knowledge"/>
  </r>
  <r>
    <n v="21"/>
    <n v="1"/>
    <n v="2"/>
    <n v="9"/>
    <n v="3"/>
    <n v="28.375894202999699"/>
    <n v="81"/>
    <n v="82"/>
    <n v="53"/>
    <n v="1"/>
    <n v="1"/>
    <s v="C102"/>
    <s v="Female"/>
    <s v="Bachelor's Type 2"/>
    <s v="Senior Level"/>
    <s v="Strong"/>
    <s v="Advanced"/>
    <s v="Good"/>
    <x v="0"/>
    <n v="71"/>
    <s v="Developing"/>
    <x v="1"/>
    <s v="Personality &amp; Communication"/>
    <s v="Work on communication and personality development"/>
  </r>
  <r>
    <n v="29"/>
    <n v="0"/>
    <n v="2"/>
    <n v="8"/>
    <n v="2"/>
    <n v="48.188905568418399"/>
    <n v="77"/>
    <n v="86"/>
    <n v="10"/>
    <n v="2"/>
    <n v="0"/>
    <s v="C103"/>
    <s v="Male"/>
    <s v="Bachelor's Type 2"/>
    <s v="Senior Level"/>
    <s v="Strong"/>
    <s v="Advanced"/>
    <s v="Needs Improvement"/>
    <x v="1"/>
    <n v="61"/>
    <s v="Developing"/>
    <x v="1"/>
    <s v="Personality &amp; Communication"/>
    <s v="Work on communication and personality development"/>
  </r>
  <r>
    <n v="49"/>
    <n v="1"/>
    <n v="3"/>
    <n v="9"/>
    <n v="1"/>
    <n v="13.544515826705201"/>
    <n v="30"/>
    <n v="95"/>
    <n v="52"/>
    <n v="2"/>
    <n v="0"/>
    <s v="C104"/>
    <s v="Female"/>
    <s v="Master's"/>
    <s v="Senior Level"/>
    <s v="Low"/>
    <s v="Advanced"/>
    <s v="Good"/>
    <x v="1"/>
    <n v="61"/>
    <s v="Developing"/>
    <x v="1"/>
    <s v="Interview Preparation"/>
    <s v="Improve interview preparation and communication"/>
  </r>
  <r>
    <n v="23"/>
    <n v="0"/>
    <n v="1"/>
    <n v="4"/>
    <n v="3"/>
    <n v="6.02813660417221"/>
    <n v="90"/>
    <n v="12"/>
    <n v="7"/>
    <n v="3"/>
    <n v="0"/>
    <s v="C105"/>
    <s v="Male"/>
    <s v="Bachelor's Type 1"/>
    <s v="Mid Level"/>
    <s v="Strong"/>
    <s v="Beginner"/>
    <s v="Needs Improvement"/>
    <x v="1"/>
    <n v="39"/>
    <s v="Needs Improvement"/>
    <x v="2"/>
    <s v="Personality &amp; Communication"/>
    <s v="Work on communication and personality development"/>
  </r>
  <r>
    <n v="33"/>
    <n v="0"/>
    <n v="2"/>
    <n v="14"/>
    <n v="4"/>
    <n v="20.663074254960701"/>
    <n v="16"/>
    <n v="96"/>
    <n v="24"/>
    <n v="1"/>
    <n v="1"/>
    <s v="C106"/>
    <s v="Male"/>
    <s v="Bachelor's Type 2"/>
    <s v="Senior Level"/>
    <s v="Low"/>
    <s v="Advanced"/>
    <s v="Needs Improvement"/>
    <x v="0"/>
    <n v="55"/>
    <s v="Developing"/>
    <x v="1"/>
    <s v="Interview Preparation"/>
    <s v="Improve interview preparation and communication"/>
  </r>
  <r>
    <n v="50"/>
    <n v="1"/>
    <n v="4"/>
    <n v="10"/>
    <n v="5"/>
    <n v="31.835635382338801"/>
    <n v="54"/>
    <n v="97"/>
    <n v="39"/>
    <n v="3"/>
    <n v="0"/>
    <s v="C107"/>
    <s v="Female"/>
    <s v="PhD"/>
    <s v="Senior Level"/>
    <s v="Average"/>
    <s v="Advanced"/>
    <s v="Needs Improvement"/>
    <x v="1"/>
    <n v="68"/>
    <s v="Developing"/>
    <x v="1"/>
    <s v="Personality &amp; Communication"/>
    <s v="Work on communication and personality development"/>
  </r>
  <r>
    <n v="35"/>
    <n v="0"/>
    <n v="2"/>
    <n v="5"/>
    <n v="2"/>
    <n v="44.039946845774701"/>
    <n v="92"/>
    <n v="96"/>
    <n v="31"/>
    <n v="2"/>
    <n v="0"/>
    <s v="C108"/>
    <s v="Male"/>
    <s v="Bachelor's Type 2"/>
    <s v="Mid Level"/>
    <s v="Strong"/>
    <s v="Advanced"/>
    <s v="Needs Improvement"/>
    <x v="1"/>
    <n v="70"/>
    <s v="Developing"/>
    <x v="1"/>
    <s v="Personality &amp; Communication"/>
    <s v="Work on communication and personality development"/>
  </r>
  <r>
    <n v="34"/>
    <n v="0"/>
    <n v="2"/>
    <n v="2"/>
    <n v="5"/>
    <n v="18.309844334016301"/>
    <n v="35"/>
    <n v="68"/>
    <n v="87"/>
    <n v="2"/>
    <n v="0"/>
    <s v="C109"/>
    <s v="Male"/>
    <s v="Bachelor's Type 2"/>
    <s v="Entry Level"/>
    <s v="Low"/>
    <s v="Intermediate"/>
    <s v="Strong"/>
    <x v="1"/>
    <n v="53"/>
    <s v="Developing"/>
    <x v="0"/>
    <s v="Interview Preparation"/>
    <s v="Improve interview preparation and communication"/>
  </r>
  <r>
    <n v="27"/>
    <n v="1"/>
    <n v="1"/>
    <n v="15"/>
    <n v="4"/>
    <n v="33.689337556223002"/>
    <n v="100"/>
    <n v="66"/>
    <n v="27"/>
    <n v="1"/>
    <n v="1"/>
    <s v="C110"/>
    <s v="Female"/>
    <s v="Bachelor's Type 1"/>
    <s v="Senior Level"/>
    <s v="Strong"/>
    <s v="Intermediate"/>
    <s v="Needs Improvement"/>
    <x v="0"/>
    <n v="73"/>
    <s v="Developing"/>
    <x v="2"/>
    <s v="Personality &amp; Communication"/>
    <s v="Work on communication and personality development"/>
  </r>
  <r>
    <n v="33"/>
    <n v="0"/>
    <n v="4"/>
    <n v="4"/>
    <n v="3"/>
    <n v="18.509934051160901"/>
    <n v="25"/>
    <n v="60"/>
    <n v="77"/>
    <n v="1"/>
    <n v="1"/>
    <s v="C111"/>
    <s v="Male"/>
    <s v="PhD"/>
    <s v="Mid Level"/>
    <s v="Low"/>
    <s v="Intermediate"/>
    <s v="Strong"/>
    <x v="0"/>
    <n v="50"/>
    <s v="Developing"/>
    <x v="0"/>
    <s v="Interview Preparation"/>
    <s v="Improve interview preparation and communication"/>
  </r>
  <r>
    <n v="42"/>
    <n v="0"/>
    <n v="1"/>
    <n v="10"/>
    <n v="4"/>
    <n v="31.860979149722901"/>
    <n v="52"/>
    <n v="59"/>
    <n v="2"/>
    <n v="3"/>
    <n v="0"/>
    <s v="C112"/>
    <s v="Male"/>
    <s v="Bachelor's Type 1"/>
    <s v="Senior Level"/>
    <s v="Average"/>
    <s v="Intermediate"/>
    <s v="Needs Improvement"/>
    <x v="1"/>
    <n v="46"/>
    <s v="Needs Improvement"/>
    <x v="1"/>
    <s v="Personality &amp; Communication"/>
    <s v="Work on communication and personality development"/>
  </r>
  <r>
    <n v="47"/>
    <n v="1"/>
    <n v="3"/>
    <n v="7"/>
    <n v="4"/>
    <n v="45.240397351532501"/>
    <n v="16"/>
    <n v="70"/>
    <n v="99"/>
    <n v="2"/>
    <n v="1"/>
    <s v="C113"/>
    <s v="Female"/>
    <s v="Master's"/>
    <s v="Senior Level"/>
    <s v="Low"/>
    <s v="Intermediate"/>
    <s v="Strong"/>
    <x v="0"/>
    <n v="56"/>
    <s v="Developing"/>
    <x v="0"/>
    <s v="Interview Preparation"/>
    <s v="Improve interview preparation and communication"/>
  </r>
  <r>
    <n v="44"/>
    <n v="1"/>
    <n v="3"/>
    <n v="5"/>
    <n v="5"/>
    <n v="12.5678821129704"/>
    <n v="85"/>
    <n v="23"/>
    <n v="90"/>
    <n v="2"/>
    <n v="0"/>
    <s v="C114"/>
    <s v="Female"/>
    <s v="Master's"/>
    <s v="Mid Level"/>
    <s v="Strong"/>
    <s v="Beginner"/>
    <s v="Strong"/>
    <x v="1"/>
    <n v="59"/>
    <s v="Developing"/>
    <x v="0"/>
    <s v="Technical Skills"/>
    <s v="Strengthen technical skills and practical knowledge"/>
  </r>
  <r>
    <n v="49"/>
    <n v="0"/>
    <n v="2"/>
    <n v="3"/>
    <n v="2"/>
    <n v="21.2120821053519"/>
    <n v="24"/>
    <n v="62"/>
    <n v="83"/>
    <n v="3"/>
    <n v="0"/>
    <s v="C115"/>
    <s v="Male"/>
    <s v="Bachelor's Type 2"/>
    <s v="Mid Level"/>
    <s v="Low"/>
    <s v="Intermediate"/>
    <s v="Strong"/>
    <x v="1"/>
    <n v="48"/>
    <s v="Needs Improvement"/>
    <x v="0"/>
    <s v="Interview Preparation"/>
    <s v="Improve interview preparation and communication"/>
  </r>
  <r>
    <n v="27"/>
    <n v="0"/>
    <n v="2"/>
    <n v="1"/>
    <n v="4"/>
    <n v="50.663259821487301"/>
    <n v="1"/>
    <n v="85"/>
    <n v="78"/>
    <n v="1"/>
    <n v="1"/>
    <s v="C116"/>
    <s v="Male"/>
    <s v="Bachelor's Type 2"/>
    <s v="Entry Level"/>
    <s v="Low"/>
    <s v="Advanced"/>
    <s v="Strong"/>
    <x v="0"/>
    <n v="45"/>
    <s v="Needs Improvement"/>
    <x v="1"/>
    <s v="Interview Preparation"/>
    <s v="Improve interview preparation and communication"/>
  </r>
  <r>
    <n v="40"/>
    <n v="1"/>
    <n v="1"/>
    <n v="13"/>
    <n v="5"/>
    <n v="44.427851412472997"/>
    <n v="85"/>
    <n v="60"/>
    <n v="61"/>
    <n v="2"/>
    <n v="1"/>
    <s v="C117"/>
    <s v="Female"/>
    <s v="Bachelor's Type 1"/>
    <s v="Senior Level"/>
    <s v="Strong"/>
    <s v="Intermediate"/>
    <s v="Good"/>
    <x v="0"/>
    <n v="71"/>
    <s v="Developing"/>
    <x v="2"/>
    <s v="Technical Skills"/>
    <s v="Strengthen technical skills and practical knowledge"/>
  </r>
  <r>
    <n v="35"/>
    <n v="1"/>
    <n v="2"/>
    <n v="8"/>
    <n v="2"/>
    <n v="29.231992894809999"/>
    <n v="4"/>
    <n v="22"/>
    <n v="26"/>
    <n v="2"/>
    <n v="0"/>
    <s v="C118"/>
    <s v="Female"/>
    <s v="Bachelor's Type 2"/>
    <s v="Senior Level"/>
    <s v="Low"/>
    <s v="Beginner"/>
    <s v="Needs Improvement"/>
    <x v="1"/>
    <n v="24"/>
    <s v="Needs Improvement"/>
    <x v="0"/>
    <s v="Interview Preparation"/>
    <s v="Improve interview preparation and communication"/>
  </r>
  <r>
    <n v="32"/>
    <n v="0"/>
    <n v="3"/>
    <n v="12"/>
    <n v="3"/>
    <n v="26.831379592713699"/>
    <n v="3"/>
    <n v="29"/>
    <n v="44"/>
    <n v="1"/>
    <n v="1"/>
    <s v="C119"/>
    <s v="Male"/>
    <s v="Master's"/>
    <s v="Senior Level"/>
    <s v="Low"/>
    <s v="Beginner"/>
    <s v="Needs Improvement"/>
    <x v="0"/>
    <n v="34"/>
    <s v="Needs Improvement"/>
    <x v="0"/>
    <s v="Interview Preparation"/>
    <s v="Improve interview preparation and communication"/>
  </r>
  <r>
    <n v="37"/>
    <n v="1"/>
    <n v="3"/>
    <n v="11"/>
    <n v="3"/>
    <n v="15.230019115234001"/>
    <n v="35"/>
    <n v="59"/>
    <n v="91"/>
    <n v="1"/>
    <n v="1"/>
    <s v="C120"/>
    <s v="Female"/>
    <s v="Master's"/>
    <s v="Senior Level"/>
    <s v="Low"/>
    <s v="Intermediate"/>
    <s v="Strong"/>
    <x v="0"/>
    <n v="61"/>
    <s v="Developing"/>
    <x v="0"/>
    <s v="Interview Preparation"/>
    <s v="Improve interview preparation and communication"/>
  </r>
  <r>
    <n v="34"/>
    <n v="0"/>
    <n v="2"/>
    <n v="0"/>
    <n v="1"/>
    <n v="26.860471384676401"/>
    <n v="5"/>
    <n v="17"/>
    <n v="24"/>
    <n v="2"/>
    <n v="0"/>
    <s v="C121"/>
    <s v="Male"/>
    <s v="Bachelor's Type 2"/>
    <s v="Entry Level"/>
    <s v="Low"/>
    <s v="Beginner"/>
    <s v="Needs Improvement"/>
    <x v="1"/>
    <n v="14"/>
    <s v="Needs Improvement"/>
    <x v="0"/>
    <s v="Interview Preparation"/>
    <s v="Improve interview preparation and communication"/>
  </r>
  <r>
    <n v="40"/>
    <n v="0"/>
    <n v="2"/>
    <n v="0"/>
    <n v="5"/>
    <n v="43.409074913997301"/>
    <n v="20"/>
    <n v="95"/>
    <n v="60"/>
    <n v="2"/>
    <n v="0"/>
    <s v="C122"/>
    <s v="Male"/>
    <s v="Bachelor's Type 2"/>
    <s v="Entry Level"/>
    <s v="Low"/>
    <s v="Advanced"/>
    <s v="Good"/>
    <x v="1"/>
    <n v="49"/>
    <s v="Needs Improvement"/>
    <x v="1"/>
    <s v="Interview Preparation"/>
    <s v="Improve interview preparation and communication"/>
  </r>
  <r>
    <n v="43"/>
    <n v="0"/>
    <n v="1"/>
    <n v="12"/>
    <n v="2"/>
    <n v="35.258725663889003"/>
    <n v="76"/>
    <n v="55"/>
    <n v="43"/>
    <n v="2"/>
    <n v="0"/>
    <s v="C123"/>
    <s v="Male"/>
    <s v="Bachelor's Type 1"/>
    <s v="Senior Level"/>
    <s v="Strong"/>
    <s v="Intermediate"/>
    <s v="Needs Improvement"/>
    <x v="1"/>
    <n v="62"/>
    <s v="Developing"/>
    <x v="2"/>
    <s v="Personality &amp; Communication"/>
    <s v="Work on communication and personality development"/>
  </r>
  <r>
    <n v="45"/>
    <n v="0"/>
    <n v="1"/>
    <n v="3"/>
    <n v="4"/>
    <n v="15.5022014088993"/>
    <n v="100"/>
    <n v="52"/>
    <n v="96"/>
    <n v="1"/>
    <n v="1"/>
    <s v="C124"/>
    <s v="Male"/>
    <s v="Bachelor's Type 1"/>
    <s v="Mid Level"/>
    <s v="Strong"/>
    <s v="Intermediate"/>
    <s v="Strong"/>
    <x v="0"/>
    <n v="70"/>
    <s v="Developing"/>
    <x v="2"/>
    <s v="Technical Skills"/>
    <s v="Strengthen technical skills and practical knowledge"/>
  </r>
  <r>
    <n v="44"/>
    <n v="0"/>
    <n v="1"/>
    <n v="6"/>
    <n v="3"/>
    <n v="11.0731960526766"/>
    <n v="88"/>
    <n v="6"/>
    <n v="45"/>
    <n v="3"/>
    <n v="0"/>
    <s v="C125"/>
    <s v="Male"/>
    <s v="Bachelor's Type 1"/>
    <s v="Mid Level"/>
    <s v="Strong"/>
    <s v="Beginner"/>
    <s v="Needs Improvement"/>
    <x v="1"/>
    <n v="46"/>
    <s v="Needs Improvement"/>
    <x v="2"/>
    <s v="Technical Skills"/>
    <s v="Strengthen technical skills and practical knowledge"/>
  </r>
  <r>
    <n v="47"/>
    <n v="1"/>
    <n v="2"/>
    <n v="0"/>
    <n v="2"/>
    <n v="14.2604268498414"/>
    <n v="25"/>
    <n v="96"/>
    <n v="13"/>
    <n v="1"/>
    <n v="0"/>
    <s v="C126"/>
    <s v="Female"/>
    <s v="Bachelor's Type 2"/>
    <s v="Entry Level"/>
    <s v="Low"/>
    <s v="Advanced"/>
    <s v="Needs Improvement"/>
    <x v="1"/>
    <n v="41"/>
    <s v="Needs Improvement"/>
    <x v="1"/>
    <s v="Personality &amp; Communication"/>
    <s v="Work on communication and personality development"/>
  </r>
  <r>
    <n v="47"/>
    <n v="1"/>
    <n v="2"/>
    <n v="8"/>
    <n v="5"/>
    <n v="9.4879600696413195"/>
    <n v="54"/>
    <n v="68"/>
    <n v="7"/>
    <n v="2"/>
    <n v="0"/>
    <s v="C127"/>
    <s v="Female"/>
    <s v="Bachelor's Type 2"/>
    <s v="Senior Level"/>
    <s v="Average"/>
    <s v="Intermediate"/>
    <s v="Needs Improvement"/>
    <x v="1"/>
    <n v="49"/>
    <s v="Needs Improvement"/>
    <x v="1"/>
    <s v="Personality &amp; Communication"/>
    <s v="Work on communication and personality development"/>
  </r>
  <r>
    <n v="47"/>
    <n v="1"/>
    <n v="2"/>
    <n v="3"/>
    <n v="1"/>
    <n v="5.7820348011857901"/>
    <n v="38"/>
    <n v="91"/>
    <n v="47"/>
    <n v="2"/>
    <n v="0"/>
    <s v="C128"/>
    <s v="Female"/>
    <s v="Bachelor's Type 2"/>
    <s v="Mid Level"/>
    <s v="Low"/>
    <s v="Advanced"/>
    <s v="Needs Improvement"/>
    <x v="1"/>
    <n v="54"/>
    <s v="Developing"/>
    <x v="1"/>
    <s v="Interview Preparation"/>
    <s v="Improve interview preparation and communication"/>
  </r>
  <r>
    <n v="32"/>
    <n v="1"/>
    <n v="2"/>
    <n v="2"/>
    <n v="3"/>
    <n v="21.9568087221027"/>
    <n v="83"/>
    <n v="71"/>
    <n v="13"/>
    <n v="1"/>
    <n v="1"/>
    <s v="C129"/>
    <s v="Female"/>
    <s v="Bachelor's Type 2"/>
    <s v="Entry Level"/>
    <s v="Strong"/>
    <s v="Intermediate"/>
    <s v="Needs Improvement"/>
    <x v="0"/>
    <n v="53"/>
    <s v="Developing"/>
    <x v="2"/>
    <s v="Personality &amp; Communication"/>
    <s v="Work on communication and personality development"/>
  </r>
  <r>
    <n v="28"/>
    <n v="0"/>
    <n v="2"/>
    <n v="0"/>
    <n v="2"/>
    <n v="6.6649802199133799"/>
    <n v="32"/>
    <n v="78"/>
    <n v="64"/>
    <n v="1"/>
    <n v="1"/>
    <s v="C130"/>
    <s v="Male"/>
    <s v="Bachelor's Type 2"/>
    <s v="Entry Level"/>
    <s v="Low"/>
    <s v="Advanced"/>
    <s v="Good"/>
    <x v="0"/>
    <n v="48"/>
    <s v="Needs Improvement"/>
    <x v="1"/>
    <s v="Interview Preparation"/>
    <s v="Improve interview preparation and communication"/>
  </r>
  <r>
    <n v="48"/>
    <n v="0"/>
    <n v="2"/>
    <n v="9"/>
    <n v="2"/>
    <n v="9.59562788635521"/>
    <n v="13"/>
    <n v="51"/>
    <n v="79"/>
    <n v="2"/>
    <n v="0"/>
    <s v="C131"/>
    <s v="Male"/>
    <s v="Bachelor's Type 2"/>
    <s v="Senior Level"/>
    <s v="Low"/>
    <s v="Intermediate"/>
    <s v="Strong"/>
    <x v="1"/>
    <n v="47"/>
    <s v="Needs Improvement"/>
    <x v="0"/>
    <s v="Interview Preparation"/>
    <s v="Improve interview preparation and communication"/>
  </r>
  <r>
    <n v="34"/>
    <n v="0"/>
    <n v="3"/>
    <n v="3"/>
    <n v="2"/>
    <n v="28.366234216974298"/>
    <n v="55"/>
    <n v="3"/>
    <n v="81"/>
    <n v="3"/>
    <n v="0"/>
    <s v="C132"/>
    <s v="Male"/>
    <s v="Master's"/>
    <s v="Mid Level"/>
    <s v="Average"/>
    <s v="Beginner"/>
    <s v="Strong"/>
    <x v="1"/>
    <n v="40"/>
    <s v="Needs Improvement"/>
    <x v="0"/>
    <s v="Technical Skills"/>
    <s v="Strengthen technical skills and practical knowledge"/>
  </r>
  <r>
    <n v="32"/>
    <n v="0"/>
    <n v="2"/>
    <n v="8"/>
    <n v="5"/>
    <n v="9.2299636849787294"/>
    <n v="99"/>
    <n v="33"/>
    <n v="6"/>
    <n v="1"/>
    <n v="1"/>
    <s v="C133"/>
    <s v="Male"/>
    <s v="Bachelor's Type 2"/>
    <s v="Senior Level"/>
    <s v="Strong"/>
    <s v="Beginner"/>
    <s v="Needs Improvement"/>
    <x v="0"/>
    <n v="51"/>
    <s v="Developing"/>
    <x v="2"/>
    <s v="Personality &amp; Communication"/>
    <s v="Work on communication and personality development"/>
  </r>
  <r>
    <n v="20"/>
    <n v="1"/>
    <n v="4"/>
    <n v="12"/>
    <n v="5"/>
    <n v="4.1939883715451396"/>
    <n v="80"/>
    <n v="68"/>
    <n v="78"/>
    <n v="2"/>
    <n v="1"/>
    <s v="C134"/>
    <s v="Female"/>
    <s v="PhD"/>
    <s v="Senior Level"/>
    <s v="Strong"/>
    <s v="Intermediate"/>
    <s v="Strong"/>
    <x v="0"/>
    <n v="77"/>
    <s v="Job Ready"/>
    <x v="2"/>
    <s v="Technical Skills"/>
    <s v="Strengthen technical skills and practical knowledge"/>
  </r>
  <r>
    <n v="44"/>
    <n v="0"/>
    <n v="3"/>
    <n v="13"/>
    <n v="5"/>
    <n v="16.8694425013942"/>
    <n v="20"/>
    <n v="32"/>
    <n v="87"/>
    <n v="2"/>
    <n v="0"/>
    <s v="C135"/>
    <s v="Male"/>
    <s v="Master's"/>
    <s v="Senior Level"/>
    <s v="Low"/>
    <s v="Beginner"/>
    <s v="Strong"/>
    <x v="1"/>
    <n v="50"/>
    <s v="Developing"/>
    <x v="0"/>
    <s v="Interview Preparation"/>
    <s v="Improve interview preparation and communication"/>
  </r>
  <r>
    <n v="26"/>
    <n v="0"/>
    <n v="1"/>
    <n v="9"/>
    <n v="4"/>
    <n v="12.0159549310983"/>
    <n v="45"/>
    <n v="68"/>
    <n v="48"/>
    <n v="1"/>
    <n v="1"/>
    <s v="C136"/>
    <s v="Male"/>
    <s v="Bachelor's Type 1"/>
    <s v="Senior Level"/>
    <s v="Low"/>
    <s v="Intermediate"/>
    <s v="Needs Improvement"/>
    <x v="0"/>
    <n v="55"/>
    <s v="Developing"/>
    <x v="1"/>
    <s v="Interview Preparation"/>
    <s v="Improve interview preparation and communication"/>
  </r>
  <r>
    <n v="28"/>
    <n v="1"/>
    <n v="3"/>
    <n v="15"/>
    <n v="2"/>
    <n v="26.765259399718801"/>
    <n v="15"/>
    <n v="37"/>
    <n v="54"/>
    <n v="2"/>
    <n v="0"/>
    <s v="C137"/>
    <s v="Female"/>
    <s v="Master's"/>
    <s v="Senior Level"/>
    <s v="Low"/>
    <s v="Beginner"/>
    <s v="Good"/>
    <x v="1"/>
    <n v="45"/>
    <s v="Needs Improvement"/>
    <x v="0"/>
    <s v="Interview Preparation"/>
    <s v="Improve interview preparation and communication"/>
  </r>
  <r>
    <n v="43"/>
    <n v="1"/>
    <n v="2"/>
    <n v="15"/>
    <n v="3"/>
    <n v="6.1183542291604596"/>
    <n v="15"/>
    <n v="97"/>
    <n v="12"/>
    <n v="3"/>
    <n v="0"/>
    <s v="C138"/>
    <s v="Female"/>
    <s v="Bachelor's Type 2"/>
    <s v="Senior Level"/>
    <s v="Low"/>
    <s v="Advanced"/>
    <s v="Needs Improvement"/>
    <x v="1"/>
    <n v="54"/>
    <s v="Developing"/>
    <x v="1"/>
    <s v="Personality &amp; Communication"/>
    <s v="Work on communication and personality development"/>
  </r>
  <r>
    <n v="20"/>
    <n v="1"/>
    <n v="2"/>
    <n v="5"/>
    <n v="5"/>
    <n v="38.588539384148902"/>
    <n v="83"/>
    <n v="25"/>
    <n v="72"/>
    <n v="2"/>
    <n v="0"/>
    <s v="C139"/>
    <s v="Female"/>
    <s v="Bachelor's Type 2"/>
    <s v="Mid Level"/>
    <s v="Strong"/>
    <s v="Beginner"/>
    <s v="Good"/>
    <x v="1"/>
    <n v="54"/>
    <s v="Developing"/>
    <x v="2"/>
    <s v="Technical Skills"/>
    <s v="Strengthen technical skills and practical knowledge"/>
  </r>
  <r>
    <n v="31"/>
    <n v="1"/>
    <n v="2"/>
    <n v="15"/>
    <n v="5"/>
    <n v="46.311675971756898"/>
    <n v="28"/>
    <n v="0"/>
    <n v="55"/>
    <n v="3"/>
    <n v="0"/>
    <s v="C140"/>
    <s v="Female"/>
    <s v="Bachelor's Type 2"/>
    <s v="Senior Level"/>
    <s v="Low"/>
    <s v="Beginner"/>
    <s v="Good"/>
    <x v="1"/>
    <n v="37"/>
    <s v="Needs Improvement"/>
    <x v="0"/>
    <s v="Technical Skills"/>
    <s v="Strengthen technical skills and practical knowledge"/>
  </r>
  <r>
    <n v="27"/>
    <n v="0"/>
    <n v="2"/>
    <n v="5"/>
    <n v="2"/>
    <n v="38.1717586978097"/>
    <n v="91"/>
    <n v="3"/>
    <n v="55"/>
    <n v="1"/>
    <n v="0"/>
    <s v="C141"/>
    <s v="Male"/>
    <s v="Bachelor's Type 2"/>
    <s v="Mid Level"/>
    <s v="Strong"/>
    <s v="Beginner"/>
    <s v="Good"/>
    <x v="1"/>
    <n v="47"/>
    <s v="Needs Improvement"/>
    <x v="2"/>
    <s v="Technical Skills"/>
    <s v="Strengthen technical skills and practical knowledge"/>
  </r>
  <r>
    <n v="43"/>
    <n v="0"/>
    <n v="2"/>
    <n v="0"/>
    <n v="5"/>
    <n v="27.641351870069698"/>
    <n v="7"/>
    <n v="38"/>
    <n v="14"/>
    <n v="2"/>
    <n v="0"/>
    <s v="C142"/>
    <s v="Male"/>
    <s v="Bachelor's Type 2"/>
    <s v="Entry Level"/>
    <s v="Low"/>
    <s v="Beginner"/>
    <s v="Needs Improvement"/>
    <x v="1"/>
    <n v="19"/>
    <s v="Needs Improvement"/>
    <x v="1"/>
    <s v="Interview Preparation"/>
    <s v="Improve interview preparation and communication"/>
  </r>
  <r>
    <n v="50"/>
    <n v="1"/>
    <n v="2"/>
    <n v="9"/>
    <n v="4"/>
    <n v="44.033391089444201"/>
    <n v="87"/>
    <n v="53"/>
    <n v="56"/>
    <n v="2"/>
    <n v="0"/>
    <s v="C143"/>
    <s v="Female"/>
    <s v="Bachelor's Type 2"/>
    <s v="Senior Level"/>
    <s v="Strong"/>
    <s v="Intermediate"/>
    <s v="Good"/>
    <x v="1"/>
    <n v="65"/>
    <s v="Developing"/>
    <x v="2"/>
    <s v="Technical Skills"/>
    <s v="Strengthen technical skills and practical knowledge"/>
  </r>
  <r>
    <n v="30"/>
    <n v="0"/>
    <n v="2"/>
    <n v="1"/>
    <n v="4"/>
    <n v="35.7459189890753"/>
    <n v="2"/>
    <n v="89"/>
    <n v="57"/>
    <n v="2"/>
    <n v="0"/>
    <s v="C144"/>
    <s v="Male"/>
    <s v="Bachelor's Type 2"/>
    <s v="Entry Level"/>
    <s v="Low"/>
    <s v="Advanced"/>
    <s v="Good"/>
    <x v="1"/>
    <n v="42"/>
    <s v="Needs Improvement"/>
    <x v="1"/>
    <s v="Interview Preparation"/>
    <s v="Improve interview preparation and communication"/>
  </r>
  <r>
    <n v="38"/>
    <n v="0"/>
    <n v="2"/>
    <n v="10"/>
    <n v="5"/>
    <n v="1.52755612250949"/>
    <n v="88"/>
    <n v="32"/>
    <n v="34"/>
    <n v="2"/>
    <n v="0"/>
    <s v="C145"/>
    <s v="Male"/>
    <s v="Bachelor's Type 2"/>
    <s v="Senior Level"/>
    <s v="Strong"/>
    <s v="Beginner"/>
    <s v="Needs Improvement"/>
    <x v="1"/>
    <n v="55"/>
    <s v="Developing"/>
    <x v="2"/>
    <s v="Technical Skills"/>
    <s v="Strengthen technical skills and practical knowledge"/>
  </r>
  <r>
    <n v="36"/>
    <n v="0"/>
    <n v="2"/>
    <n v="5"/>
    <n v="2"/>
    <n v="20.704507638725101"/>
    <n v="18"/>
    <n v="32"/>
    <n v="87"/>
    <n v="1"/>
    <n v="0"/>
    <s v="C146"/>
    <s v="Male"/>
    <s v="Bachelor's Type 2"/>
    <s v="Mid Level"/>
    <s v="Low"/>
    <s v="Beginner"/>
    <s v="Strong"/>
    <x v="1"/>
    <n v="40"/>
    <s v="Needs Improvement"/>
    <x v="0"/>
    <s v="Interview Preparation"/>
    <s v="Improve interview preparation and communication"/>
  </r>
  <r>
    <n v="27"/>
    <n v="1"/>
    <n v="3"/>
    <n v="1"/>
    <n v="2"/>
    <n v="43.54759497034"/>
    <n v="96"/>
    <n v="71"/>
    <n v="96"/>
    <n v="2"/>
    <n v="1"/>
    <s v="C147"/>
    <s v="Female"/>
    <s v="Master's"/>
    <s v="Entry Level"/>
    <s v="Strong"/>
    <s v="Intermediate"/>
    <s v="Strong"/>
    <x v="0"/>
    <n v="74"/>
    <s v="Developing"/>
    <x v="2"/>
    <s v="Technical Skills"/>
    <s v="Strengthen technical skills and practical knowledge"/>
  </r>
  <r>
    <n v="22"/>
    <n v="0"/>
    <n v="1"/>
    <n v="2"/>
    <n v="2"/>
    <n v="18.2929428987634"/>
    <n v="65"/>
    <n v="19"/>
    <n v="15"/>
    <n v="2"/>
    <n v="0"/>
    <s v="C148"/>
    <s v="Male"/>
    <s v="Bachelor's Type 1"/>
    <s v="Entry Level"/>
    <s v="Average"/>
    <s v="Beginner"/>
    <s v="Needs Improvement"/>
    <x v="1"/>
    <n v="33"/>
    <s v="Needs Improvement"/>
    <x v="2"/>
    <s v="Personality &amp; Communication"/>
    <s v="Work on communication and personality development"/>
  </r>
  <r>
    <n v="22"/>
    <n v="1"/>
    <n v="2"/>
    <n v="3"/>
    <n v="1"/>
    <n v="2.7607586762761702"/>
    <n v="78"/>
    <n v="15"/>
    <n v="7"/>
    <n v="1"/>
    <n v="0"/>
    <s v="C149"/>
    <s v="Female"/>
    <s v="Bachelor's Type 2"/>
    <s v="Mid Level"/>
    <s v="Strong"/>
    <s v="Beginner"/>
    <s v="Needs Improvement"/>
    <x v="1"/>
    <n v="35"/>
    <s v="Needs Improvement"/>
    <x v="2"/>
    <s v="Personality &amp; Communication"/>
    <s v="Work on communication and personality development"/>
  </r>
  <r>
    <n v="20"/>
    <n v="0"/>
    <n v="3"/>
    <n v="10"/>
    <n v="5"/>
    <n v="38.308981927613601"/>
    <n v="85"/>
    <n v="20"/>
    <n v="92"/>
    <n v="3"/>
    <n v="1"/>
    <s v="C150"/>
    <s v="Male"/>
    <s v="Master's"/>
    <s v="Senior Level"/>
    <s v="Strong"/>
    <s v="Beginner"/>
    <s v="Strong"/>
    <x v="0"/>
    <n v="64"/>
    <s v="Developing"/>
    <x v="0"/>
    <s v="Technical Skills"/>
    <s v="Strengthen technical skills and practical knowledge"/>
  </r>
  <r>
    <n v="46"/>
    <n v="0"/>
    <n v="2"/>
    <n v="4"/>
    <n v="2"/>
    <n v="41.101913514143398"/>
    <n v="73"/>
    <n v="44"/>
    <n v="86"/>
    <n v="2"/>
    <n v="0"/>
    <s v="C151"/>
    <s v="Male"/>
    <s v="Bachelor's Type 2"/>
    <s v="Mid Level"/>
    <s v="Average"/>
    <s v="Beginner"/>
    <s v="Strong"/>
    <x v="1"/>
    <n v="59"/>
    <s v="Developing"/>
    <x v="0"/>
    <s v="Technical Skills"/>
    <s v="Strengthen technical skills and practical knowledge"/>
  </r>
  <r>
    <n v="24"/>
    <n v="0"/>
    <n v="1"/>
    <n v="14"/>
    <n v="4"/>
    <n v="9.0296847521654193"/>
    <n v="81"/>
    <n v="89"/>
    <n v="44"/>
    <n v="2"/>
    <n v="0"/>
    <s v="C152"/>
    <s v="Male"/>
    <s v="Bachelor's Type 1"/>
    <s v="Senior Level"/>
    <s v="Strong"/>
    <s v="Advanced"/>
    <s v="Needs Improvement"/>
    <x v="1"/>
    <n v="76"/>
    <s v="Job Ready"/>
    <x v="1"/>
    <s v="Personality &amp; Communication"/>
    <s v="Work on communication and personality development"/>
  </r>
  <r>
    <n v="29"/>
    <n v="1"/>
    <n v="1"/>
    <n v="8"/>
    <n v="3"/>
    <n v="27.867024842159001"/>
    <n v="21"/>
    <n v="86"/>
    <n v="94"/>
    <n v="1"/>
    <n v="1"/>
    <s v="C153"/>
    <s v="Female"/>
    <s v="Bachelor's Type 1"/>
    <s v="Senior Level"/>
    <s v="Low"/>
    <s v="Advanced"/>
    <s v="Strong"/>
    <x v="0"/>
    <n v="61"/>
    <s v="Developing"/>
    <x v="0"/>
    <s v="Interview Preparation"/>
    <s v="Improve interview preparation and communication"/>
  </r>
  <r>
    <n v="26"/>
    <n v="0"/>
    <n v="2"/>
    <n v="11"/>
    <n v="3"/>
    <n v="10.5977719497862"/>
    <n v="45"/>
    <n v="81"/>
    <n v="39"/>
    <n v="1"/>
    <n v="1"/>
    <s v="C154"/>
    <s v="Male"/>
    <s v="Bachelor's Type 2"/>
    <s v="Senior Level"/>
    <s v="Low"/>
    <s v="Advanced"/>
    <s v="Needs Improvement"/>
    <x v="0"/>
    <n v="59"/>
    <s v="Developing"/>
    <x v="1"/>
    <s v="Personality &amp; Communication"/>
    <s v="Work on communication and personality development"/>
  </r>
  <r>
    <n v="45"/>
    <n v="1"/>
    <n v="4"/>
    <n v="14"/>
    <n v="2"/>
    <n v="36.961720952207301"/>
    <n v="90"/>
    <n v="61"/>
    <n v="53"/>
    <n v="2"/>
    <n v="1"/>
    <s v="C155"/>
    <s v="Female"/>
    <s v="PhD"/>
    <s v="Senior Level"/>
    <s v="Strong"/>
    <s v="Intermediate"/>
    <s v="Good"/>
    <x v="0"/>
    <n v="75"/>
    <s v="Job Ready"/>
    <x v="2"/>
    <s v="Personality &amp; Communication"/>
    <s v="Work on communication and personality development"/>
  </r>
  <r>
    <n v="28"/>
    <n v="1"/>
    <n v="2"/>
    <n v="14"/>
    <n v="3"/>
    <n v="14.577522758874199"/>
    <n v="12"/>
    <n v="30"/>
    <n v="13"/>
    <n v="2"/>
    <n v="0"/>
    <s v="C156"/>
    <s v="Female"/>
    <s v="Bachelor's Type 2"/>
    <s v="Senior Level"/>
    <s v="Low"/>
    <s v="Beginner"/>
    <s v="Needs Improvement"/>
    <x v="1"/>
    <n v="32"/>
    <s v="Needs Improvement"/>
    <x v="1"/>
    <s v="Interview Preparation"/>
    <s v="Improve interview preparation and communication"/>
  </r>
  <r>
    <n v="47"/>
    <n v="1"/>
    <n v="4"/>
    <n v="3"/>
    <n v="3"/>
    <n v="16.810756128166499"/>
    <n v="32"/>
    <n v="41"/>
    <n v="58"/>
    <n v="2"/>
    <n v="0"/>
    <s v="C157"/>
    <s v="Female"/>
    <s v="PhD"/>
    <s v="Mid Level"/>
    <s v="Low"/>
    <s v="Beginner"/>
    <s v="Good"/>
    <x v="1"/>
    <n v="42"/>
    <s v="Needs Improvement"/>
    <x v="0"/>
    <s v="Interview Preparation"/>
    <s v="Improve interview preparation and communication"/>
  </r>
  <r>
    <n v="26"/>
    <n v="0"/>
    <n v="2"/>
    <n v="12"/>
    <n v="1"/>
    <n v="43.248542682005002"/>
    <n v="4"/>
    <n v="11"/>
    <n v="93"/>
    <n v="2"/>
    <n v="0"/>
    <s v="C158"/>
    <s v="Male"/>
    <s v="Bachelor's Type 2"/>
    <s v="Senior Level"/>
    <s v="Low"/>
    <s v="Beginner"/>
    <s v="Strong"/>
    <x v="1"/>
    <n v="38"/>
    <s v="Needs Improvement"/>
    <x v="0"/>
    <s v="Interview Preparation"/>
    <s v="Improve interview preparation and communication"/>
  </r>
  <r>
    <n v="28"/>
    <n v="0"/>
    <n v="2"/>
    <n v="10"/>
    <n v="4"/>
    <n v="24.816117610345199"/>
    <n v="89"/>
    <n v="64"/>
    <n v="52"/>
    <n v="1"/>
    <n v="1"/>
    <s v="C159"/>
    <s v="Male"/>
    <s v="Bachelor's Type 2"/>
    <s v="Senior Level"/>
    <s v="Strong"/>
    <s v="Intermediate"/>
    <s v="Good"/>
    <x v="0"/>
    <n v="69"/>
    <s v="Developing"/>
    <x v="2"/>
    <s v="Personality &amp; Communication"/>
    <s v="Work on communication and personality development"/>
  </r>
  <r>
    <n v="27"/>
    <n v="0"/>
    <n v="2"/>
    <n v="8"/>
    <n v="4"/>
    <n v="34.487722560912303"/>
    <n v="76"/>
    <n v="72"/>
    <n v="26"/>
    <n v="2"/>
    <n v="0"/>
    <s v="C160"/>
    <s v="Male"/>
    <s v="Bachelor's Type 2"/>
    <s v="Senior Level"/>
    <s v="Strong"/>
    <s v="Intermediate"/>
    <s v="Needs Improvement"/>
    <x v="1"/>
    <n v="60"/>
    <s v="Developing"/>
    <x v="2"/>
    <s v="Personality &amp; Communication"/>
    <s v="Work on communication and personality development"/>
  </r>
  <r>
    <n v="31"/>
    <n v="0"/>
    <n v="2"/>
    <n v="10"/>
    <n v="1"/>
    <n v="21.1186525361233"/>
    <n v="26"/>
    <n v="2"/>
    <n v="46"/>
    <n v="2"/>
    <n v="0"/>
    <s v="C161"/>
    <s v="Male"/>
    <s v="Bachelor's Type 2"/>
    <s v="Senior Level"/>
    <s v="Low"/>
    <s v="Beginner"/>
    <s v="Needs Improvement"/>
    <x v="1"/>
    <n v="30"/>
    <s v="Needs Improvement"/>
    <x v="0"/>
    <s v="Technical Skills"/>
    <s v="Strengthen technical skills and practical knowledge"/>
  </r>
  <r>
    <n v="21"/>
    <n v="1"/>
    <n v="1"/>
    <n v="9"/>
    <n v="1"/>
    <n v="15.900342859687701"/>
    <n v="77"/>
    <n v="89"/>
    <n v="79"/>
    <n v="2"/>
    <n v="1"/>
    <s v="C162"/>
    <s v="Female"/>
    <s v="Bachelor's Type 1"/>
    <s v="Senior Level"/>
    <s v="Strong"/>
    <s v="Advanced"/>
    <s v="Strong"/>
    <x v="0"/>
    <n v="77"/>
    <s v="Job Ready"/>
    <x v="1"/>
    <s v="Interview Preparation"/>
    <s v="Improve interview preparation and communication"/>
  </r>
  <r>
    <n v="20"/>
    <n v="1"/>
    <n v="3"/>
    <n v="2"/>
    <n v="3"/>
    <n v="32.273903021232996"/>
    <n v="23"/>
    <n v="8"/>
    <n v="5"/>
    <n v="1"/>
    <n v="0"/>
    <s v="C163"/>
    <s v="Female"/>
    <s v="Master's"/>
    <s v="Entry Level"/>
    <s v="Low"/>
    <s v="Beginner"/>
    <s v="Needs Improvement"/>
    <x v="1"/>
    <n v="16"/>
    <s v="Needs Improvement"/>
    <x v="2"/>
    <s v="Personality &amp; Communication"/>
    <s v="Work on communication and personality development"/>
  </r>
  <r>
    <n v="35"/>
    <n v="1"/>
    <n v="3"/>
    <n v="7"/>
    <n v="5"/>
    <n v="8.7428787039410594"/>
    <n v="66"/>
    <n v="50"/>
    <n v="54"/>
    <n v="1"/>
    <n v="1"/>
    <s v="C164"/>
    <s v="Female"/>
    <s v="Master's"/>
    <s v="Senior Level"/>
    <s v="Average"/>
    <s v="Intermediate"/>
    <s v="Good"/>
    <x v="0"/>
    <n v="56"/>
    <s v="Developing"/>
    <x v="2"/>
    <s v="Technical Skills"/>
    <s v="Strengthen technical skills and practical knowledge"/>
  </r>
  <r>
    <n v="42"/>
    <n v="0"/>
    <n v="2"/>
    <n v="11"/>
    <n v="3"/>
    <n v="19.6499917783431"/>
    <n v="62"/>
    <n v="15"/>
    <n v="96"/>
    <n v="2"/>
    <n v="0"/>
    <s v="C165"/>
    <s v="Male"/>
    <s v="Bachelor's Type 2"/>
    <s v="Senior Level"/>
    <s v="Average"/>
    <s v="Beginner"/>
    <s v="Strong"/>
    <x v="1"/>
    <n v="56"/>
    <s v="Developing"/>
    <x v="0"/>
    <s v="Technical Skills"/>
    <s v="Strengthen technical skills and practical knowledge"/>
  </r>
  <r>
    <n v="42"/>
    <n v="1"/>
    <n v="4"/>
    <n v="0"/>
    <n v="1"/>
    <n v="11.4518518692961"/>
    <n v="93"/>
    <n v="87"/>
    <n v="43"/>
    <n v="1"/>
    <n v="1"/>
    <s v="C166"/>
    <s v="Female"/>
    <s v="PhD"/>
    <s v="Entry Level"/>
    <s v="Strong"/>
    <s v="Advanced"/>
    <s v="Needs Improvement"/>
    <x v="0"/>
    <n v="68"/>
    <s v="Developing"/>
    <x v="2"/>
    <s v="Personality &amp; Communication"/>
    <s v="Work on communication and personality development"/>
  </r>
  <r>
    <n v="49"/>
    <n v="0"/>
    <n v="3"/>
    <n v="10"/>
    <n v="4"/>
    <n v="35.789748347037197"/>
    <n v="98"/>
    <n v="77"/>
    <n v="17"/>
    <n v="1"/>
    <n v="1"/>
    <s v="C167"/>
    <s v="Male"/>
    <s v="Master's"/>
    <s v="Senior Level"/>
    <s v="Strong"/>
    <s v="Advanced"/>
    <s v="Needs Improvement"/>
    <x v="0"/>
    <n v="70"/>
    <s v="Developing"/>
    <x v="2"/>
    <s v="Personality &amp; Communication"/>
    <s v="Work on communication and personality development"/>
  </r>
  <r>
    <n v="43"/>
    <n v="1"/>
    <n v="2"/>
    <n v="8"/>
    <n v="3"/>
    <n v="48.210441917305303"/>
    <n v="47"/>
    <n v="2"/>
    <n v="15"/>
    <n v="1"/>
    <n v="0"/>
    <s v="C168"/>
    <s v="Female"/>
    <s v="Bachelor's Type 2"/>
    <s v="Senior Level"/>
    <s v="Low"/>
    <s v="Beginner"/>
    <s v="Needs Improvement"/>
    <x v="1"/>
    <n v="28"/>
    <s v="Needs Improvement"/>
    <x v="2"/>
    <s v="Technical Skills"/>
    <s v="Strengthen technical skills and practical knowledge"/>
  </r>
  <r>
    <n v="24"/>
    <n v="0"/>
    <n v="1"/>
    <n v="8"/>
    <n v="5"/>
    <n v="50.775548400793298"/>
    <n v="62"/>
    <n v="97"/>
    <n v="11"/>
    <n v="2"/>
    <n v="0"/>
    <s v="C169"/>
    <s v="Male"/>
    <s v="Bachelor's Type 1"/>
    <s v="Senior Level"/>
    <s v="Average"/>
    <s v="Advanced"/>
    <s v="Needs Improvement"/>
    <x v="1"/>
    <n v="60"/>
    <s v="Developing"/>
    <x v="1"/>
    <s v="Personality &amp; Communication"/>
    <s v="Work on communication and personality development"/>
  </r>
  <r>
    <n v="22"/>
    <n v="0"/>
    <n v="2"/>
    <n v="9"/>
    <n v="3"/>
    <n v="23.513840522079501"/>
    <n v="77"/>
    <n v="96"/>
    <n v="19"/>
    <n v="2"/>
    <n v="0"/>
    <s v="C170"/>
    <s v="Male"/>
    <s v="Bachelor's Type 2"/>
    <s v="Senior Level"/>
    <s v="Strong"/>
    <s v="Advanced"/>
    <s v="Needs Improvement"/>
    <x v="1"/>
    <n v="67"/>
    <s v="Developing"/>
    <x v="1"/>
    <s v="Personality &amp; Communication"/>
    <s v="Work on communication and personality development"/>
  </r>
  <r>
    <n v="31"/>
    <n v="1"/>
    <n v="2"/>
    <n v="1"/>
    <n v="2"/>
    <n v="13.6265194818222"/>
    <n v="11"/>
    <n v="23"/>
    <n v="44"/>
    <n v="2"/>
    <n v="0"/>
    <s v="C171"/>
    <s v="Female"/>
    <s v="Bachelor's Type 2"/>
    <s v="Entry Level"/>
    <s v="Low"/>
    <s v="Beginner"/>
    <s v="Needs Improvement"/>
    <x v="1"/>
    <n v="23"/>
    <s v="Needs Improvement"/>
    <x v="0"/>
    <s v="Interview Preparation"/>
    <s v="Improve interview preparation and communication"/>
  </r>
  <r>
    <n v="27"/>
    <n v="1"/>
    <n v="2"/>
    <n v="3"/>
    <n v="3"/>
    <n v="23.1414685192162"/>
    <n v="27"/>
    <n v="72"/>
    <n v="63"/>
    <n v="1"/>
    <n v="1"/>
    <s v="C172"/>
    <s v="Female"/>
    <s v="Bachelor's Type 2"/>
    <s v="Mid Level"/>
    <s v="Low"/>
    <s v="Intermediate"/>
    <s v="Good"/>
    <x v="0"/>
    <n v="48"/>
    <s v="Needs Improvement"/>
    <x v="1"/>
    <s v="Interview Preparation"/>
    <s v="Improve interview preparation and communication"/>
  </r>
  <r>
    <n v="41"/>
    <n v="1"/>
    <n v="1"/>
    <n v="12"/>
    <n v="1"/>
    <n v="43.363470498136103"/>
    <n v="43"/>
    <n v="12"/>
    <n v="58"/>
    <n v="2"/>
    <n v="0"/>
    <s v="C173"/>
    <s v="Female"/>
    <s v="Bachelor's Type 1"/>
    <s v="Senior Level"/>
    <s v="Low"/>
    <s v="Beginner"/>
    <s v="Good"/>
    <x v="1"/>
    <n v="43"/>
    <s v="Needs Improvement"/>
    <x v="0"/>
    <s v="Technical Skills"/>
    <s v="Strengthen technical skills and practical knowledge"/>
  </r>
  <r>
    <n v="46"/>
    <n v="1"/>
    <n v="3"/>
    <n v="7"/>
    <n v="4"/>
    <n v="11.3002839276019"/>
    <n v="92"/>
    <n v="1"/>
    <n v="92"/>
    <n v="1"/>
    <n v="1"/>
    <s v="C174"/>
    <s v="Female"/>
    <s v="Master's"/>
    <s v="Senior Level"/>
    <s v="Strong"/>
    <s v="Beginner"/>
    <s v="Strong"/>
    <x v="0"/>
    <n v="57"/>
    <s v="Developing"/>
    <x v="2"/>
    <s v="Technical Skills"/>
    <s v="Strengthen technical skills and practical knowledge"/>
  </r>
  <r>
    <n v="22"/>
    <n v="0"/>
    <n v="1"/>
    <n v="6"/>
    <n v="4"/>
    <n v="48.604782582646102"/>
    <n v="42"/>
    <n v="70"/>
    <n v="93"/>
    <n v="3"/>
    <n v="0"/>
    <s v="C175"/>
    <s v="Male"/>
    <s v="Bachelor's Type 1"/>
    <s v="Mid Level"/>
    <s v="Low"/>
    <s v="Intermediate"/>
    <s v="Strong"/>
    <x v="1"/>
    <n v="61"/>
    <s v="Developing"/>
    <x v="0"/>
    <s v="Interview Preparation"/>
    <s v="Improve interview preparation and communication"/>
  </r>
  <r>
    <n v="20"/>
    <n v="1"/>
    <n v="2"/>
    <n v="0"/>
    <n v="1"/>
    <n v="18.0932884399075"/>
    <n v="16"/>
    <n v="20"/>
    <n v="89"/>
    <n v="2"/>
    <n v="0"/>
    <s v="C176"/>
    <s v="Female"/>
    <s v="Bachelor's Type 2"/>
    <s v="Entry Level"/>
    <s v="Low"/>
    <s v="Beginner"/>
    <s v="Strong"/>
    <x v="1"/>
    <n v="31"/>
    <s v="Needs Improvement"/>
    <x v="0"/>
    <s v="Interview Preparation"/>
    <s v="Improve interview preparation and communication"/>
  </r>
  <r>
    <n v="22"/>
    <n v="1"/>
    <n v="4"/>
    <n v="4"/>
    <n v="2"/>
    <n v="50.290182972515197"/>
    <n v="39"/>
    <n v="18"/>
    <n v="21"/>
    <n v="2"/>
    <n v="0"/>
    <s v="C177"/>
    <s v="Female"/>
    <s v="PhD"/>
    <s v="Mid Level"/>
    <s v="Low"/>
    <s v="Beginner"/>
    <s v="Needs Improvement"/>
    <x v="1"/>
    <n v="30"/>
    <s v="Needs Improvement"/>
    <x v="2"/>
    <s v="Technical Skills"/>
    <s v="Strengthen technical skills and practical knowledge"/>
  </r>
  <r>
    <n v="24"/>
    <n v="1"/>
    <n v="3"/>
    <n v="6"/>
    <n v="1"/>
    <n v="42.930444376698098"/>
    <n v="48"/>
    <n v="88"/>
    <n v="96"/>
    <n v="1"/>
    <n v="1"/>
    <s v="C178"/>
    <s v="Female"/>
    <s v="Master's"/>
    <s v="Mid Level"/>
    <s v="Low"/>
    <s v="Advanced"/>
    <s v="Strong"/>
    <x v="0"/>
    <n v="70"/>
    <s v="Developing"/>
    <x v="0"/>
    <s v="Interview Preparation"/>
    <s v="Improve interview preparation and communication"/>
  </r>
  <r>
    <n v="34"/>
    <n v="0"/>
    <n v="2"/>
    <n v="14"/>
    <n v="3"/>
    <n v="41.4285267073695"/>
    <n v="84"/>
    <n v="46"/>
    <n v="46"/>
    <n v="1"/>
    <n v="1"/>
    <s v="C179"/>
    <s v="Male"/>
    <s v="Bachelor's Type 2"/>
    <s v="Senior Level"/>
    <s v="Strong"/>
    <s v="Beginner"/>
    <s v="Needs Improvement"/>
    <x v="0"/>
    <n v="65"/>
    <s v="Developing"/>
    <x v="2"/>
    <s v="Technical Skills"/>
    <s v="Strengthen technical skills and practical knowledge"/>
  </r>
  <r>
    <n v="33"/>
    <n v="0"/>
    <n v="3"/>
    <n v="15"/>
    <n v="1"/>
    <n v="16.895233688664099"/>
    <n v="56"/>
    <n v="21"/>
    <n v="28"/>
    <n v="2"/>
    <n v="0"/>
    <s v="C180"/>
    <s v="Male"/>
    <s v="Master's"/>
    <s v="Senior Level"/>
    <s v="Average"/>
    <s v="Beginner"/>
    <s v="Needs Improvement"/>
    <x v="1"/>
    <n v="47"/>
    <s v="Needs Improvement"/>
    <x v="2"/>
    <s v="Technical Skills"/>
    <s v="Strengthen technical skills and practical knowledge"/>
  </r>
  <r>
    <n v="22"/>
    <n v="1"/>
    <n v="1"/>
    <n v="3"/>
    <n v="1"/>
    <n v="1.4388605973964701"/>
    <n v="86"/>
    <n v="74"/>
    <n v="85"/>
    <n v="2"/>
    <n v="0"/>
    <s v="C181"/>
    <s v="Female"/>
    <s v="Bachelor's Type 1"/>
    <s v="Mid Level"/>
    <s v="Strong"/>
    <s v="Intermediate"/>
    <s v="Strong"/>
    <x v="1"/>
    <n v="71"/>
    <s v="Developing"/>
    <x v="2"/>
    <s v="Technical Skills"/>
    <s v="Strengthen technical skills and practical knowledge"/>
  </r>
  <r>
    <n v="20"/>
    <n v="0"/>
    <n v="1"/>
    <n v="14"/>
    <n v="2"/>
    <n v="20.1066454412993"/>
    <n v="83"/>
    <n v="32"/>
    <n v="44"/>
    <n v="1"/>
    <n v="1"/>
    <s v="C182"/>
    <s v="Male"/>
    <s v="Bachelor's Type 1"/>
    <s v="Senior Level"/>
    <s v="Strong"/>
    <s v="Beginner"/>
    <s v="Needs Improvement"/>
    <x v="0"/>
    <n v="60"/>
    <s v="Developing"/>
    <x v="2"/>
    <s v="Technical Skills"/>
    <s v="Strengthen technical skills and practical knowledge"/>
  </r>
  <r>
    <n v="24"/>
    <n v="1"/>
    <n v="2"/>
    <n v="15"/>
    <n v="3"/>
    <n v="16.0904684831346"/>
    <n v="63"/>
    <n v="31"/>
    <n v="76"/>
    <n v="3"/>
    <n v="0"/>
    <s v="C183"/>
    <s v="Female"/>
    <s v="Bachelor's Type 2"/>
    <s v="Senior Level"/>
    <s v="Average"/>
    <s v="Beginner"/>
    <s v="Strong"/>
    <x v="1"/>
    <n v="61"/>
    <s v="Developing"/>
    <x v="0"/>
    <s v="Technical Skills"/>
    <s v="Strengthen technical skills and practical knowledge"/>
  </r>
  <r>
    <n v="45"/>
    <n v="0"/>
    <n v="2"/>
    <n v="14"/>
    <n v="5"/>
    <n v="2.86984952043986"/>
    <n v="74"/>
    <n v="63"/>
    <n v="8"/>
    <n v="3"/>
    <n v="0"/>
    <s v="C184"/>
    <s v="Male"/>
    <s v="Bachelor's Type 2"/>
    <s v="Senior Level"/>
    <s v="Average"/>
    <s v="Intermediate"/>
    <s v="Needs Improvement"/>
    <x v="1"/>
    <n v="59"/>
    <s v="Developing"/>
    <x v="2"/>
    <s v="Personality &amp; Communication"/>
    <s v="Work on communication and personality development"/>
  </r>
  <r>
    <n v="42"/>
    <n v="0"/>
    <n v="2"/>
    <n v="0"/>
    <n v="5"/>
    <n v="26.2682628252964"/>
    <n v="56"/>
    <n v="84"/>
    <n v="23"/>
    <n v="2"/>
    <n v="0"/>
    <s v="C185"/>
    <s v="Male"/>
    <s v="Bachelor's Type 2"/>
    <s v="Entry Level"/>
    <s v="Average"/>
    <s v="Advanced"/>
    <s v="Needs Improvement"/>
    <x v="1"/>
    <n v="49"/>
    <s v="Needs Improvement"/>
    <x v="1"/>
    <s v="Personality &amp; Communication"/>
    <s v="Work on communication and personality development"/>
  </r>
  <r>
    <n v="50"/>
    <n v="0"/>
    <n v="2"/>
    <n v="8"/>
    <n v="4"/>
    <n v="21.151565564136799"/>
    <n v="97"/>
    <n v="38"/>
    <n v="14"/>
    <n v="3"/>
    <n v="0"/>
    <s v="C186"/>
    <s v="Male"/>
    <s v="Bachelor's Type 2"/>
    <s v="Senior Level"/>
    <s v="Strong"/>
    <s v="Beginner"/>
    <s v="Needs Improvement"/>
    <x v="1"/>
    <n v="54"/>
    <s v="Developing"/>
    <x v="2"/>
    <s v="Personality &amp; Communication"/>
    <s v="Work on communication and personality development"/>
  </r>
  <r>
    <n v="33"/>
    <n v="0"/>
    <n v="1"/>
    <n v="13"/>
    <n v="1"/>
    <n v="32.727823387076199"/>
    <n v="73"/>
    <n v="83"/>
    <n v="35"/>
    <n v="1"/>
    <n v="1"/>
    <s v="C187"/>
    <s v="Male"/>
    <s v="Bachelor's Type 1"/>
    <s v="Senior Level"/>
    <s v="Average"/>
    <s v="Advanced"/>
    <s v="Needs Improvement"/>
    <x v="0"/>
    <n v="69"/>
    <s v="Developing"/>
    <x v="1"/>
    <s v="Personality &amp; Communication"/>
    <s v="Work on communication and personality development"/>
  </r>
  <r>
    <n v="26"/>
    <n v="1"/>
    <n v="2"/>
    <n v="4"/>
    <n v="4"/>
    <n v="32.059316109704099"/>
    <n v="73"/>
    <n v="71"/>
    <n v="12"/>
    <n v="1"/>
    <n v="1"/>
    <s v="C188"/>
    <s v="Female"/>
    <s v="Bachelor's Type 2"/>
    <s v="Mid Level"/>
    <s v="Average"/>
    <s v="Intermediate"/>
    <s v="Needs Improvement"/>
    <x v="0"/>
    <n v="52"/>
    <s v="Developing"/>
    <x v="2"/>
    <s v="Personality &amp; Communication"/>
    <s v="Work on communication and personality development"/>
  </r>
  <r>
    <n v="46"/>
    <n v="1"/>
    <n v="2"/>
    <n v="10"/>
    <n v="2"/>
    <n v="7.0373317948340004"/>
    <n v="69"/>
    <n v="41"/>
    <n v="90"/>
    <n v="1"/>
    <n v="1"/>
    <s v="C189"/>
    <s v="Female"/>
    <s v="Bachelor's Type 2"/>
    <s v="Senior Level"/>
    <s v="Average"/>
    <s v="Beginner"/>
    <s v="Strong"/>
    <x v="0"/>
    <n v="64"/>
    <s v="Developing"/>
    <x v="0"/>
    <s v="Technical Skills"/>
    <s v="Strengthen technical skills and practical knowledge"/>
  </r>
  <r>
    <n v="28"/>
    <n v="1"/>
    <n v="3"/>
    <n v="15"/>
    <n v="5"/>
    <n v="49.848277306331099"/>
    <n v="99"/>
    <n v="100"/>
    <n v="43"/>
    <n v="2"/>
    <n v="1"/>
    <s v="C190"/>
    <s v="Female"/>
    <s v="Master's"/>
    <s v="Senior Level"/>
    <s v="Strong"/>
    <s v="Advanced"/>
    <s v="Needs Improvement"/>
    <x v="0"/>
    <n v="87"/>
    <s v="Job Ready"/>
    <x v="1"/>
    <s v="Personality &amp; Communication"/>
    <s v="Work on communication and personality development"/>
  </r>
  <r>
    <n v="34"/>
    <n v="0"/>
    <n v="2"/>
    <n v="1"/>
    <n v="1"/>
    <n v="10.3465714720723"/>
    <n v="87"/>
    <n v="8"/>
    <n v="100"/>
    <n v="1"/>
    <n v="1"/>
    <s v="C191"/>
    <s v="Male"/>
    <s v="Bachelor's Type 2"/>
    <s v="Entry Level"/>
    <s v="Strong"/>
    <s v="Beginner"/>
    <s v="Strong"/>
    <x v="0"/>
    <n v="52"/>
    <s v="Developing"/>
    <x v="0"/>
    <s v="Technical Skills"/>
    <s v="Strengthen technical skills and practical knowledge"/>
  </r>
  <r>
    <n v="34"/>
    <n v="1"/>
    <n v="2"/>
    <n v="7"/>
    <n v="2"/>
    <n v="23.2637012382352"/>
    <n v="75"/>
    <n v="24"/>
    <n v="70"/>
    <n v="3"/>
    <n v="0"/>
    <s v="C192"/>
    <s v="Female"/>
    <s v="Bachelor's Type 2"/>
    <s v="Senior Level"/>
    <s v="Strong"/>
    <s v="Beginner"/>
    <s v="Good"/>
    <x v="1"/>
    <n v="53"/>
    <s v="Developing"/>
    <x v="2"/>
    <s v="Technical Skills"/>
    <s v="Strengthen technical skills and practical knowledge"/>
  </r>
  <r>
    <n v="45"/>
    <n v="1"/>
    <n v="2"/>
    <n v="10"/>
    <n v="2"/>
    <n v="25.405877171686701"/>
    <n v="42"/>
    <n v="88"/>
    <n v="71"/>
    <n v="1"/>
    <n v="1"/>
    <s v="C193"/>
    <s v="Female"/>
    <s v="Bachelor's Type 2"/>
    <s v="Senior Level"/>
    <s v="Low"/>
    <s v="Advanced"/>
    <s v="Good"/>
    <x v="0"/>
    <n v="66"/>
    <s v="Developing"/>
    <x v="1"/>
    <s v="Interview Preparation"/>
    <s v="Improve interview preparation and communication"/>
  </r>
  <r>
    <n v="29"/>
    <n v="1"/>
    <n v="1"/>
    <n v="12"/>
    <n v="1"/>
    <n v="41.653139860705998"/>
    <n v="22"/>
    <n v="96"/>
    <n v="100"/>
    <n v="2"/>
    <n v="0"/>
    <s v="C194"/>
    <s v="Female"/>
    <s v="Bachelor's Type 1"/>
    <s v="Senior Level"/>
    <s v="Low"/>
    <s v="Advanced"/>
    <s v="Strong"/>
    <x v="1"/>
    <n v="70"/>
    <s v="Developing"/>
    <x v="0"/>
    <s v="Interview Preparation"/>
    <s v="Improve interview preparation and communication"/>
  </r>
  <r>
    <n v="47"/>
    <n v="0"/>
    <n v="1"/>
    <n v="1"/>
    <n v="2"/>
    <n v="5.9614798047323303"/>
    <n v="26"/>
    <n v="1"/>
    <n v="77"/>
    <n v="3"/>
    <n v="0"/>
    <s v="C195"/>
    <s v="Male"/>
    <s v="Bachelor's Type 1"/>
    <s v="Entry Level"/>
    <s v="Low"/>
    <s v="Beginner"/>
    <s v="Strong"/>
    <x v="1"/>
    <n v="27"/>
    <s v="Needs Improvement"/>
    <x v="0"/>
    <s v="Technical Skills"/>
    <s v="Strengthen technical skills and practical knowledge"/>
  </r>
  <r>
    <n v="32"/>
    <n v="0"/>
    <n v="3"/>
    <n v="2"/>
    <n v="1"/>
    <n v="22.432213960426498"/>
    <n v="57"/>
    <n v="18"/>
    <n v="75"/>
    <n v="1"/>
    <n v="1"/>
    <s v="C196"/>
    <s v="Male"/>
    <s v="Master's"/>
    <s v="Entry Level"/>
    <s v="Average"/>
    <s v="Beginner"/>
    <s v="Strong"/>
    <x v="0"/>
    <n v="43"/>
    <s v="Needs Improvement"/>
    <x v="0"/>
    <s v="Technical Skills"/>
    <s v="Strengthen technical skills and practical knowledge"/>
  </r>
  <r>
    <n v="38"/>
    <n v="0"/>
    <n v="2"/>
    <n v="13"/>
    <n v="1"/>
    <n v="32.425108511810102"/>
    <n v="36"/>
    <n v="19"/>
    <n v="35"/>
    <n v="1"/>
    <n v="0"/>
    <s v="C197"/>
    <s v="Male"/>
    <s v="Bachelor's Type 2"/>
    <s v="Senior Level"/>
    <s v="Low"/>
    <s v="Beginner"/>
    <s v="Needs Improvement"/>
    <x v="1"/>
    <n v="39"/>
    <s v="Needs Improvement"/>
    <x v="2"/>
    <s v="Technical Skills"/>
    <s v="Strengthen technical skills and practical knowledge"/>
  </r>
  <r>
    <n v="50"/>
    <n v="1"/>
    <n v="1"/>
    <n v="9"/>
    <n v="3"/>
    <n v="11.757781081202699"/>
    <n v="5"/>
    <n v="92"/>
    <n v="60"/>
    <n v="2"/>
    <n v="0"/>
    <s v="C198"/>
    <s v="Female"/>
    <s v="Bachelor's Type 1"/>
    <s v="Senior Level"/>
    <s v="Low"/>
    <s v="Advanced"/>
    <s v="Good"/>
    <x v="1"/>
    <n v="53"/>
    <s v="Developing"/>
    <x v="1"/>
    <s v="Interview Preparation"/>
    <s v="Improve interview preparation and communication"/>
  </r>
  <r>
    <n v="26"/>
    <n v="1"/>
    <n v="2"/>
    <n v="0"/>
    <n v="4"/>
    <n v="32.373394938303598"/>
    <n v="64"/>
    <n v="69"/>
    <n v="80"/>
    <n v="1"/>
    <n v="1"/>
    <s v="C199"/>
    <s v="Female"/>
    <s v="Bachelor's Type 2"/>
    <s v="Entry Level"/>
    <s v="Average"/>
    <s v="Intermediate"/>
    <s v="Strong"/>
    <x v="0"/>
    <n v="58"/>
    <s v="Developing"/>
    <x v="0"/>
    <s v="Interview Preparation"/>
    <s v="Improve interview preparation and communication"/>
  </r>
  <r>
    <n v="36"/>
    <n v="1"/>
    <n v="2"/>
    <n v="10"/>
    <n v="2"/>
    <n v="47.183241877482601"/>
    <n v="5"/>
    <n v="16"/>
    <n v="39"/>
    <n v="1"/>
    <n v="0"/>
    <s v="C200"/>
    <s v="Female"/>
    <s v="Bachelor's Type 2"/>
    <s v="Senior Level"/>
    <s v="Low"/>
    <s v="Beginner"/>
    <s v="Needs Improvement"/>
    <x v="1"/>
    <n v="27"/>
    <s v="Needs Improvement"/>
    <x v="0"/>
    <s v="Interview Preparation"/>
    <s v="Improve interview preparation and communication"/>
  </r>
  <r>
    <n v="39"/>
    <n v="0"/>
    <n v="2"/>
    <n v="15"/>
    <n v="2"/>
    <n v="50.875906558633702"/>
    <n v="49"/>
    <n v="88"/>
    <n v="92"/>
    <n v="1"/>
    <n v="1"/>
    <s v="C201"/>
    <s v="Male"/>
    <s v="Bachelor's Type 2"/>
    <s v="Senior Level"/>
    <s v="Low"/>
    <s v="Advanced"/>
    <s v="Strong"/>
    <x v="0"/>
    <n v="77"/>
    <s v="Job Ready"/>
    <x v="0"/>
    <s v="Interview Preparation"/>
    <s v="Improve interview preparation and communication"/>
  </r>
  <r>
    <n v="48"/>
    <n v="0"/>
    <n v="2"/>
    <n v="1"/>
    <n v="3"/>
    <n v="2.6225538395337802"/>
    <n v="21"/>
    <n v="67"/>
    <n v="26"/>
    <n v="2"/>
    <n v="0"/>
    <s v="C202"/>
    <s v="Male"/>
    <s v="Bachelor's Type 2"/>
    <s v="Entry Level"/>
    <s v="Low"/>
    <s v="Intermediate"/>
    <s v="Needs Improvement"/>
    <x v="1"/>
    <n v="35"/>
    <s v="Needs Improvement"/>
    <x v="1"/>
    <s v="Interview Preparation"/>
    <s v="Improve interview preparation and communication"/>
  </r>
  <r>
    <n v="23"/>
    <n v="1"/>
    <n v="2"/>
    <n v="13"/>
    <n v="3"/>
    <n v="12.779411412233801"/>
    <n v="87"/>
    <n v="93"/>
    <n v="0"/>
    <n v="3"/>
    <n v="0"/>
    <s v="C203"/>
    <s v="Female"/>
    <s v="Bachelor's Type 2"/>
    <s v="Senior Level"/>
    <s v="Strong"/>
    <s v="Advanced"/>
    <s v="Needs Improvement"/>
    <x v="1"/>
    <n v="70"/>
    <s v="Developing"/>
    <x v="1"/>
    <s v="Personality &amp; Communication"/>
    <s v="Work on communication and personality development"/>
  </r>
  <r>
    <n v="49"/>
    <n v="0"/>
    <n v="2"/>
    <n v="15"/>
    <n v="3"/>
    <n v="16.515355789584799"/>
    <n v="24"/>
    <n v="83"/>
    <n v="33"/>
    <n v="3"/>
    <n v="0"/>
    <s v="C204"/>
    <s v="Male"/>
    <s v="Bachelor's Type 2"/>
    <s v="Senior Level"/>
    <s v="Low"/>
    <s v="Advanced"/>
    <s v="Needs Improvement"/>
    <x v="1"/>
    <n v="56"/>
    <s v="Developing"/>
    <x v="1"/>
    <s v="Interview Preparation"/>
    <s v="Improve interview preparation and communication"/>
  </r>
  <r>
    <n v="24"/>
    <n v="0"/>
    <n v="1"/>
    <n v="6"/>
    <n v="5"/>
    <n v="20.956305022248301"/>
    <n v="78"/>
    <n v="2"/>
    <n v="67"/>
    <n v="1"/>
    <n v="1"/>
    <s v="C205"/>
    <s v="Male"/>
    <s v="Bachelor's Type 1"/>
    <s v="Mid Level"/>
    <s v="Strong"/>
    <s v="Beginner"/>
    <s v="Good"/>
    <x v="0"/>
    <n v="46"/>
    <s v="Needs Improvement"/>
    <x v="2"/>
    <s v="Technical Skills"/>
    <s v="Strengthen technical skills and practical knowledge"/>
  </r>
  <r>
    <n v="42"/>
    <n v="0"/>
    <n v="2"/>
    <n v="9"/>
    <n v="5"/>
    <n v="13.1128578792383"/>
    <n v="89"/>
    <n v="86"/>
    <n v="87"/>
    <n v="2"/>
    <n v="1"/>
    <s v="C206"/>
    <s v="Male"/>
    <s v="Bachelor's Type 2"/>
    <s v="Senior Level"/>
    <s v="Strong"/>
    <s v="Advanced"/>
    <s v="Strong"/>
    <x v="0"/>
    <n v="81"/>
    <s v="Job Ready"/>
    <x v="2"/>
    <s v="Technical Skills"/>
    <s v="Strengthen technical skills and practical knowledge"/>
  </r>
  <r>
    <n v="26"/>
    <n v="0"/>
    <n v="3"/>
    <n v="1"/>
    <n v="5"/>
    <n v="11.1743997277656"/>
    <n v="71"/>
    <n v="50"/>
    <n v="20"/>
    <n v="2"/>
    <n v="0"/>
    <s v="C207"/>
    <s v="Male"/>
    <s v="Master's"/>
    <s v="Entry Level"/>
    <s v="Average"/>
    <s v="Intermediate"/>
    <s v="Needs Improvement"/>
    <x v="1"/>
    <n v="45"/>
    <s v="Needs Improvement"/>
    <x v="2"/>
    <s v="Personality &amp; Communication"/>
    <s v="Work on communication and personality development"/>
  </r>
  <r>
    <n v="32"/>
    <n v="1"/>
    <n v="3"/>
    <n v="5"/>
    <n v="1"/>
    <n v="48.727692120874998"/>
    <n v="50"/>
    <n v="81"/>
    <n v="32"/>
    <n v="3"/>
    <n v="0"/>
    <s v="C208"/>
    <s v="Female"/>
    <s v="Master's"/>
    <s v="Mid Level"/>
    <s v="Average"/>
    <s v="Advanced"/>
    <s v="Needs Improvement"/>
    <x v="1"/>
    <n v="54"/>
    <s v="Developing"/>
    <x v="1"/>
    <s v="Personality &amp; Communication"/>
    <s v="Work on communication and personality development"/>
  </r>
  <r>
    <n v="34"/>
    <n v="0"/>
    <n v="3"/>
    <n v="14"/>
    <n v="2"/>
    <n v="46.926080138525798"/>
    <n v="87"/>
    <n v="25"/>
    <n v="6"/>
    <n v="1"/>
    <n v="1"/>
    <s v="C209"/>
    <s v="Male"/>
    <s v="Master's"/>
    <s v="Senior Level"/>
    <s v="Strong"/>
    <s v="Beginner"/>
    <s v="Needs Improvement"/>
    <x v="0"/>
    <n v="53"/>
    <s v="Developing"/>
    <x v="2"/>
    <s v="Personality &amp; Communication"/>
    <s v="Work on communication and personality development"/>
  </r>
  <r>
    <n v="30"/>
    <n v="0"/>
    <n v="2"/>
    <n v="2"/>
    <n v="4"/>
    <n v="3.3496250501558702"/>
    <n v="47"/>
    <n v="55"/>
    <n v="64"/>
    <n v="2"/>
    <n v="0"/>
    <s v="C210"/>
    <s v="Male"/>
    <s v="Bachelor's Type 2"/>
    <s v="Entry Level"/>
    <s v="Low"/>
    <s v="Intermediate"/>
    <s v="Good"/>
    <x v="1"/>
    <n v="48"/>
    <s v="Needs Improvement"/>
    <x v="0"/>
    <s v="Interview Preparation"/>
    <s v="Improve interview preparation and communication"/>
  </r>
  <r>
    <n v="48"/>
    <n v="0"/>
    <n v="2"/>
    <n v="3"/>
    <n v="1"/>
    <n v="17.9406510802424"/>
    <n v="69"/>
    <n v="99"/>
    <n v="2"/>
    <n v="2"/>
    <n v="0"/>
    <s v="C211"/>
    <s v="Male"/>
    <s v="Bachelor's Type 2"/>
    <s v="Mid Level"/>
    <s v="Average"/>
    <s v="Advanced"/>
    <s v="Needs Improvement"/>
    <x v="1"/>
    <n v="56"/>
    <s v="Developing"/>
    <x v="1"/>
    <s v="Personality &amp; Communication"/>
    <s v="Work on communication and personality development"/>
  </r>
  <r>
    <n v="23"/>
    <n v="0"/>
    <n v="2"/>
    <n v="10"/>
    <n v="2"/>
    <n v="21.257427683920302"/>
    <n v="98"/>
    <n v="63"/>
    <n v="50"/>
    <n v="3"/>
    <n v="0"/>
    <s v="C212"/>
    <s v="Male"/>
    <s v="Bachelor's Type 2"/>
    <s v="Senior Level"/>
    <s v="Strong"/>
    <s v="Intermediate"/>
    <s v="Good"/>
    <x v="1"/>
    <n v="71"/>
    <s v="Developing"/>
    <x v="2"/>
    <s v="Personality &amp; Communication"/>
    <s v="Work on communication and personality development"/>
  </r>
  <r>
    <n v="32"/>
    <n v="1"/>
    <n v="2"/>
    <n v="14"/>
    <n v="2"/>
    <n v="12.950726733297101"/>
    <n v="64"/>
    <n v="7"/>
    <n v="78"/>
    <n v="1"/>
    <n v="1"/>
    <s v="C213"/>
    <s v="Female"/>
    <s v="Bachelor's Type 2"/>
    <s v="Senior Level"/>
    <s v="Average"/>
    <s v="Beginner"/>
    <s v="Strong"/>
    <x v="0"/>
    <n v="53"/>
    <s v="Developing"/>
    <x v="0"/>
    <s v="Technical Skills"/>
    <s v="Strengthen technical skills and practical knowledge"/>
  </r>
  <r>
    <n v="26"/>
    <n v="1"/>
    <n v="2"/>
    <n v="12"/>
    <n v="3"/>
    <n v="32.443644849408699"/>
    <n v="59"/>
    <n v="80"/>
    <n v="94"/>
    <n v="1"/>
    <n v="1"/>
    <s v="C214"/>
    <s v="Female"/>
    <s v="Bachelor's Type 2"/>
    <s v="Senior Level"/>
    <s v="Average"/>
    <s v="Advanced"/>
    <s v="Strong"/>
    <x v="0"/>
    <n v="75"/>
    <s v="Job Ready"/>
    <x v="0"/>
    <s v="Interview Preparation"/>
    <s v="Improve interview preparation and communication"/>
  </r>
  <r>
    <n v="46"/>
    <n v="0"/>
    <n v="1"/>
    <n v="7"/>
    <n v="3"/>
    <n v="33.019037332212001"/>
    <n v="45"/>
    <n v="94"/>
    <n v="53"/>
    <n v="1"/>
    <n v="1"/>
    <s v="C215"/>
    <s v="Male"/>
    <s v="Bachelor's Type 1"/>
    <s v="Senior Level"/>
    <s v="Low"/>
    <s v="Advanced"/>
    <s v="Good"/>
    <x v="0"/>
    <n v="62"/>
    <s v="Developing"/>
    <x v="1"/>
    <s v="Interview Preparation"/>
    <s v="Improve interview preparation and communication"/>
  </r>
  <r>
    <n v="38"/>
    <n v="0"/>
    <n v="2"/>
    <n v="13"/>
    <n v="1"/>
    <n v="43.525211416429798"/>
    <n v="35"/>
    <n v="36"/>
    <n v="79"/>
    <n v="1"/>
    <n v="1"/>
    <s v="C216"/>
    <s v="Male"/>
    <s v="Bachelor's Type 2"/>
    <s v="Senior Level"/>
    <s v="Low"/>
    <s v="Beginner"/>
    <s v="Strong"/>
    <x v="0"/>
    <n v="53"/>
    <s v="Developing"/>
    <x v="0"/>
    <s v="Interview Preparation"/>
    <s v="Improve interview preparation and communication"/>
  </r>
  <r>
    <n v="41"/>
    <n v="0"/>
    <n v="4"/>
    <n v="2"/>
    <n v="3"/>
    <n v="38.043463419260803"/>
    <n v="57"/>
    <n v="96"/>
    <n v="73"/>
    <n v="2"/>
    <n v="0"/>
    <s v="C217"/>
    <s v="Male"/>
    <s v="PhD"/>
    <s v="Entry Level"/>
    <s v="Average"/>
    <s v="Advanced"/>
    <s v="Good"/>
    <x v="1"/>
    <n v="68"/>
    <s v="Developing"/>
    <x v="1"/>
    <s v="Interview Preparation"/>
    <s v="Improve interview preparation and communication"/>
  </r>
  <r>
    <n v="47"/>
    <n v="0"/>
    <n v="2"/>
    <n v="9"/>
    <n v="2"/>
    <n v="28.128666348297699"/>
    <n v="75"/>
    <n v="26"/>
    <n v="92"/>
    <n v="2"/>
    <n v="0"/>
    <s v="C218"/>
    <s v="Male"/>
    <s v="Bachelor's Type 2"/>
    <s v="Senior Level"/>
    <s v="Strong"/>
    <s v="Beginner"/>
    <s v="Strong"/>
    <x v="1"/>
    <n v="60"/>
    <s v="Developing"/>
    <x v="0"/>
    <s v="Technical Skills"/>
    <s v="Strengthen technical skills and practical knowledge"/>
  </r>
  <r>
    <n v="21"/>
    <n v="0"/>
    <n v="1"/>
    <n v="5"/>
    <n v="3"/>
    <n v="33.679338502220901"/>
    <n v="37"/>
    <n v="44"/>
    <n v="58"/>
    <n v="2"/>
    <n v="0"/>
    <s v="C219"/>
    <s v="Male"/>
    <s v="Bachelor's Type 1"/>
    <s v="Mid Level"/>
    <s v="Low"/>
    <s v="Beginner"/>
    <s v="Good"/>
    <x v="1"/>
    <n v="43"/>
    <s v="Needs Improvement"/>
    <x v="0"/>
    <s v="Interview Preparation"/>
    <s v="Improve interview preparation and communication"/>
  </r>
  <r>
    <n v="29"/>
    <n v="0"/>
    <n v="2"/>
    <n v="0"/>
    <n v="5"/>
    <n v="14.699439077150901"/>
    <n v="10"/>
    <n v="3"/>
    <n v="5"/>
    <n v="1"/>
    <n v="0"/>
    <s v="C220"/>
    <s v="Male"/>
    <s v="Bachelor's Type 2"/>
    <s v="Entry Level"/>
    <s v="Low"/>
    <s v="Beginner"/>
    <s v="Needs Improvement"/>
    <x v="1"/>
    <n v="7"/>
    <s v="Needs Improvement"/>
    <x v="2"/>
    <s v="Technical Skills"/>
    <s v="Strengthen technical skills and practical knowledge"/>
  </r>
  <r>
    <n v="32"/>
    <n v="1"/>
    <n v="3"/>
    <n v="6"/>
    <n v="3"/>
    <n v="30.652809498367802"/>
    <n v="11"/>
    <n v="85"/>
    <n v="28"/>
    <n v="1"/>
    <n v="1"/>
    <s v="C221"/>
    <s v="Female"/>
    <s v="Master's"/>
    <s v="Mid Level"/>
    <s v="Low"/>
    <s v="Advanced"/>
    <s v="Needs Improvement"/>
    <x v="0"/>
    <n v="44"/>
    <s v="Needs Improvement"/>
    <x v="1"/>
    <s v="Interview Preparation"/>
    <s v="Improve interview preparation and communication"/>
  </r>
  <r>
    <n v="49"/>
    <n v="0"/>
    <n v="2"/>
    <n v="7"/>
    <n v="2"/>
    <n v="25.4613627374959"/>
    <n v="41"/>
    <n v="89"/>
    <n v="16"/>
    <n v="1"/>
    <n v="1"/>
    <s v="C222"/>
    <s v="Male"/>
    <s v="Bachelor's Type 2"/>
    <s v="Senior Level"/>
    <s v="Low"/>
    <s v="Advanced"/>
    <s v="Needs Improvement"/>
    <x v="0"/>
    <n v="52"/>
    <s v="Developing"/>
    <x v="1"/>
    <s v="Personality &amp; Communication"/>
    <s v="Work on communication and personality development"/>
  </r>
  <r>
    <n v="44"/>
    <n v="1"/>
    <n v="2"/>
    <n v="10"/>
    <n v="1"/>
    <n v="7.6672233658185203"/>
    <n v="38"/>
    <n v="95"/>
    <n v="59"/>
    <n v="1"/>
    <n v="1"/>
    <s v="C223"/>
    <s v="Female"/>
    <s v="Bachelor's Type 2"/>
    <s v="Senior Level"/>
    <s v="Low"/>
    <s v="Advanced"/>
    <s v="Good"/>
    <x v="0"/>
    <n v="64"/>
    <s v="Developing"/>
    <x v="1"/>
    <s v="Interview Preparation"/>
    <s v="Improve interview preparation and communication"/>
  </r>
  <r>
    <n v="40"/>
    <n v="1"/>
    <n v="1"/>
    <n v="13"/>
    <n v="4"/>
    <n v="13.1272138291485"/>
    <n v="70"/>
    <n v="87"/>
    <n v="21"/>
    <n v="2"/>
    <n v="0"/>
    <s v="C224"/>
    <s v="Female"/>
    <s v="Bachelor's Type 1"/>
    <s v="Senior Level"/>
    <s v="Average"/>
    <s v="Advanced"/>
    <s v="Needs Improvement"/>
    <x v="1"/>
    <n v="67"/>
    <s v="Developing"/>
    <x v="1"/>
    <s v="Personality &amp; Communication"/>
    <s v="Work on communication and personality development"/>
  </r>
  <r>
    <n v="25"/>
    <n v="0"/>
    <n v="2"/>
    <n v="7"/>
    <n v="3"/>
    <n v="15.584672536079299"/>
    <n v="10"/>
    <n v="98"/>
    <n v="23"/>
    <n v="1"/>
    <n v="1"/>
    <s v="C225"/>
    <s v="Male"/>
    <s v="Bachelor's Type 2"/>
    <s v="Senior Level"/>
    <s v="Low"/>
    <s v="Advanced"/>
    <s v="Needs Improvement"/>
    <x v="0"/>
    <n v="47"/>
    <s v="Needs Improvement"/>
    <x v="1"/>
    <s v="Interview Preparation"/>
    <s v="Improve interview preparation and communication"/>
  </r>
  <r>
    <n v="47"/>
    <n v="1"/>
    <n v="2"/>
    <n v="2"/>
    <n v="2"/>
    <n v="47.215478352627898"/>
    <n v="35"/>
    <n v="36"/>
    <n v="80"/>
    <n v="1"/>
    <n v="0"/>
    <s v="C226"/>
    <s v="Female"/>
    <s v="Bachelor's Type 2"/>
    <s v="Entry Level"/>
    <s v="Low"/>
    <s v="Beginner"/>
    <s v="Strong"/>
    <x v="1"/>
    <n v="42"/>
    <s v="Needs Improvement"/>
    <x v="0"/>
    <s v="Interview Preparation"/>
    <s v="Improve interview preparation and communication"/>
  </r>
  <r>
    <n v="47"/>
    <n v="1"/>
    <n v="3"/>
    <n v="13"/>
    <n v="4"/>
    <n v="12.519331969294401"/>
    <n v="51"/>
    <n v="95"/>
    <n v="84"/>
    <n v="2"/>
    <n v="1"/>
    <s v="C227"/>
    <s v="Female"/>
    <s v="Master's"/>
    <s v="Senior Level"/>
    <s v="Average"/>
    <s v="Advanced"/>
    <s v="Strong"/>
    <x v="0"/>
    <n v="77"/>
    <s v="Job Ready"/>
    <x v="1"/>
    <s v="Interview Preparation"/>
    <s v="Improve interview preparation and communication"/>
  </r>
  <r>
    <n v="31"/>
    <n v="1"/>
    <n v="2"/>
    <n v="9"/>
    <n v="4"/>
    <n v="15.4621951409834"/>
    <n v="30"/>
    <n v="70"/>
    <n v="50"/>
    <n v="2"/>
    <n v="0"/>
    <s v="C228"/>
    <s v="Female"/>
    <s v="Bachelor's Type 2"/>
    <s v="Senior Level"/>
    <s v="Low"/>
    <s v="Intermediate"/>
    <s v="Good"/>
    <x v="1"/>
    <n v="52"/>
    <s v="Developing"/>
    <x v="1"/>
    <s v="Interview Preparation"/>
    <s v="Improve interview preparation and communication"/>
  </r>
  <r>
    <n v="31"/>
    <n v="1"/>
    <n v="1"/>
    <n v="0"/>
    <n v="5"/>
    <n v="19.4677065044716"/>
    <n v="32"/>
    <n v="32"/>
    <n v="49"/>
    <n v="2"/>
    <n v="0"/>
    <s v="C229"/>
    <s v="Female"/>
    <s v="Bachelor's Type 1"/>
    <s v="Entry Level"/>
    <s v="Low"/>
    <s v="Beginner"/>
    <s v="Needs Improvement"/>
    <x v="1"/>
    <n v="32"/>
    <s v="Needs Improvement"/>
    <x v="0"/>
    <s v="Interview Preparation"/>
    <s v="Improve interview preparation and communication"/>
  </r>
  <r>
    <n v="39"/>
    <n v="1"/>
    <n v="1"/>
    <n v="8"/>
    <n v="4"/>
    <n v="34.187136931269301"/>
    <n v="12"/>
    <n v="30"/>
    <n v="10"/>
    <n v="3"/>
    <n v="0"/>
    <s v="C230"/>
    <s v="Female"/>
    <s v="Bachelor's Type 1"/>
    <s v="Senior Level"/>
    <s v="Low"/>
    <s v="Beginner"/>
    <s v="Needs Improvement"/>
    <x v="1"/>
    <n v="25"/>
    <s v="Needs Improvement"/>
    <x v="1"/>
    <s v="Personality &amp; Communication"/>
    <s v="Work on communication and personality development"/>
  </r>
  <r>
    <n v="49"/>
    <n v="1"/>
    <n v="1"/>
    <n v="12"/>
    <n v="2"/>
    <n v="6.9119196236070204"/>
    <n v="17"/>
    <n v="54"/>
    <n v="55"/>
    <n v="1"/>
    <n v="1"/>
    <s v="C231"/>
    <s v="Female"/>
    <s v="Bachelor's Type 1"/>
    <s v="Senior Level"/>
    <s v="Low"/>
    <s v="Intermediate"/>
    <s v="Good"/>
    <x v="0"/>
    <n v="47"/>
    <s v="Needs Improvement"/>
    <x v="0"/>
    <s v="Interview Preparation"/>
    <s v="Improve interview preparation and communication"/>
  </r>
  <r>
    <n v="49"/>
    <n v="0"/>
    <n v="2"/>
    <n v="5"/>
    <n v="2"/>
    <n v="48.697260624688802"/>
    <n v="40"/>
    <n v="11"/>
    <n v="70"/>
    <n v="2"/>
    <n v="0"/>
    <s v="C232"/>
    <s v="Male"/>
    <s v="Bachelor's Type 2"/>
    <s v="Mid Level"/>
    <s v="Low"/>
    <s v="Beginner"/>
    <s v="Good"/>
    <x v="1"/>
    <n v="37"/>
    <s v="Needs Improvement"/>
    <x v="0"/>
    <s v="Technical Skills"/>
    <s v="Strengthen technical skills and practical knowledge"/>
  </r>
  <r>
    <n v="30"/>
    <n v="1"/>
    <n v="2"/>
    <n v="10"/>
    <n v="3"/>
    <n v="44.278561004738201"/>
    <n v="57"/>
    <n v="10"/>
    <n v="41"/>
    <n v="2"/>
    <n v="0"/>
    <s v="C233"/>
    <s v="Female"/>
    <s v="Bachelor's Type 2"/>
    <s v="Senior Level"/>
    <s v="Average"/>
    <s v="Beginner"/>
    <s v="Needs Improvement"/>
    <x v="1"/>
    <n v="41"/>
    <s v="Needs Improvement"/>
    <x v="2"/>
    <s v="Technical Skills"/>
    <s v="Strengthen technical skills and practical knowledge"/>
  </r>
  <r>
    <n v="45"/>
    <n v="1"/>
    <n v="2"/>
    <n v="8"/>
    <n v="3"/>
    <n v="29.860803650447501"/>
    <n v="55"/>
    <n v="87"/>
    <n v="38"/>
    <n v="2"/>
    <n v="0"/>
    <s v="C234"/>
    <s v="Female"/>
    <s v="Bachelor's Type 2"/>
    <s v="Senior Level"/>
    <s v="Average"/>
    <s v="Advanced"/>
    <s v="Needs Improvement"/>
    <x v="1"/>
    <n v="61"/>
    <s v="Developing"/>
    <x v="1"/>
    <s v="Personality &amp; Communication"/>
    <s v="Work on communication and personality development"/>
  </r>
  <r>
    <n v="42"/>
    <n v="1"/>
    <n v="2"/>
    <n v="6"/>
    <n v="3"/>
    <n v="34.701893371247799"/>
    <n v="23"/>
    <n v="71"/>
    <n v="68"/>
    <n v="3"/>
    <n v="0"/>
    <s v="C235"/>
    <s v="Female"/>
    <s v="Bachelor's Type 2"/>
    <s v="Mid Level"/>
    <s v="Low"/>
    <s v="Intermediate"/>
    <s v="Good"/>
    <x v="1"/>
    <n v="50"/>
    <s v="Developing"/>
    <x v="1"/>
    <s v="Interview Preparation"/>
    <s v="Improve interview preparation and communication"/>
  </r>
  <r>
    <n v="47"/>
    <n v="0"/>
    <n v="2"/>
    <n v="0"/>
    <n v="4"/>
    <n v="1.83302356221079"/>
    <n v="72"/>
    <n v="31"/>
    <n v="47"/>
    <n v="1"/>
    <n v="0"/>
    <s v="C236"/>
    <s v="Male"/>
    <s v="Bachelor's Type 2"/>
    <s v="Entry Level"/>
    <s v="Average"/>
    <s v="Beginner"/>
    <s v="Needs Improvement"/>
    <x v="1"/>
    <n v="43"/>
    <s v="Needs Improvement"/>
    <x v="2"/>
    <s v="Technical Skills"/>
    <s v="Strengthen technical skills and practical knowledge"/>
  </r>
  <r>
    <n v="44"/>
    <n v="1"/>
    <n v="1"/>
    <n v="11"/>
    <n v="4"/>
    <n v="17.947238767422402"/>
    <n v="30"/>
    <n v="56"/>
    <n v="56"/>
    <n v="2"/>
    <n v="0"/>
    <s v="C237"/>
    <s v="Female"/>
    <s v="Bachelor's Type 1"/>
    <s v="Senior Level"/>
    <s v="Low"/>
    <s v="Intermediate"/>
    <s v="Good"/>
    <x v="1"/>
    <n v="51"/>
    <s v="Developing"/>
    <x v="1"/>
    <s v="Interview Preparation"/>
    <s v="Improve interview preparation and communication"/>
  </r>
  <r>
    <n v="26"/>
    <n v="0"/>
    <n v="1"/>
    <n v="11"/>
    <n v="5"/>
    <n v="40.783011533072099"/>
    <n v="54"/>
    <n v="37"/>
    <n v="20"/>
    <n v="1"/>
    <n v="0"/>
    <s v="C238"/>
    <s v="Male"/>
    <s v="Bachelor's Type 1"/>
    <s v="Senior Level"/>
    <s v="Average"/>
    <s v="Beginner"/>
    <s v="Needs Improvement"/>
    <x v="1"/>
    <n v="45"/>
    <s v="Needs Improvement"/>
    <x v="2"/>
    <s v="Personality &amp; Communication"/>
    <s v="Work on communication and personality development"/>
  </r>
  <r>
    <n v="49"/>
    <n v="1"/>
    <n v="3"/>
    <n v="0"/>
    <n v="3"/>
    <n v="4.8741486896192896"/>
    <n v="9"/>
    <n v="59"/>
    <n v="81"/>
    <n v="2"/>
    <n v="0"/>
    <s v="C239"/>
    <s v="Female"/>
    <s v="Master's"/>
    <s v="Entry Level"/>
    <s v="Low"/>
    <s v="Intermediate"/>
    <s v="Strong"/>
    <x v="1"/>
    <n v="40"/>
    <s v="Needs Improvement"/>
    <x v="0"/>
    <s v="Interview Preparation"/>
    <s v="Improve interview preparation and communication"/>
  </r>
  <r>
    <n v="20"/>
    <n v="0"/>
    <n v="2"/>
    <n v="5"/>
    <n v="1"/>
    <n v="15.115691710536"/>
    <n v="59"/>
    <n v="85"/>
    <n v="98"/>
    <n v="2"/>
    <n v="0"/>
    <s v="C240"/>
    <s v="Male"/>
    <s v="Bachelor's Type 2"/>
    <s v="Mid Level"/>
    <s v="Average"/>
    <s v="Advanced"/>
    <s v="Strong"/>
    <x v="1"/>
    <n v="70"/>
    <s v="Developing"/>
    <x v="0"/>
    <s v="Interview Preparation"/>
    <s v="Improve interview preparation and communication"/>
  </r>
  <r>
    <n v="20"/>
    <n v="0"/>
    <n v="2"/>
    <n v="4"/>
    <n v="5"/>
    <n v="30.264841416715502"/>
    <n v="1"/>
    <n v="97"/>
    <n v="19"/>
    <n v="3"/>
    <n v="0"/>
    <s v="C241"/>
    <s v="Male"/>
    <s v="Bachelor's Type 2"/>
    <s v="Mid Level"/>
    <s v="Low"/>
    <s v="Advanced"/>
    <s v="Needs Improvement"/>
    <x v="1"/>
    <n v="40"/>
    <s v="Needs Improvement"/>
    <x v="1"/>
    <s v="Interview Preparation"/>
    <s v="Improve interview preparation and communication"/>
  </r>
  <r>
    <n v="44"/>
    <n v="1"/>
    <n v="3"/>
    <n v="8"/>
    <n v="1"/>
    <n v="13.820651384947"/>
    <n v="14"/>
    <n v="18"/>
    <n v="14"/>
    <n v="3"/>
    <n v="0"/>
    <s v="C242"/>
    <s v="Female"/>
    <s v="Master's"/>
    <s v="Senior Level"/>
    <s v="Low"/>
    <s v="Beginner"/>
    <s v="Needs Improvement"/>
    <x v="1"/>
    <n v="24"/>
    <s v="Needs Improvement"/>
    <x v="1"/>
    <s v="Interview Preparation"/>
    <s v="Improve interview preparation and communication"/>
  </r>
  <r>
    <n v="46"/>
    <n v="1"/>
    <n v="2"/>
    <n v="1"/>
    <n v="4"/>
    <n v="47.698898707225901"/>
    <n v="2"/>
    <n v="83"/>
    <n v="68"/>
    <n v="2"/>
    <n v="0"/>
    <s v="C243"/>
    <s v="Female"/>
    <s v="Bachelor's Type 2"/>
    <s v="Entry Level"/>
    <s v="Low"/>
    <s v="Advanced"/>
    <s v="Good"/>
    <x v="1"/>
    <n v="43"/>
    <s v="Needs Improvement"/>
    <x v="1"/>
    <s v="Interview Preparation"/>
    <s v="Improve interview preparation and communication"/>
  </r>
  <r>
    <n v="49"/>
    <n v="0"/>
    <n v="3"/>
    <n v="7"/>
    <n v="5"/>
    <n v="7.5529315402145096"/>
    <n v="42"/>
    <n v="55"/>
    <n v="76"/>
    <n v="1"/>
    <n v="1"/>
    <s v="C244"/>
    <s v="Male"/>
    <s v="Master's"/>
    <s v="Senior Level"/>
    <s v="Low"/>
    <s v="Intermediate"/>
    <s v="Strong"/>
    <x v="0"/>
    <n v="55"/>
    <s v="Developing"/>
    <x v="0"/>
    <s v="Interview Preparation"/>
    <s v="Improve interview preparation and communication"/>
  </r>
  <r>
    <n v="44"/>
    <n v="1"/>
    <n v="2"/>
    <n v="10"/>
    <n v="5"/>
    <n v="40.869717895388902"/>
    <n v="30"/>
    <n v="13"/>
    <n v="50"/>
    <n v="2"/>
    <n v="0"/>
    <s v="C245"/>
    <s v="Female"/>
    <s v="Bachelor's Type 2"/>
    <s v="Senior Level"/>
    <s v="Low"/>
    <s v="Beginner"/>
    <s v="Good"/>
    <x v="1"/>
    <n v="35"/>
    <s v="Needs Improvement"/>
    <x v="0"/>
    <s v="Technical Skills"/>
    <s v="Strengthen technical skills and practical knowledge"/>
  </r>
  <r>
    <n v="39"/>
    <n v="0"/>
    <n v="4"/>
    <n v="4"/>
    <n v="2"/>
    <n v="26.397434595320401"/>
    <n v="69"/>
    <n v="32"/>
    <n v="75"/>
    <n v="2"/>
    <n v="0"/>
    <s v="C246"/>
    <s v="Male"/>
    <s v="PhD"/>
    <s v="Mid Level"/>
    <s v="Average"/>
    <s v="Beginner"/>
    <s v="Strong"/>
    <x v="1"/>
    <n v="54"/>
    <s v="Developing"/>
    <x v="0"/>
    <s v="Technical Skills"/>
    <s v="Strengthen technical skills and practical knowledge"/>
  </r>
  <r>
    <n v="32"/>
    <n v="0"/>
    <n v="1"/>
    <n v="1"/>
    <n v="4"/>
    <n v="38.516538790997799"/>
    <n v="66"/>
    <n v="9"/>
    <n v="61"/>
    <n v="1"/>
    <n v="0"/>
    <s v="C247"/>
    <s v="Male"/>
    <s v="Bachelor's Type 1"/>
    <s v="Entry Level"/>
    <s v="Average"/>
    <s v="Beginner"/>
    <s v="Good"/>
    <x v="1"/>
    <n v="38"/>
    <s v="Needs Improvement"/>
    <x v="2"/>
    <s v="Technical Skills"/>
    <s v="Strengthen technical skills and practical knowledge"/>
  </r>
  <r>
    <n v="28"/>
    <n v="0"/>
    <n v="1"/>
    <n v="12"/>
    <n v="4"/>
    <n v="16.535766415572301"/>
    <n v="55"/>
    <n v="79"/>
    <n v="84"/>
    <n v="2"/>
    <n v="0"/>
    <s v="C248"/>
    <s v="Male"/>
    <s v="Bachelor's Type 1"/>
    <s v="Senior Level"/>
    <s v="Average"/>
    <s v="Advanced"/>
    <s v="Strong"/>
    <x v="1"/>
    <n v="72"/>
    <s v="Developing"/>
    <x v="0"/>
    <s v="Interview Preparation"/>
    <s v="Improve interview preparation and communication"/>
  </r>
  <r>
    <n v="22"/>
    <n v="0"/>
    <n v="2"/>
    <n v="9"/>
    <n v="5"/>
    <n v="26.724480115601899"/>
    <n v="62"/>
    <n v="63"/>
    <n v="36"/>
    <n v="3"/>
    <n v="0"/>
    <s v="C249"/>
    <s v="Male"/>
    <s v="Bachelor's Type 2"/>
    <s v="Senior Level"/>
    <s v="Average"/>
    <s v="Intermediate"/>
    <s v="Needs Improvement"/>
    <x v="1"/>
    <n v="56"/>
    <s v="Developing"/>
    <x v="1"/>
    <s v="Personality &amp; Communication"/>
    <s v="Work on communication and personality development"/>
  </r>
  <r>
    <n v="26"/>
    <n v="0"/>
    <n v="4"/>
    <n v="10"/>
    <n v="4"/>
    <n v="43.841767486158801"/>
    <n v="74"/>
    <n v="63"/>
    <n v="5"/>
    <n v="2"/>
    <n v="1"/>
    <s v="C250"/>
    <s v="Male"/>
    <s v="PhD"/>
    <s v="Senior Level"/>
    <s v="Average"/>
    <s v="Intermediate"/>
    <s v="Needs Improvement"/>
    <x v="0"/>
    <n v="57"/>
    <s v="Developing"/>
    <x v="2"/>
    <s v="Personality &amp; Communication"/>
    <s v="Work on communication and personality development"/>
  </r>
  <r>
    <n v="25"/>
    <n v="1"/>
    <n v="3"/>
    <n v="10"/>
    <n v="5"/>
    <n v="24.3439049561552"/>
    <n v="14"/>
    <n v="61"/>
    <n v="70"/>
    <n v="2"/>
    <n v="1"/>
    <s v="C251"/>
    <s v="Female"/>
    <s v="Master's"/>
    <s v="Senior Level"/>
    <s v="Low"/>
    <s v="Intermediate"/>
    <s v="Good"/>
    <x v="0"/>
    <n v="50"/>
    <s v="Developing"/>
    <x v="0"/>
    <s v="Interview Preparation"/>
    <s v="Improve interview preparation and communication"/>
  </r>
  <r>
    <n v="27"/>
    <n v="0"/>
    <n v="1"/>
    <n v="11"/>
    <n v="2"/>
    <n v="18.9859930955134"/>
    <n v="91"/>
    <n v="67"/>
    <n v="25"/>
    <n v="3"/>
    <n v="0"/>
    <s v="C252"/>
    <s v="Male"/>
    <s v="Bachelor's Type 1"/>
    <s v="Senior Level"/>
    <s v="Strong"/>
    <s v="Intermediate"/>
    <s v="Needs Improvement"/>
    <x v="1"/>
    <n v="66"/>
    <s v="Developing"/>
    <x v="2"/>
    <s v="Personality &amp; Communication"/>
    <s v="Work on communication and personality development"/>
  </r>
  <r>
    <n v="46"/>
    <n v="0"/>
    <n v="2"/>
    <n v="5"/>
    <n v="5"/>
    <n v="27.8077693126368"/>
    <n v="9"/>
    <n v="90"/>
    <n v="7"/>
    <n v="1"/>
    <n v="0"/>
    <s v="C253"/>
    <s v="Male"/>
    <s v="Bachelor's Type 2"/>
    <s v="Mid Level"/>
    <s v="Low"/>
    <s v="Advanced"/>
    <s v="Needs Improvement"/>
    <x v="1"/>
    <n v="39"/>
    <s v="Needs Improvement"/>
    <x v="1"/>
    <s v="Personality &amp; Communication"/>
    <s v="Work on communication and personality development"/>
  </r>
  <r>
    <n v="28"/>
    <n v="1"/>
    <n v="4"/>
    <n v="9"/>
    <n v="4"/>
    <n v="36.868137651818301"/>
    <n v="37"/>
    <n v="91"/>
    <n v="72"/>
    <n v="1"/>
    <n v="1"/>
    <s v="C254"/>
    <s v="Female"/>
    <s v="PhD"/>
    <s v="Senior Level"/>
    <s v="Low"/>
    <s v="Advanced"/>
    <s v="Good"/>
    <x v="0"/>
    <n v="67"/>
    <s v="Developing"/>
    <x v="1"/>
    <s v="Interview Preparation"/>
    <s v="Improve interview preparation and communication"/>
  </r>
  <r>
    <n v="49"/>
    <n v="0"/>
    <n v="2"/>
    <n v="7"/>
    <n v="4"/>
    <n v="23.178167274925102"/>
    <n v="46"/>
    <n v="42"/>
    <n v="90"/>
    <n v="2"/>
    <n v="0"/>
    <s v="C255"/>
    <s v="Male"/>
    <s v="Bachelor's Type 2"/>
    <s v="Senior Level"/>
    <s v="Low"/>
    <s v="Beginner"/>
    <s v="Strong"/>
    <x v="1"/>
    <n v="54"/>
    <s v="Developing"/>
    <x v="0"/>
    <s v="Technical Skills"/>
    <s v="Strengthen technical skills and practical knowledge"/>
  </r>
  <r>
    <n v="24"/>
    <n v="1"/>
    <n v="3"/>
    <n v="3"/>
    <n v="5"/>
    <n v="47.943848757113599"/>
    <n v="56"/>
    <n v="79"/>
    <n v="3"/>
    <n v="2"/>
    <n v="0"/>
    <s v="C256"/>
    <s v="Female"/>
    <s v="Master's"/>
    <s v="Mid Level"/>
    <s v="Average"/>
    <s v="Advanced"/>
    <s v="Needs Improvement"/>
    <x v="1"/>
    <n v="48"/>
    <s v="Needs Improvement"/>
    <x v="1"/>
    <s v="Personality &amp; Communication"/>
    <s v="Work on communication and personality development"/>
  </r>
  <r>
    <n v="20"/>
    <n v="1"/>
    <n v="3"/>
    <n v="1"/>
    <n v="5"/>
    <n v="15.747291202117101"/>
    <n v="49"/>
    <n v="58"/>
    <n v="20"/>
    <n v="2"/>
    <n v="0"/>
    <s v="C257"/>
    <s v="Female"/>
    <s v="Master's"/>
    <s v="Entry Level"/>
    <s v="Low"/>
    <s v="Intermediate"/>
    <s v="Needs Improvement"/>
    <x v="1"/>
    <n v="41"/>
    <s v="Needs Improvement"/>
    <x v="1"/>
    <s v="Personality &amp; Communication"/>
    <s v="Work on communication and personality development"/>
  </r>
  <r>
    <n v="38"/>
    <n v="1"/>
    <n v="2"/>
    <n v="11"/>
    <n v="5"/>
    <n v="24.773180308455998"/>
    <n v="70"/>
    <n v="51"/>
    <n v="30"/>
    <n v="1"/>
    <n v="1"/>
    <s v="C258"/>
    <s v="Female"/>
    <s v="Bachelor's Type 2"/>
    <s v="Senior Level"/>
    <s v="Average"/>
    <s v="Intermediate"/>
    <s v="Needs Improvement"/>
    <x v="0"/>
    <n v="56"/>
    <s v="Developing"/>
    <x v="2"/>
    <s v="Personality &amp; Communication"/>
    <s v="Work on communication and personality development"/>
  </r>
  <r>
    <n v="29"/>
    <n v="0"/>
    <n v="2"/>
    <n v="10"/>
    <n v="3"/>
    <n v="38.846382967072003"/>
    <n v="14"/>
    <n v="96"/>
    <n v="20"/>
    <n v="1"/>
    <n v="1"/>
    <s v="C259"/>
    <s v="Male"/>
    <s v="Bachelor's Type 2"/>
    <s v="Senior Level"/>
    <s v="Low"/>
    <s v="Advanced"/>
    <s v="Needs Improvement"/>
    <x v="0"/>
    <n v="50"/>
    <s v="Developing"/>
    <x v="1"/>
    <s v="Interview Preparation"/>
    <s v="Improve interview preparation and communication"/>
  </r>
  <r>
    <n v="31"/>
    <n v="0"/>
    <n v="2"/>
    <n v="4"/>
    <n v="4"/>
    <n v="35.456054524787902"/>
    <n v="17"/>
    <n v="18"/>
    <n v="24"/>
    <n v="1"/>
    <n v="0"/>
    <s v="C260"/>
    <s v="Male"/>
    <s v="Bachelor's Type 2"/>
    <s v="Mid Level"/>
    <s v="Low"/>
    <s v="Beginner"/>
    <s v="Needs Improvement"/>
    <x v="1"/>
    <n v="22"/>
    <s v="Needs Improvement"/>
    <x v="0"/>
    <s v="Interview Preparation"/>
    <s v="Improve interview preparation and communication"/>
  </r>
  <r>
    <n v="43"/>
    <n v="0"/>
    <n v="2"/>
    <n v="14"/>
    <n v="4"/>
    <n v="44.182052620857803"/>
    <n v="81"/>
    <n v="20"/>
    <n v="14"/>
    <n v="3"/>
    <n v="0"/>
    <s v="C261"/>
    <s v="Male"/>
    <s v="Bachelor's Type 2"/>
    <s v="Senior Level"/>
    <s v="Strong"/>
    <s v="Beginner"/>
    <s v="Needs Improvement"/>
    <x v="1"/>
    <n v="50"/>
    <s v="Developing"/>
    <x v="2"/>
    <s v="Personality &amp; Communication"/>
    <s v="Work on communication and personality development"/>
  </r>
  <r>
    <n v="34"/>
    <n v="1"/>
    <n v="3"/>
    <n v="11"/>
    <n v="3"/>
    <n v="50.840459034055399"/>
    <n v="87"/>
    <n v="21"/>
    <n v="34"/>
    <n v="2"/>
    <n v="0"/>
    <s v="C262"/>
    <s v="Female"/>
    <s v="Master's"/>
    <s v="Senior Level"/>
    <s v="Strong"/>
    <s v="Beginner"/>
    <s v="Needs Improvement"/>
    <x v="1"/>
    <n v="54"/>
    <s v="Developing"/>
    <x v="2"/>
    <s v="Technical Skills"/>
    <s v="Strengthen technical skills and practical knowledge"/>
  </r>
  <r>
    <n v="46"/>
    <n v="0"/>
    <n v="2"/>
    <n v="1"/>
    <n v="5"/>
    <n v="22.342916439754401"/>
    <n v="1"/>
    <n v="8"/>
    <n v="48"/>
    <n v="2"/>
    <n v="0"/>
    <s v="C263"/>
    <s v="Male"/>
    <s v="Bachelor's Type 2"/>
    <s v="Entry Level"/>
    <s v="Low"/>
    <s v="Beginner"/>
    <s v="Needs Improvement"/>
    <x v="1"/>
    <n v="16"/>
    <s v="Needs Improvement"/>
    <x v="0"/>
    <s v="Interview Preparation"/>
    <s v="Improve interview preparation and communication"/>
  </r>
  <r>
    <n v="41"/>
    <n v="1"/>
    <n v="3"/>
    <n v="1"/>
    <n v="2"/>
    <n v="6.5575439891655902"/>
    <n v="83"/>
    <n v="8"/>
    <n v="42"/>
    <n v="1"/>
    <n v="1"/>
    <s v="C264"/>
    <s v="Female"/>
    <s v="Master's"/>
    <s v="Entry Level"/>
    <s v="Strong"/>
    <s v="Beginner"/>
    <s v="Needs Improvement"/>
    <x v="0"/>
    <n v="40"/>
    <s v="Needs Improvement"/>
    <x v="2"/>
    <s v="Technical Skills"/>
    <s v="Strengthen technical skills and practical knowledge"/>
  </r>
  <r>
    <n v="43"/>
    <n v="0"/>
    <n v="1"/>
    <n v="14"/>
    <n v="5"/>
    <n v="2.5207940403983899"/>
    <n v="97"/>
    <n v="72"/>
    <n v="40"/>
    <n v="1"/>
    <n v="1"/>
    <s v="C265"/>
    <s v="Male"/>
    <s v="Bachelor's Type 1"/>
    <s v="Senior Level"/>
    <s v="Strong"/>
    <s v="Intermediate"/>
    <s v="Needs Improvement"/>
    <x v="0"/>
    <n v="75"/>
    <s v="Job Ready"/>
    <x v="2"/>
    <s v="Personality &amp; Communication"/>
    <s v="Work on communication and personality development"/>
  </r>
  <r>
    <n v="28"/>
    <n v="1"/>
    <n v="4"/>
    <n v="5"/>
    <n v="5"/>
    <n v="37.343845306988499"/>
    <n v="42"/>
    <n v="26"/>
    <n v="36"/>
    <n v="2"/>
    <n v="0"/>
    <s v="C266"/>
    <s v="Female"/>
    <s v="PhD"/>
    <s v="Mid Level"/>
    <s v="Low"/>
    <s v="Beginner"/>
    <s v="Needs Improvement"/>
    <x v="1"/>
    <n v="38"/>
    <s v="Needs Improvement"/>
    <x v="2"/>
    <s v="Technical Skills"/>
    <s v="Strengthen technical skills and practical knowledge"/>
  </r>
  <r>
    <n v="39"/>
    <n v="0"/>
    <n v="2"/>
    <n v="15"/>
    <n v="3"/>
    <n v="44.700683565435703"/>
    <n v="25"/>
    <n v="16"/>
    <n v="56"/>
    <n v="1"/>
    <n v="0"/>
    <s v="C267"/>
    <s v="Male"/>
    <s v="Bachelor's Type 2"/>
    <s v="Senior Level"/>
    <s v="Low"/>
    <s v="Beginner"/>
    <s v="Good"/>
    <x v="1"/>
    <n v="41"/>
    <s v="Needs Improvement"/>
    <x v="0"/>
    <s v="Technical Skills"/>
    <s v="Strengthen technical skills and practical knowledge"/>
  </r>
  <r>
    <n v="36"/>
    <n v="0"/>
    <n v="1"/>
    <n v="10"/>
    <n v="4"/>
    <n v="12.0356292972209"/>
    <n v="70"/>
    <n v="43"/>
    <n v="41"/>
    <n v="2"/>
    <n v="0"/>
    <s v="C268"/>
    <s v="Male"/>
    <s v="Bachelor's Type 1"/>
    <s v="Senior Level"/>
    <s v="Average"/>
    <s v="Beginner"/>
    <s v="Needs Improvement"/>
    <x v="1"/>
    <n v="55"/>
    <s v="Developing"/>
    <x v="2"/>
    <s v="Personality &amp; Communication"/>
    <s v="Work on communication and personality development"/>
  </r>
  <r>
    <n v="49"/>
    <n v="0"/>
    <n v="1"/>
    <n v="9"/>
    <n v="5"/>
    <n v="8.9224018594952899"/>
    <n v="37"/>
    <n v="44"/>
    <n v="46"/>
    <n v="2"/>
    <n v="0"/>
    <s v="C269"/>
    <s v="Male"/>
    <s v="Bachelor's Type 1"/>
    <s v="Senior Level"/>
    <s v="Low"/>
    <s v="Beginner"/>
    <s v="Needs Improvement"/>
    <x v="1"/>
    <n v="45"/>
    <s v="Needs Improvement"/>
    <x v="0"/>
    <s v="Interview Preparation"/>
    <s v="Improve interview preparation and communication"/>
  </r>
  <r>
    <n v="36"/>
    <n v="1"/>
    <n v="3"/>
    <n v="8"/>
    <n v="4"/>
    <n v="4.1102545762845404"/>
    <n v="93"/>
    <n v="7"/>
    <n v="91"/>
    <n v="2"/>
    <n v="1"/>
    <s v="C270"/>
    <s v="Female"/>
    <s v="Master's"/>
    <s v="Senior Level"/>
    <s v="Strong"/>
    <s v="Beginner"/>
    <s v="Strong"/>
    <x v="0"/>
    <n v="60"/>
    <s v="Developing"/>
    <x v="2"/>
    <s v="Technical Skills"/>
    <s v="Strengthen technical skills and practical knowledge"/>
  </r>
  <r>
    <n v="45"/>
    <n v="1"/>
    <n v="2"/>
    <n v="12"/>
    <n v="1"/>
    <n v="42.135146085860299"/>
    <n v="41"/>
    <n v="79"/>
    <n v="60"/>
    <n v="2"/>
    <n v="0"/>
    <s v="C271"/>
    <s v="Female"/>
    <s v="Bachelor's Type 2"/>
    <s v="Senior Level"/>
    <s v="Low"/>
    <s v="Advanced"/>
    <s v="Good"/>
    <x v="1"/>
    <n v="63"/>
    <s v="Developing"/>
    <x v="1"/>
    <s v="Interview Preparation"/>
    <s v="Improve interview preparation and communication"/>
  </r>
  <r>
    <n v="39"/>
    <n v="0"/>
    <n v="3"/>
    <n v="3"/>
    <n v="4"/>
    <n v="16.569096994629199"/>
    <n v="4"/>
    <n v="17"/>
    <n v="13"/>
    <n v="2"/>
    <n v="0"/>
    <s v="C272"/>
    <s v="Male"/>
    <s v="Master's"/>
    <s v="Mid Level"/>
    <s v="Low"/>
    <s v="Beginner"/>
    <s v="Needs Improvement"/>
    <x v="1"/>
    <n v="16"/>
    <s v="Needs Improvement"/>
    <x v="1"/>
    <s v="Interview Preparation"/>
    <s v="Improve interview preparation and communication"/>
  </r>
  <r>
    <n v="31"/>
    <n v="0"/>
    <n v="1"/>
    <n v="5"/>
    <n v="2"/>
    <n v="21.084844637988802"/>
    <n v="10"/>
    <n v="32"/>
    <n v="67"/>
    <n v="1"/>
    <n v="0"/>
    <s v="C273"/>
    <s v="Male"/>
    <s v="Bachelor's Type 1"/>
    <s v="Mid Level"/>
    <s v="Low"/>
    <s v="Beginner"/>
    <s v="Good"/>
    <x v="1"/>
    <n v="34"/>
    <s v="Needs Improvement"/>
    <x v="0"/>
    <s v="Interview Preparation"/>
    <s v="Improve interview preparation and communication"/>
  </r>
  <r>
    <n v="49"/>
    <n v="1"/>
    <n v="1"/>
    <n v="15"/>
    <n v="2"/>
    <n v="26.1375095804806"/>
    <n v="64"/>
    <n v="0"/>
    <n v="52"/>
    <n v="2"/>
    <n v="0"/>
    <s v="C274"/>
    <s v="Female"/>
    <s v="Bachelor's Type 1"/>
    <s v="Senior Level"/>
    <s v="Average"/>
    <s v="Beginner"/>
    <s v="Good"/>
    <x v="1"/>
    <n v="47"/>
    <s v="Needs Improvement"/>
    <x v="2"/>
    <s v="Technical Skills"/>
    <s v="Strengthen technical skills and practical knowledge"/>
  </r>
  <r>
    <n v="26"/>
    <n v="1"/>
    <n v="2"/>
    <n v="6"/>
    <n v="5"/>
    <n v="42.972661710477503"/>
    <n v="33"/>
    <n v="75"/>
    <n v="83"/>
    <n v="2"/>
    <n v="0"/>
    <s v="C275"/>
    <s v="Female"/>
    <s v="Bachelor's Type 2"/>
    <s v="Mid Level"/>
    <s v="Low"/>
    <s v="Advanced"/>
    <s v="Strong"/>
    <x v="1"/>
    <n v="58"/>
    <s v="Developing"/>
    <x v="0"/>
    <s v="Interview Preparation"/>
    <s v="Improve interview preparation and communication"/>
  </r>
  <r>
    <n v="21"/>
    <n v="1"/>
    <n v="2"/>
    <n v="12"/>
    <n v="4"/>
    <n v="33.541661078074199"/>
    <n v="0"/>
    <n v="5"/>
    <n v="33"/>
    <n v="1"/>
    <n v="0"/>
    <s v="C276"/>
    <s v="Female"/>
    <s v="Bachelor's Type 2"/>
    <s v="Senior Level"/>
    <s v="Low"/>
    <s v="Beginner"/>
    <s v="Needs Improvement"/>
    <x v="1"/>
    <n v="23"/>
    <s v="Needs Improvement"/>
    <x v="0"/>
    <s v="Interview Preparation"/>
    <s v="Improve interview preparation and communication"/>
  </r>
  <r>
    <n v="22"/>
    <n v="0"/>
    <n v="2"/>
    <n v="10"/>
    <n v="5"/>
    <n v="31.7532314928905"/>
    <n v="82"/>
    <n v="40"/>
    <n v="75"/>
    <n v="3"/>
    <n v="0"/>
    <s v="C277"/>
    <s v="Male"/>
    <s v="Bachelor's Type 2"/>
    <s v="Senior Level"/>
    <s v="Strong"/>
    <s v="Beginner"/>
    <s v="Strong"/>
    <x v="1"/>
    <n v="64"/>
    <s v="Developing"/>
    <x v="2"/>
    <s v="Technical Skills"/>
    <s v="Strengthen technical skills and practical knowledge"/>
  </r>
  <r>
    <n v="36"/>
    <n v="1"/>
    <n v="4"/>
    <n v="5"/>
    <n v="3"/>
    <n v="9.7836049977955302"/>
    <n v="1"/>
    <n v="54"/>
    <n v="96"/>
    <n v="1"/>
    <n v="1"/>
    <s v="C278"/>
    <s v="Female"/>
    <s v="PhD"/>
    <s v="Mid Level"/>
    <s v="Low"/>
    <s v="Intermediate"/>
    <s v="Strong"/>
    <x v="0"/>
    <n v="46"/>
    <s v="Needs Improvement"/>
    <x v="0"/>
    <s v="Interview Preparation"/>
    <s v="Improve interview preparation and communication"/>
  </r>
  <r>
    <n v="24"/>
    <n v="0"/>
    <n v="4"/>
    <n v="7"/>
    <n v="2"/>
    <n v="26.659494585491402"/>
    <n v="84"/>
    <n v="4"/>
    <n v="23"/>
    <n v="1"/>
    <n v="1"/>
    <s v="C279"/>
    <s v="Male"/>
    <s v="PhD"/>
    <s v="Senior Level"/>
    <s v="Strong"/>
    <s v="Beginner"/>
    <s v="Needs Improvement"/>
    <x v="0"/>
    <n v="43"/>
    <s v="Needs Improvement"/>
    <x v="2"/>
    <s v="Technical Skills"/>
    <s v="Strengthen technical skills and practical knowledge"/>
  </r>
  <r>
    <n v="36"/>
    <n v="1"/>
    <n v="4"/>
    <n v="3"/>
    <n v="5"/>
    <n v="36.769050858932701"/>
    <n v="19"/>
    <n v="58"/>
    <n v="19"/>
    <n v="1"/>
    <n v="1"/>
    <s v="C280"/>
    <s v="Female"/>
    <s v="PhD"/>
    <s v="Mid Level"/>
    <s v="Low"/>
    <s v="Intermediate"/>
    <s v="Needs Improvement"/>
    <x v="0"/>
    <n v="35"/>
    <s v="Needs Improvement"/>
    <x v="1"/>
    <s v="Interview Preparation"/>
    <s v="Improve interview preparation and communication"/>
  </r>
  <r>
    <n v="43"/>
    <n v="0"/>
    <n v="3"/>
    <n v="11"/>
    <n v="3"/>
    <n v="49.663044151524502"/>
    <n v="60"/>
    <n v="79"/>
    <n v="68"/>
    <n v="3"/>
    <n v="1"/>
    <s v="C281"/>
    <s v="Male"/>
    <s v="Master's"/>
    <s v="Senior Level"/>
    <s v="Average"/>
    <s v="Advanced"/>
    <s v="Good"/>
    <x v="0"/>
    <n v="70"/>
    <s v="Developing"/>
    <x v="1"/>
    <s v="Interview Preparation"/>
    <s v="Improve interview preparation and communication"/>
  </r>
  <r>
    <n v="36"/>
    <n v="1"/>
    <n v="2"/>
    <n v="14"/>
    <n v="5"/>
    <n v="11.070315460667601"/>
    <n v="86"/>
    <n v="17"/>
    <n v="29"/>
    <n v="2"/>
    <n v="0"/>
    <s v="C282"/>
    <s v="Female"/>
    <s v="Bachelor's Type 2"/>
    <s v="Senior Level"/>
    <s v="Strong"/>
    <s v="Beginner"/>
    <s v="Needs Improvement"/>
    <x v="1"/>
    <n v="53"/>
    <s v="Developing"/>
    <x v="2"/>
    <s v="Technical Skills"/>
    <s v="Strengthen technical skills and practical knowledge"/>
  </r>
  <r>
    <n v="46"/>
    <n v="1"/>
    <n v="2"/>
    <n v="0"/>
    <n v="4"/>
    <n v="1.47716765336133"/>
    <n v="20"/>
    <n v="48"/>
    <n v="87"/>
    <n v="2"/>
    <n v="0"/>
    <s v="C283"/>
    <s v="Female"/>
    <s v="Bachelor's Type 2"/>
    <s v="Entry Level"/>
    <s v="Low"/>
    <s v="Beginner"/>
    <s v="Strong"/>
    <x v="1"/>
    <n v="40"/>
    <s v="Needs Improvement"/>
    <x v="0"/>
    <s v="Interview Preparation"/>
    <s v="Improve interview preparation and communication"/>
  </r>
  <r>
    <n v="36"/>
    <n v="1"/>
    <n v="2"/>
    <n v="6"/>
    <n v="4"/>
    <n v="4.76507167992348"/>
    <n v="87"/>
    <n v="81"/>
    <n v="6"/>
    <n v="1"/>
    <n v="1"/>
    <s v="C284"/>
    <s v="Female"/>
    <s v="Bachelor's Type 2"/>
    <s v="Mid Level"/>
    <s v="Strong"/>
    <s v="Advanced"/>
    <s v="Needs Improvement"/>
    <x v="0"/>
    <n v="60"/>
    <s v="Developing"/>
    <x v="2"/>
    <s v="Personality &amp; Communication"/>
    <s v="Work on communication and personality development"/>
  </r>
  <r>
    <n v="21"/>
    <n v="1"/>
    <n v="3"/>
    <n v="2"/>
    <n v="4"/>
    <n v="19.7926232590989"/>
    <n v="67"/>
    <n v="64"/>
    <n v="35"/>
    <n v="2"/>
    <n v="0"/>
    <s v="C285"/>
    <s v="Female"/>
    <s v="Master's"/>
    <s v="Entry Level"/>
    <s v="Average"/>
    <s v="Intermediate"/>
    <s v="Needs Improvement"/>
    <x v="1"/>
    <n v="52"/>
    <s v="Developing"/>
    <x v="2"/>
    <s v="Personality &amp; Communication"/>
    <s v="Work on communication and personality development"/>
  </r>
  <r>
    <n v="21"/>
    <n v="1"/>
    <n v="1"/>
    <n v="13"/>
    <n v="4"/>
    <n v="42.0272323872993"/>
    <n v="11"/>
    <n v="82"/>
    <n v="37"/>
    <n v="2"/>
    <n v="0"/>
    <s v="C286"/>
    <s v="Female"/>
    <s v="Bachelor's Type 1"/>
    <s v="Senior Level"/>
    <s v="Low"/>
    <s v="Advanced"/>
    <s v="Needs Improvement"/>
    <x v="1"/>
    <n v="51"/>
    <s v="Developing"/>
    <x v="1"/>
    <s v="Interview Preparation"/>
    <s v="Improve interview preparation and communication"/>
  </r>
  <r>
    <n v="47"/>
    <n v="0"/>
    <n v="2"/>
    <n v="5"/>
    <n v="1"/>
    <n v="1.3571040884122501"/>
    <n v="21"/>
    <n v="53"/>
    <n v="79"/>
    <n v="3"/>
    <n v="0"/>
    <s v="C287"/>
    <s v="Male"/>
    <s v="Bachelor's Type 2"/>
    <s v="Mid Level"/>
    <s v="Low"/>
    <s v="Intermediate"/>
    <s v="Strong"/>
    <x v="1"/>
    <n v="46"/>
    <s v="Needs Improvement"/>
    <x v="0"/>
    <s v="Interview Preparation"/>
    <s v="Improve interview preparation and communication"/>
  </r>
  <r>
    <n v="41"/>
    <n v="1"/>
    <n v="1"/>
    <n v="1"/>
    <n v="3"/>
    <n v="23.836529644292"/>
    <n v="19"/>
    <n v="60"/>
    <n v="51"/>
    <n v="1"/>
    <n v="0"/>
    <s v="C288"/>
    <s v="Female"/>
    <s v="Bachelor's Type 1"/>
    <s v="Entry Level"/>
    <s v="Low"/>
    <s v="Intermediate"/>
    <s v="Good"/>
    <x v="1"/>
    <n v="37"/>
    <s v="Needs Improvement"/>
    <x v="1"/>
    <s v="Interview Preparation"/>
    <s v="Improve interview preparation and communication"/>
  </r>
  <r>
    <n v="42"/>
    <n v="1"/>
    <n v="2"/>
    <n v="8"/>
    <n v="3"/>
    <n v="17.4615307670697"/>
    <n v="81"/>
    <n v="7"/>
    <n v="14"/>
    <n v="1"/>
    <n v="1"/>
    <s v="C289"/>
    <s v="Female"/>
    <s v="Bachelor's Type 2"/>
    <s v="Senior Level"/>
    <s v="Strong"/>
    <s v="Beginner"/>
    <s v="Needs Improvement"/>
    <x v="0"/>
    <n v="40"/>
    <s v="Needs Improvement"/>
    <x v="2"/>
    <s v="Technical Skills"/>
    <s v="Strengthen technical skills and practical knowledge"/>
  </r>
  <r>
    <n v="24"/>
    <n v="1"/>
    <n v="3"/>
    <n v="0"/>
    <n v="4"/>
    <n v="3.6240855049863701"/>
    <n v="0"/>
    <n v="2"/>
    <n v="45"/>
    <n v="1"/>
    <n v="0"/>
    <s v="C290"/>
    <s v="Female"/>
    <s v="Master's"/>
    <s v="Entry Level"/>
    <s v="Low"/>
    <s v="Beginner"/>
    <s v="Needs Improvement"/>
    <x v="1"/>
    <n v="13"/>
    <s v="Needs Improvement"/>
    <x v="0"/>
    <s v="Interview Preparation"/>
    <s v="Improve interview preparation and communication"/>
  </r>
  <r>
    <n v="20"/>
    <n v="0"/>
    <n v="3"/>
    <n v="5"/>
    <n v="1"/>
    <n v="23.511814333630799"/>
    <n v="29"/>
    <n v="24"/>
    <n v="22"/>
    <n v="3"/>
    <n v="0"/>
    <s v="C291"/>
    <s v="Male"/>
    <s v="Master's"/>
    <s v="Mid Level"/>
    <s v="Low"/>
    <s v="Beginner"/>
    <s v="Needs Improvement"/>
    <x v="1"/>
    <n v="29"/>
    <s v="Needs Improvement"/>
    <x v="2"/>
    <s v="Personality &amp; Communication"/>
    <s v="Work on communication and personality development"/>
  </r>
  <r>
    <n v="20"/>
    <n v="1"/>
    <n v="2"/>
    <n v="5"/>
    <n v="4"/>
    <n v="13.7374353668359"/>
    <n v="96"/>
    <n v="68"/>
    <n v="11"/>
    <n v="2"/>
    <n v="0"/>
    <s v="C292"/>
    <s v="Female"/>
    <s v="Bachelor's Type 2"/>
    <s v="Mid Level"/>
    <s v="Strong"/>
    <s v="Intermediate"/>
    <s v="Needs Improvement"/>
    <x v="1"/>
    <n v="59"/>
    <s v="Developing"/>
    <x v="2"/>
    <s v="Personality &amp; Communication"/>
    <s v="Work on communication and personality development"/>
  </r>
  <r>
    <n v="38"/>
    <n v="0"/>
    <n v="4"/>
    <n v="4"/>
    <n v="1"/>
    <n v="18.5942417173503"/>
    <n v="23"/>
    <n v="54"/>
    <n v="92"/>
    <n v="2"/>
    <n v="0"/>
    <s v="C293"/>
    <s v="Male"/>
    <s v="PhD"/>
    <s v="Mid Level"/>
    <s v="Low"/>
    <s v="Intermediate"/>
    <s v="Strong"/>
    <x v="1"/>
    <n v="51"/>
    <s v="Developing"/>
    <x v="0"/>
    <s v="Interview Preparation"/>
    <s v="Improve interview preparation and communication"/>
  </r>
  <r>
    <n v="49"/>
    <n v="1"/>
    <n v="2"/>
    <n v="15"/>
    <n v="4"/>
    <n v="36.280765239214603"/>
    <n v="13"/>
    <n v="39"/>
    <n v="43"/>
    <n v="2"/>
    <n v="0"/>
    <s v="C294"/>
    <s v="Female"/>
    <s v="Bachelor's Type 2"/>
    <s v="Senior Level"/>
    <s v="Low"/>
    <s v="Beginner"/>
    <s v="Needs Improvement"/>
    <x v="1"/>
    <n v="42"/>
    <s v="Needs Improvement"/>
    <x v="0"/>
    <s v="Interview Preparation"/>
    <s v="Improve interview preparation and communication"/>
  </r>
  <r>
    <n v="21"/>
    <n v="1"/>
    <n v="1"/>
    <n v="12"/>
    <n v="2"/>
    <n v="27.077549195548301"/>
    <n v="35"/>
    <n v="82"/>
    <n v="14"/>
    <n v="3"/>
    <n v="0"/>
    <s v="C295"/>
    <s v="Female"/>
    <s v="Bachelor's Type 1"/>
    <s v="Senior Level"/>
    <s v="Low"/>
    <s v="Advanced"/>
    <s v="Needs Improvement"/>
    <x v="1"/>
    <n v="52"/>
    <s v="Developing"/>
    <x v="1"/>
    <s v="Personality &amp; Communication"/>
    <s v="Work on communication and personality development"/>
  </r>
  <r>
    <n v="40"/>
    <n v="0"/>
    <n v="2"/>
    <n v="4"/>
    <n v="2"/>
    <n v="7.2323714496406604"/>
    <n v="68"/>
    <n v="81"/>
    <n v="92"/>
    <n v="3"/>
    <n v="0"/>
    <s v="C296"/>
    <s v="Male"/>
    <s v="Bachelor's Type 2"/>
    <s v="Mid Level"/>
    <s v="Average"/>
    <s v="Advanced"/>
    <s v="Strong"/>
    <x v="1"/>
    <n v="70"/>
    <s v="Developing"/>
    <x v="0"/>
    <s v="Interview Preparation"/>
    <s v="Improve interview preparation and communication"/>
  </r>
  <r>
    <n v="31"/>
    <n v="1"/>
    <n v="2"/>
    <n v="0"/>
    <n v="5"/>
    <n v="49.070727021181902"/>
    <n v="74"/>
    <n v="49"/>
    <n v="48"/>
    <n v="2"/>
    <n v="0"/>
    <s v="C297"/>
    <s v="Female"/>
    <s v="Bachelor's Type 2"/>
    <s v="Entry Level"/>
    <s v="Average"/>
    <s v="Beginner"/>
    <s v="Needs Improvement"/>
    <x v="1"/>
    <n v="49"/>
    <s v="Needs Improvement"/>
    <x v="2"/>
    <s v="Personality &amp; Communication"/>
    <s v="Work on communication and personality development"/>
  </r>
  <r>
    <n v="45"/>
    <n v="0"/>
    <n v="1"/>
    <n v="9"/>
    <n v="4"/>
    <n v="32.795538285486899"/>
    <n v="23"/>
    <n v="94"/>
    <n v="20"/>
    <n v="1"/>
    <n v="1"/>
    <s v="C298"/>
    <s v="Male"/>
    <s v="Bachelor's Type 1"/>
    <s v="Senior Level"/>
    <s v="Low"/>
    <s v="Advanced"/>
    <s v="Needs Improvement"/>
    <x v="0"/>
    <n v="51"/>
    <s v="Developing"/>
    <x v="1"/>
    <s v="Personality &amp; Communication"/>
    <s v="Work on communication and personality development"/>
  </r>
  <r>
    <n v="25"/>
    <n v="0"/>
    <n v="4"/>
    <n v="11"/>
    <n v="3"/>
    <n v="39.293421283126499"/>
    <n v="59"/>
    <n v="32"/>
    <n v="14"/>
    <n v="1"/>
    <n v="1"/>
    <s v="C299"/>
    <s v="Male"/>
    <s v="PhD"/>
    <s v="Senior Level"/>
    <s v="Average"/>
    <s v="Beginner"/>
    <s v="Needs Improvement"/>
    <x v="0"/>
    <n v="46"/>
    <s v="Needs Improvement"/>
    <x v="2"/>
    <s v="Personality &amp; Communication"/>
    <s v="Work on communication and personality development"/>
  </r>
  <r>
    <n v="42"/>
    <n v="1"/>
    <n v="2"/>
    <n v="4"/>
    <n v="5"/>
    <n v="4.9606575004185398"/>
    <n v="94"/>
    <n v="17"/>
    <n v="13"/>
    <n v="3"/>
    <n v="0"/>
    <s v="C300"/>
    <s v="Female"/>
    <s v="Bachelor's Type 2"/>
    <s v="Mid Level"/>
    <s v="Strong"/>
    <s v="Beginner"/>
    <s v="Needs Improvement"/>
    <x v="1"/>
    <n v="42"/>
    <s v="Needs Improvement"/>
    <x v="2"/>
    <s v="Personality &amp; Communication"/>
    <s v="Work on communication and personality development"/>
  </r>
  <r>
    <n v="23"/>
    <n v="0"/>
    <n v="3"/>
    <n v="1"/>
    <n v="2"/>
    <n v="3.3529189730009401"/>
    <n v="54"/>
    <n v="56"/>
    <n v="41"/>
    <n v="2"/>
    <n v="0"/>
    <s v="C301"/>
    <s v="Male"/>
    <s v="Master's"/>
    <s v="Entry Level"/>
    <s v="Average"/>
    <s v="Intermediate"/>
    <s v="Needs Improvement"/>
    <x v="1"/>
    <n v="46"/>
    <s v="Needs Improvement"/>
    <x v="1"/>
    <s v="Personality &amp; Communication"/>
    <s v="Work on communication and personality development"/>
  </r>
  <r>
    <n v="42"/>
    <n v="1"/>
    <n v="2"/>
    <n v="6"/>
    <n v="4"/>
    <n v="1.9724025184040499"/>
    <n v="76"/>
    <n v="15"/>
    <n v="79"/>
    <n v="1"/>
    <n v="1"/>
    <s v="C302"/>
    <s v="Female"/>
    <s v="Bachelor's Type 2"/>
    <s v="Mid Level"/>
    <s v="Strong"/>
    <s v="Beginner"/>
    <s v="Strong"/>
    <x v="0"/>
    <n v="52"/>
    <s v="Developing"/>
    <x v="0"/>
    <s v="Technical Skills"/>
    <s v="Strengthen technical skills and practical knowledge"/>
  </r>
  <r>
    <n v="30"/>
    <n v="1"/>
    <n v="1"/>
    <n v="2"/>
    <n v="5"/>
    <n v="10.4397013886722"/>
    <n v="79"/>
    <n v="79"/>
    <n v="14"/>
    <n v="2"/>
    <n v="0"/>
    <s v="C303"/>
    <s v="Female"/>
    <s v="Bachelor's Type 1"/>
    <s v="Entry Level"/>
    <s v="Strong"/>
    <s v="Advanced"/>
    <s v="Needs Improvement"/>
    <x v="1"/>
    <n v="55"/>
    <s v="Developing"/>
    <x v="2"/>
    <s v="Personality &amp; Communication"/>
    <s v="Work on communication and personality development"/>
  </r>
  <r>
    <n v="43"/>
    <n v="0"/>
    <n v="2"/>
    <n v="12"/>
    <n v="4"/>
    <n v="21.720419885924699"/>
    <n v="23"/>
    <n v="37"/>
    <n v="62"/>
    <n v="3"/>
    <n v="0"/>
    <s v="C304"/>
    <s v="Male"/>
    <s v="Bachelor's Type 2"/>
    <s v="Senior Level"/>
    <s v="Low"/>
    <s v="Beginner"/>
    <s v="Good"/>
    <x v="1"/>
    <n v="45"/>
    <s v="Needs Improvement"/>
    <x v="0"/>
    <s v="Interview Preparation"/>
    <s v="Improve interview preparation and communication"/>
  </r>
  <r>
    <n v="46"/>
    <n v="0"/>
    <n v="1"/>
    <n v="14"/>
    <n v="2"/>
    <n v="47.791306670141097"/>
    <n v="76"/>
    <n v="40"/>
    <n v="67"/>
    <n v="2"/>
    <n v="0"/>
    <s v="C305"/>
    <s v="Male"/>
    <s v="Bachelor's Type 1"/>
    <s v="Senior Level"/>
    <s v="Strong"/>
    <s v="Beginner"/>
    <s v="Good"/>
    <x v="1"/>
    <n v="65"/>
    <s v="Developing"/>
    <x v="2"/>
    <s v="Technical Skills"/>
    <s v="Strengthen technical skills and practical knowledge"/>
  </r>
  <r>
    <n v="36"/>
    <n v="0"/>
    <n v="2"/>
    <n v="3"/>
    <n v="5"/>
    <n v="23.852982963288799"/>
    <n v="23"/>
    <n v="6"/>
    <n v="26"/>
    <n v="2"/>
    <n v="0"/>
    <s v="C306"/>
    <s v="Male"/>
    <s v="Bachelor's Type 2"/>
    <s v="Mid Level"/>
    <s v="Low"/>
    <s v="Beginner"/>
    <s v="Needs Improvement"/>
    <x v="1"/>
    <n v="19"/>
    <s v="Needs Improvement"/>
    <x v="0"/>
    <s v="Technical Skills"/>
    <s v="Strengthen technical skills and practical knowledge"/>
  </r>
  <r>
    <n v="50"/>
    <n v="0"/>
    <n v="4"/>
    <n v="2"/>
    <n v="2"/>
    <n v="15.5127552686264"/>
    <n v="53"/>
    <n v="77"/>
    <n v="86"/>
    <n v="3"/>
    <n v="0"/>
    <s v="C307"/>
    <s v="Male"/>
    <s v="PhD"/>
    <s v="Entry Level"/>
    <s v="Average"/>
    <s v="Advanced"/>
    <s v="Strong"/>
    <x v="1"/>
    <n v="63"/>
    <s v="Developing"/>
    <x v="0"/>
    <s v="Interview Preparation"/>
    <s v="Improve interview preparation and communication"/>
  </r>
  <r>
    <n v="25"/>
    <n v="1"/>
    <n v="2"/>
    <n v="2"/>
    <n v="1"/>
    <n v="29.096762675983101"/>
    <n v="25"/>
    <n v="52"/>
    <n v="92"/>
    <n v="2"/>
    <n v="0"/>
    <s v="C308"/>
    <s v="Female"/>
    <s v="Bachelor's Type 2"/>
    <s v="Entry Level"/>
    <s v="Low"/>
    <s v="Intermediate"/>
    <s v="Strong"/>
    <x v="1"/>
    <n v="46"/>
    <s v="Needs Improvement"/>
    <x v="0"/>
    <s v="Interview Preparation"/>
    <s v="Improve interview preparation and communication"/>
  </r>
  <r>
    <n v="43"/>
    <n v="1"/>
    <n v="2"/>
    <n v="3"/>
    <n v="2"/>
    <n v="6.5967289067394601"/>
    <n v="65"/>
    <n v="62"/>
    <n v="52"/>
    <n v="1"/>
    <n v="0"/>
    <s v="C309"/>
    <s v="Female"/>
    <s v="Bachelor's Type 2"/>
    <s v="Mid Level"/>
    <s v="Average"/>
    <s v="Intermediate"/>
    <s v="Good"/>
    <x v="1"/>
    <n v="54"/>
    <s v="Developing"/>
    <x v="2"/>
    <s v="Personality &amp; Communication"/>
    <s v="Work on communication and personality development"/>
  </r>
  <r>
    <n v="24"/>
    <n v="0"/>
    <n v="1"/>
    <n v="4"/>
    <n v="4"/>
    <n v="31.4752945502491"/>
    <n v="79"/>
    <n v="88"/>
    <n v="51"/>
    <n v="3"/>
    <n v="0"/>
    <s v="C310"/>
    <s v="Male"/>
    <s v="Bachelor's Type 1"/>
    <s v="Mid Level"/>
    <s v="Strong"/>
    <s v="Advanced"/>
    <s v="Good"/>
    <x v="1"/>
    <n v="67"/>
    <s v="Developing"/>
    <x v="1"/>
    <s v="Personality &amp; Communication"/>
    <s v="Work on communication and personality development"/>
  </r>
  <r>
    <n v="39"/>
    <n v="1"/>
    <n v="1"/>
    <n v="0"/>
    <n v="3"/>
    <n v="29.421597716525099"/>
    <n v="37"/>
    <n v="31"/>
    <n v="62"/>
    <n v="3"/>
    <n v="0"/>
    <s v="C311"/>
    <s v="Female"/>
    <s v="Bachelor's Type 1"/>
    <s v="Entry Level"/>
    <s v="Low"/>
    <s v="Beginner"/>
    <s v="Good"/>
    <x v="1"/>
    <n v="35"/>
    <s v="Needs Improvement"/>
    <x v="0"/>
    <s v="Technical Skills"/>
    <s v="Strengthen technical skills and practical knowledge"/>
  </r>
  <r>
    <n v="21"/>
    <n v="1"/>
    <n v="1"/>
    <n v="3"/>
    <n v="2"/>
    <n v="40.599651670285397"/>
    <n v="64"/>
    <n v="37"/>
    <n v="72"/>
    <n v="3"/>
    <n v="0"/>
    <s v="C312"/>
    <s v="Female"/>
    <s v="Bachelor's Type 1"/>
    <s v="Mid Level"/>
    <s v="Average"/>
    <s v="Beginner"/>
    <s v="Good"/>
    <x v="1"/>
    <n v="50"/>
    <s v="Developing"/>
    <x v="0"/>
    <s v="Technical Skills"/>
    <s v="Strengthen technical skills and practical knowledge"/>
  </r>
  <r>
    <n v="25"/>
    <n v="1"/>
    <n v="2"/>
    <n v="11"/>
    <n v="3"/>
    <n v="50.334380580851203"/>
    <n v="74"/>
    <n v="21"/>
    <n v="52"/>
    <n v="2"/>
    <n v="0"/>
    <s v="C313"/>
    <s v="Female"/>
    <s v="Bachelor's Type 2"/>
    <s v="Senior Level"/>
    <s v="Average"/>
    <s v="Beginner"/>
    <s v="Good"/>
    <x v="1"/>
    <n v="52"/>
    <s v="Developing"/>
    <x v="2"/>
    <s v="Technical Skills"/>
    <s v="Strengthen technical skills and practical knowledge"/>
  </r>
  <r>
    <n v="41"/>
    <n v="1"/>
    <n v="1"/>
    <n v="11"/>
    <n v="1"/>
    <n v="13.5436735858055"/>
    <n v="50"/>
    <n v="15"/>
    <n v="56"/>
    <n v="1"/>
    <n v="0"/>
    <s v="C314"/>
    <s v="Female"/>
    <s v="Bachelor's Type 1"/>
    <s v="Senior Level"/>
    <s v="Average"/>
    <s v="Beginner"/>
    <s v="Good"/>
    <x v="1"/>
    <n v="44"/>
    <s v="Needs Improvement"/>
    <x v="0"/>
    <s v="Technical Skills"/>
    <s v="Strengthen technical skills and practical knowledge"/>
  </r>
  <r>
    <n v="30"/>
    <n v="0"/>
    <n v="2"/>
    <n v="10"/>
    <n v="5"/>
    <n v="26.482822540188"/>
    <n v="34"/>
    <n v="51"/>
    <n v="51"/>
    <n v="3"/>
    <n v="0"/>
    <s v="C315"/>
    <s v="Male"/>
    <s v="Bachelor's Type 2"/>
    <s v="Senior Level"/>
    <s v="Low"/>
    <s v="Intermediate"/>
    <s v="Good"/>
    <x v="1"/>
    <n v="48"/>
    <s v="Needs Improvement"/>
    <x v="1"/>
    <s v="Interview Preparation"/>
    <s v="Improve interview preparation and communication"/>
  </r>
  <r>
    <n v="50"/>
    <n v="0"/>
    <n v="2"/>
    <n v="7"/>
    <n v="5"/>
    <n v="46.443270315950102"/>
    <n v="42"/>
    <n v="28"/>
    <n v="42"/>
    <n v="1"/>
    <n v="0"/>
    <s v="C316"/>
    <s v="Male"/>
    <s v="Bachelor's Type 2"/>
    <s v="Senior Level"/>
    <s v="Low"/>
    <s v="Beginner"/>
    <s v="Needs Improvement"/>
    <x v="1"/>
    <n v="39"/>
    <s v="Needs Improvement"/>
    <x v="2"/>
    <s v="Technical Skills"/>
    <s v="Strengthen technical skills and practical knowledge"/>
  </r>
  <r>
    <n v="35"/>
    <n v="1"/>
    <n v="2"/>
    <n v="9"/>
    <n v="3"/>
    <n v="40.259494221141999"/>
    <n v="28"/>
    <n v="15"/>
    <n v="6"/>
    <n v="3"/>
    <n v="0"/>
    <s v="C317"/>
    <s v="Female"/>
    <s v="Bachelor's Type 2"/>
    <s v="Senior Level"/>
    <s v="Low"/>
    <s v="Beginner"/>
    <s v="Needs Improvement"/>
    <x v="1"/>
    <n v="26"/>
    <s v="Needs Improvement"/>
    <x v="2"/>
    <s v="Personality &amp; Communication"/>
    <s v="Work on communication and personality development"/>
  </r>
  <r>
    <n v="35"/>
    <n v="0"/>
    <n v="1"/>
    <n v="6"/>
    <n v="5"/>
    <n v="25.370315155040299"/>
    <n v="36"/>
    <n v="75"/>
    <n v="41"/>
    <n v="3"/>
    <n v="0"/>
    <s v="C318"/>
    <s v="Male"/>
    <s v="Bachelor's Type 1"/>
    <s v="Mid Level"/>
    <s v="Low"/>
    <s v="Advanced"/>
    <s v="Needs Improvement"/>
    <x v="1"/>
    <n v="50"/>
    <s v="Developing"/>
    <x v="1"/>
    <s v="Interview Preparation"/>
    <s v="Improve interview preparation and communication"/>
  </r>
  <r>
    <n v="20"/>
    <n v="0"/>
    <n v="2"/>
    <n v="8"/>
    <n v="2"/>
    <n v="48.2685824807388"/>
    <n v="80"/>
    <n v="16"/>
    <n v="3"/>
    <n v="2"/>
    <n v="0"/>
    <s v="C319"/>
    <s v="Male"/>
    <s v="Bachelor's Type 2"/>
    <s v="Senior Level"/>
    <s v="Strong"/>
    <s v="Beginner"/>
    <s v="Needs Improvement"/>
    <x v="1"/>
    <n v="40"/>
    <s v="Needs Improvement"/>
    <x v="2"/>
    <s v="Personality &amp; Communication"/>
    <s v="Work on communication and personality development"/>
  </r>
  <r>
    <n v="28"/>
    <n v="0"/>
    <n v="4"/>
    <n v="4"/>
    <n v="3"/>
    <n v="3.86183467584046"/>
    <n v="57"/>
    <n v="100"/>
    <n v="68"/>
    <n v="3"/>
    <n v="0"/>
    <s v="C320"/>
    <s v="Male"/>
    <s v="PhD"/>
    <s v="Mid Level"/>
    <s v="Average"/>
    <s v="Advanced"/>
    <s v="Good"/>
    <x v="1"/>
    <n v="70"/>
    <s v="Developing"/>
    <x v="1"/>
    <s v="Interview Preparation"/>
    <s v="Improve interview preparation and communication"/>
  </r>
  <r>
    <n v="47"/>
    <n v="1"/>
    <n v="2"/>
    <n v="12"/>
    <n v="4"/>
    <n v="47.549930985629203"/>
    <n v="53"/>
    <n v="63"/>
    <n v="4"/>
    <n v="2"/>
    <n v="0"/>
    <s v="C321"/>
    <s v="Female"/>
    <s v="Bachelor's Type 2"/>
    <s v="Senior Level"/>
    <s v="Average"/>
    <s v="Intermediate"/>
    <s v="Needs Improvement"/>
    <x v="1"/>
    <n v="50"/>
    <s v="Developing"/>
    <x v="1"/>
    <s v="Personality &amp; Communication"/>
    <s v="Work on communication and personality development"/>
  </r>
  <r>
    <n v="46"/>
    <n v="1"/>
    <n v="2"/>
    <n v="14"/>
    <n v="2"/>
    <n v="3.5253696191403199"/>
    <n v="38"/>
    <n v="90"/>
    <n v="74"/>
    <n v="1"/>
    <n v="1"/>
    <s v="C322"/>
    <s v="Female"/>
    <s v="Bachelor's Type 2"/>
    <s v="Senior Level"/>
    <s v="Low"/>
    <s v="Advanced"/>
    <s v="Good"/>
    <x v="0"/>
    <n v="70"/>
    <s v="Developing"/>
    <x v="1"/>
    <s v="Interview Preparation"/>
    <s v="Improve interview preparation and communication"/>
  </r>
  <r>
    <n v="25"/>
    <n v="1"/>
    <n v="1"/>
    <n v="9"/>
    <n v="2"/>
    <n v="28.3652372057342"/>
    <n v="41"/>
    <n v="88"/>
    <n v="91"/>
    <n v="2"/>
    <n v="0"/>
    <s v="C323"/>
    <s v="Female"/>
    <s v="Bachelor's Type 1"/>
    <s v="Senior Level"/>
    <s v="Low"/>
    <s v="Advanced"/>
    <s v="Strong"/>
    <x v="1"/>
    <n v="68"/>
    <s v="Developing"/>
    <x v="0"/>
    <s v="Interview Preparation"/>
    <s v="Improve interview preparation and communication"/>
  </r>
  <r>
    <n v="35"/>
    <n v="0"/>
    <n v="4"/>
    <n v="3"/>
    <n v="2"/>
    <n v="45.522047400054198"/>
    <n v="27"/>
    <n v="12"/>
    <n v="79"/>
    <n v="1"/>
    <n v="1"/>
    <s v="C324"/>
    <s v="Male"/>
    <s v="PhD"/>
    <s v="Mid Level"/>
    <s v="Low"/>
    <s v="Beginner"/>
    <s v="Strong"/>
    <x v="0"/>
    <n v="36"/>
    <s v="Needs Improvement"/>
    <x v="0"/>
    <s v="Technical Skills"/>
    <s v="Strengthen technical skills and practical knowledge"/>
  </r>
  <r>
    <n v="48"/>
    <n v="1"/>
    <n v="2"/>
    <n v="7"/>
    <n v="4"/>
    <n v="14.1360471780651"/>
    <n v="28"/>
    <n v="71"/>
    <n v="40"/>
    <n v="2"/>
    <n v="0"/>
    <s v="C325"/>
    <s v="Female"/>
    <s v="Bachelor's Type 2"/>
    <s v="Senior Level"/>
    <s v="Low"/>
    <s v="Intermediate"/>
    <s v="Needs Improvement"/>
    <x v="1"/>
    <n v="47"/>
    <s v="Needs Improvement"/>
    <x v="1"/>
    <s v="Interview Preparation"/>
    <s v="Improve interview preparation and communication"/>
  </r>
  <r>
    <n v="22"/>
    <n v="1"/>
    <n v="2"/>
    <n v="8"/>
    <n v="1"/>
    <n v="24.6124249472579"/>
    <n v="42"/>
    <n v="55"/>
    <n v="93"/>
    <n v="1"/>
    <n v="1"/>
    <s v="C326"/>
    <s v="Female"/>
    <s v="Bachelor's Type 2"/>
    <s v="Senior Level"/>
    <s v="Low"/>
    <s v="Intermediate"/>
    <s v="Strong"/>
    <x v="0"/>
    <n v="58"/>
    <s v="Developing"/>
    <x v="0"/>
    <s v="Interview Preparation"/>
    <s v="Improve interview preparation and communication"/>
  </r>
  <r>
    <n v="39"/>
    <n v="0"/>
    <n v="3"/>
    <n v="12"/>
    <n v="5"/>
    <n v="17.216443956848298"/>
    <n v="2"/>
    <n v="4"/>
    <n v="3"/>
    <n v="2"/>
    <n v="0"/>
    <s v="C327"/>
    <s v="Male"/>
    <s v="Master's"/>
    <s v="Senior Level"/>
    <s v="Low"/>
    <s v="Beginner"/>
    <s v="Needs Improvement"/>
    <x v="1"/>
    <n v="18"/>
    <s v="Needs Improvement"/>
    <x v="1"/>
    <s v="Interview Preparation"/>
    <s v="Improve interview preparation and communication"/>
  </r>
  <r>
    <n v="47"/>
    <n v="1"/>
    <n v="2"/>
    <n v="6"/>
    <n v="3"/>
    <n v="48.607195853817501"/>
    <n v="9"/>
    <n v="11"/>
    <n v="1"/>
    <n v="3"/>
    <n v="0"/>
    <s v="C328"/>
    <s v="Female"/>
    <s v="Bachelor's Type 2"/>
    <s v="Mid Level"/>
    <s v="Low"/>
    <s v="Beginner"/>
    <s v="Needs Improvement"/>
    <x v="1"/>
    <n v="15"/>
    <s v="Needs Improvement"/>
    <x v="1"/>
    <s v="Personality &amp; Communication"/>
    <s v="Work on communication and personality development"/>
  </r>
  <r>
    <n v="46"/>
    <n v="1"/>
    <n v="2"/>
    <n v="13"/>
    <n v="1"/>
    <n v="42.182279737654497"/>
    <n v="58"/>
    <n v="40"/>
    <n v="66"/>
    <n v="3"/>
    <n v="0"/>
    <s v="C329"/>
    <s v="Female"/>
    <s v="Bachelor's Type 2"/>
    <s v="Senior Level"/>
    <s v="Average"/>
    <s v="Beginner"/>
    <s v="Good"/>
    <x v="1"/>
    <n v="58"/>
    <s v="Developing"/>
    <x v="0"/>
    <s v="Technical Skills"/>
    <s v="Strengthen technical skills and practical knowledge"/>
  </r>
  <r>
    <n v="23"/>
    <n v="0"/>
    <n v="2"/>
    <n v="15"/>
    <n v="3"/>
    <n v="36.450075566318901"/>
    <n v="13"/>
    <n v="2"/>
    <n v="20"/>
    <n v="2"/>
    <n v="0"/>
    <s v="C330"/>
    <s v="Male"/>
    <s v="Bachelor's Type 2"/>
    <s v="Senior Level"/>
    <s v="Low"/>
    <s v="Beginner"/>
    <s v="Needs Improvement"/>
    <x v="1"/>
    <n v="26"/>
    <s v="Needs Improvement"/>
    <x v="0"/>
    <s v="Technical Skills"/>
    <s v="Strengthen technical skills and practical knowledge"/>
  </r>
  <r>
    <n v="38"/>
    <n v="0"/>
    <n v="2"/>
    <n v="6"/>
    <n v="5"/>
    <n v="30.381349330755398"/>
    <n v="75"/>
    <n v="98"/>
    <n v="69"/>
    <n v="2"/>
    <n v="1"/>
    <s v="C331"/>
    <s v="Male"/>
    <s v="Bachelor's Type 2"/>
    <s v="Mid Level"/>
    <s v="Strong"/>
    <s v="Advanced"/>
    <s v="Good"/>
    <x v="0"/>
    <n v="74"/>
    <s v="Developing"/>
    <x v="1"/>
    <s v="Personality &amp; Communication"/>
    <s v="Work on communication and personality development"/>
  </r>
  <r>
    <n v="45"/>
    <n v="0"/>
    <n v="4"/>
    <n v="15"/>
    <n v="4"/>
    <n v="42.029589466207398"/>
    <n v="46"/>
    <n v="32"/>
    <n v="42"/>
    <n v="2"/>
    <n v="0"/>
    <s v="C332"/>
    <s v="Male"/>
    <s v="PhD"/>
    <s v="Senior Level"/>
    <s v="Low"/>
    <s v="Beginner"/>
    <s v="Needs Improvement"/>
    <x v="1"/>
    <n v="52"/>
    <s v="Developing"/>
    <x v="2"/>
    <s v="Technical Skills"/>
    <s v="Strengthen technical skills and practical knowledge"/>
  </r>
  <r>
    <n v="22"/>
    <n v="1"/>
    <n v="3"/>
    <n v="4"/>
    <n v="2"/>
    <n v="20.6133520761773"/>
    <n v="41"/>
    <n v="85"/>
    <n v="81"/>
    <n v="3"/>
    <n v="0"/>
    <s v="C333"/>
    <s v="Female"/>
    <s v="Master's"/>
    <s v="Mid Level"/>
    <s v="Low"/>
    <s v="Advanced"/>
    <s v="Strong"/>
    <x v="1"/>
    <n v="62"/>
    <s v="Developing"/>
    <x v="1"/>
    <s v="Interview Preparation"/>
    <s v="Improve interview preparation and communication"/>
  </r>
  <r>
    <n v="50"/>
    <n v="1"/>
    <n v="2"/>
    <n v="3"/>
    <n v="2"/>
    <n v="23.377592755302999"/>
    <n v="93"/>
    <n v="49"/>
    <n v="68"/>
    <n v="2"/>
    <n v="0"/>
    <s v="C334"/>
    <s v="Female"/>
    <s v="Bachelor's Type 2"/>
    <s v="Mid Level"/>
    <s v="Strong"/>
    <s v="Beginner"/>
    <s v="Good"/>
    <x v="1"/>
    <n v="62"/>
    <s v="Developing"/>
    <x v="2"/>
    <s v="Technical Skills"/>
    <s v="Strengthen technical skills and practical knowledge"/>
  </r>
  <r>
    <n v="38"/>
    <n v="1"/>
    <n v="1"/>
    <n v="13"/>
    <n v="4"/>
    <n v="37.500086054043003"/>
    <n v="31"/>
    <n v="55"/>
    <n v="8"/>
    <n v="2"/>
    <n v="0"/>
    <s v="C335"/>
    <s v="Female"/>
    <s v="Bachelor's Type 1"/>
    <s v="Senior Level"/>
    <s v="Low"/>
    <s v="Intermediate"/>
    <s v="Needs Improvement"/>
    <x v="1"/>
    <n v="43"/>
    <s v="Needs Improvement"/>
    <x v="1"/>
    <s v="Personality &amp; Communication"/>
    <s v="Work on communication and personality development"/>
  </r>
  <r>
    <n v="39"/>
    <n v="0"/>
    <n v="1"/>
    <n v="9"/>
    <n v="1"/>
    <n v="18.8877381646857"/>
    <n v="31"/>
    <n v="8"/>
    <n v="83"/>
    <n v="3"/>
    <n v="0"/>
    <s v="C336"/>
    <s v="Male"/>
    <s v="Bachelor's Type 1"/>
    <s v="Senior Level"/>
    <s v="Low"/>
    <s v="Beginner"/>
    <s v="Strong"/>
    <x v="1"/>
    <n v="40"/>
    <s v="Needs Improvement"/>
    <x v="0"/>
    <s v="Technical Skills"/>
    <s v="Strengthen technical skills and practical knowledge"/>
  </r>
  <r>
    <n v="26"/>
    <n v="0"/>
    <n v="2"/>
    <n v="0"/>
    <n v="1"/>
    <n v="4.1950471024186902"/>
    <n v="41"/>
    <n v="81"/>
    <n v="27"/>
    <n v="2"/>
    <n v="0"/>
    <s v="C337"/>
    <s v="Male"/>
    <s v="Bachelor's Type 2"/>
    <s v="Entry Level"/>
    <s v="Low"/>
    <s v="Advanced"/>
    <s v="Needs Improvement"/>
    <x v="1"/>
    <n v="45"/>
    <s v="Needs Improvement"/>
    <x v="1"/>
    <s v="Personality &amp; Communication"/>
    <s v="Work on communication and personality development"/>
  </r>
  <r>
    <n v="39"/>
    <n v="1"/>
    <n v="3"/>
    <n v="9"/>
    <n v="3"/>
    <n v="4.71673044430357"/>
    <n v="31"/>
    <n v="49"/>
    <n v="25"/>
    <n v="3"/>
    <n v="0"/>
    <s v="C338"/>
    <s v="Female"/>
    <s v="Master's"/>
    <s v="Senior Level"/>
    <s v="Low"/>
    <s v="Beginner"/>
    <s v="Needs Improvement"/>
    <x v="1"/>
    <n v="42"/>
    <s v="Needs Improvement"/>
    <x v="1"/>
    <s v="Personality &amp; Communication"/>
    <s v="Work on communication and personality development"/>
  </r>
  <r>
    <n v="28"/>
    <n v="1"/>
    <n v="2"/>
    <n v="9"/>
    <n v="4"/>
    <n v="6.7681400652851904"/>
    <n v="25"/>
    <n v="28"/>
    <n v="81"/>
    <n v="3"/>
    <n v="0"/>
    <s v="C339"/>
    <s v="Female"/>
    <s v="Bachelor's Type 2"/>
    <s v="Senior Level"/>
    <s v="Low"/>
    <s v="Beginner"/>
    <s v="Strong"/>
    <x v="1"/>
    <n v="44"/>
    <s v="Needs Improvement"/>
    <x v="0"/>
    <s v="Interview Preparation"/>
    <s v="Improve interview preparation and communication"/>
  </r>
  <r>
    <n v="20"/>
    <n v="0"/>
    <n v="2"/>
    <n v="6"/>
    <n v="1"/>
    <n v="44.484066167183101"/>
    <n v="0"/>
    <n v="38"/>
    <n v="82"/>
    <n v="3"/>
    <n v="0"/>
    <s v="C340"/>
    <s v="Male"/>
    <s v="Bachelor's Type 2"/>
    <s v="Mid Level"/>
    <s v="Low"/>
    <s v="Beginner"/>
    <s v="Strong"/>
    <x v="1"/>
    <n v="36"/>
    <s v="Needs Improvement"/>
    <x v="0"/>
    <s v="Interview Preparation"/>
    <s v="Improve interview preparation and communication"/>
  </r>
  <r>
    <n v="27"/>
    <n v="0"/>
    <n v="3"/>
    <n v="15"/>
    <n v="4"/>
    <n v="24.611321287810199"/>
    <n v="55"/>
    <n v="90"/>
    <n v="2"/>
    <n v="1"/>
    <n v="1"/>
    <s v="C341"/>
    <s v="Male"/>
    <s v="Master's"/>
    <s v="Senior Level"/>
    <s v="Average"/>
    <s v="Advanced"/>
    <s v="Needs Improvement"/>
    <x v="0"/>
    <n v="63"/>
    <s v="Developing"/>
    <x v="1"/>
    <s v="Personality &amp; Communication"/>
    <s v="Work on communication and personality development"/>
  </r>
  <r>
    <n v="26"/>
    <n v="0"/>
    <n v="1"/>
    <n v="0"/>
    <n v="5"/>
    <n v="36.644118467236801"/>
    <n v="1"/>
    <n v="99"/>
    <n v="72"/>
    <n v="2"/>
    <n v="0"/>
    <s v="C342"/>
    <s v="Male"/>
    <s v="Bachelor's Type 1"/>
    <s v="Entry Level"/>
    <s v="Low"/>
    <s v="Advanced"/>
    <s v="Good"/>
    <x v="1"/>
    <n v="47"/>
    <s v="Needs Improvement"/>
    <x v="1"/>
    <s v="Interview Preparation"/>
    <s v="Improve interview preparation and communication"/>
  </r>
  <r>
    <n v="37"/>
    <n v="0"/>
    <n v="2"/>
    <n v="0"/>
    <n v="2"/>
    <n v="20.6454667802446"/>
    <n v="80"/>
    <n v="44"/>
    <n v="99"/>
    <n v="3"/>
    <n v="0"/>
    <s v="C343"/>
    <s v="Male"/>
    <s v="Bachelor's Type 2"/>
    <s v="Entry Level"/>
    <s v="Strong"/>
    <s v="Beginner"/>
    <s v="Strong"/>
    <x v="1"/>
    <n v="60"/>
    <s v="Developing"/>
    <x v="0"/>
    <s v="Technical Skills"/>
    <s v="Strengthen technical skills and practical knowledge"/>
  </r>
  <r>
    <n v="27"/>
    <n v="1"/>
    <n v="1"/>
    <n v="4"/>
    <n v="2"/>
    <n v="13.9355473707817"/>
    <n v="29"/>
    <n v="16"/>
    <n v="94"/>
    <n v="2"/>
    <n v="0"/>
    <s v="C344"/>
    <s v="Female"/>
    <s v="Bachelor's Type 1"/>
    <s v="Mid Level"/>
    <s v="Low"/>
    <s v="Beginner"/>
    <s v="Strong"/>
    <x v="1"/>
    <n v="39"/>
    <s v="Needs Improvement"/>
    <x v="0"/>
    <s v="Technical Skills"/>
    <s v="Strengthen technical skills and practical knowledge"/>
  </r>
  <r>
    <n v="20"/>
    <n v="0"/>
    <n v="4"/>
    <n v="12"/>
    <n v="2"/>
    <n v="18.359608378110501"/>
    <n v="70"/>
    <n v="55"/>
    <n v="48"/>
    <n v="2"/>
    <n v="0"/>
    <s v="C345"/>
    <s v="Male"/>
    <s v="PhD"/>
    <s v="Senior Level"/>
    <s v="Average"/>
    <s v="Intermediate"/>
    <s v="Needs Improvement"/>
    <x v="1"/>
    <n v="64"/>
    <s v="Developing"/>
    <x v="2"/>
    <s v="Personality &amp; Communication"/>
    <s v="Work on communication and personality development"/>
  </r>
  <r>
    <n v="30"/>
    <n v="1"/>
    <n v="2"/>
    <n v="8"/>
    <n v="4"/>
    <n v="40.709117265859099"/>
    <n v="51"/>
    <n v="97"/>
    <n v="16"/>
    <n v="1"/>
    <n v="1"/>
    <s v="C346"/>
    <s v="Female"/>
    <s v="Bachelor's Type 2"/>
    <s v="Senior Level"/>
    <s v="Average"/>
    <s v="Advanced"/>
    <s v="Needs Improvement"/>
    <x v="0"/>
    <n v="58"/>
    <s v="Developing"/>
    <x v="1"/>
    <s v="Personality &amp; Communication"/>
    <s v="Work on communication and personality development"/>
  </r>
  <r>
    <n v="47"/>
    <n v="1"/>
    <n v="1"/>
    <n v="5"/>
    <n v="4"/>
    <n v="32.2608062515719"/>
    <n v="90"/>
    <n v="45"/>
    <n v="62"/>
    <n v="1"/>
    <n v="1"/>
    <s v="C347"/>
    <s v="Female"/>
    <s v="Bachelor's Type 1"/>
    <s v="Mid Level"/>
    <s v="Strong"/>
    <s v="Beginner"/>
    <s v="Good"/>
    <x v="0"/>
    <n v="60"/>
    <s v="Developing"/>
    <x v="2"/>
    <s v="Technical Skills"/>
    <s v="Strengthen technical skills and practical knowledge"/>
  </r>
  <r>
    <n v="44"/>
    <n v="1"/>
    <n v="2"/>
    <n v="2"/>
    <n v="3"/>
    <n v="47.8819889978951"/>
    <n v="8"/>
    <n v="66"/>
    <n v="54"/>
    <n v="2"/>
    <n v="0"/>
    <s v="C348"/>
    <s v="Female"/>
    <s v="Bachelor's Type 2"/>
    <s v="Entry Level"/>
    <s v="Low"/>
    <s v="Intermediate"/>
    <s v="Good"/>
    <x v="1"/>
    <n v="38"/>
    <s v="Needs Improvement"/>
    <x v="1"/>
    <s v="Interview Preparation"/>
    <s v="Improve interview preparation and communication"/>
  </r>
  <r>
    <n v="44"/>
    <n v="0"/>
    <n v="2"/>
    <n v="12"/>
    <n v="2"/>
    <n v="34.985238928841603"/>
    <n v="21"/>
    <n v="68"/>
    <n v="22"/>
    <n v="2"/>
    <n v="0"/>
    <s v="C349"/>
    <s v="Male"/>
    <s v="Bachelor's Type 2"/>
    <s v="Senior Level"/>
    <s v="Low"/>
    <s v="Intermediate"/>
    <s v="Needs Improvement"/>
    <x v="1"/>
    <n v="46"/>
    <s v="Needs Improvement"/>
    <x v="1"/>
    <s v="Interview Preparation"/>
    <s v="Improve interview preparation and communication"/>
  </r>
  <r>
    <n v="37"/>
    <n v="0"/>
    <n v="3"/>
    <n v="2"/>
    <n v="3"/>
    <n v="29.509081587734698"/>
    <n v="33"/>
    <n v="13"/>
    <n v="33"/>
    <n v="2"/>
    <n v="0"/>
    <s v="C350"/>
    <s v="Male"/>
    <s v="Master's"/>
    <s v="Entry Level"/>
    <s v="Low"/>
    <s v="Beginner"/>
    <s v="Needs Improvement"/>
    <x v="1"/>
    <n v="26"/>
    <s v="Needs Improvement"/>
    <x v="2"/>
    <s v="Technical Skills"/>
    <s v="Strengthen technical skills and practical knowledge"/>
  </r>
  <r>
    <n v="42"/>
    <n v="0"/>
    <n v="3"/>
    <n v="6"/>
    <n v="2"/>
    <n v="31.509800449291699"/>
    <n v="48"/>
    <n v="66"/>
    <n v="68"/>
    <n v="2"/>
    <n v="1"/>
    <s v="C351"/>
    <s v="Male"/>
    <s v="Master's"/>
    <s v="Mid Level"/>
    <s v="Low"/>
    <s v="Intermediate"/>
    <s v="Good"/>
    <x v="0"/>
    <n v="58"/>
    <s v="Developing"/>
    <x v="0"/>
    <s v="Interview Preparation"/>
    <s v="Improve interview preparation and communication"/>
  </r>
  <r>
    <n v="50"/>
    <n v="0"/>
    <n v="2"/>
    <n v="5"/>
    <n v="3"/>
    <n v="48.1185719734207"/>
    <n v="0"/>
    <n v="22"/>
    <n v="14"/>
    <n v="2"/>
    <n v="0"/>
    <s v="C352"/>
    <s v="Male"/>
    <s v="Bachelor's Type 2"/>
    <s v="Mid Level"/>
    <s v="Low"/>
    <s v="Beginner"/>
    <s v="Needs Improvement"/>
    <x v="1"/>
    <n v="17"/>
    <s v="Needs Improvement"/>
    <x v="1"/>
    <s v="Interview Preparation"/>
    <s v="Improve interview preparation and communication"/>
  </r>
  <r>
    <n v="49"/>
    <n v="1"/>
    <n v="1"/>
    <n v="8"/>
    <n v="3"/>
    <n v="40.410046493335301"/>
    <n v="72"/>
    <n v="93"/>
    <n v="46"/>
    <n v="2"/>
    <n v="0"/>
    <s v="C353"/>
    <s v="Female"/>
    <s v="Bachelor's Type 1"/>
    <s v="Senior Level"/>
    <s v="Average"/>
    <s v="Advanced"/>
    <s v="Needs Improvement"/>
    <x v="1"/>
    <n v="69"/>
    <s v="Developing"/>
    <x v="1"/>
    <s v="Personality &amp; Communication"/>
    <s v="Work on communication and personality development"/>
  </r>
  <r>
    <n v="29"/>
    <n v="0"/>
    <n v="1"/>
    <n v="5"/>
    <n v="5"/>
    <n v="2.20206186832189"/>
    <n v="83"/>
    <n v="60"/>
    <n v="2"/>
    <n v="2"/>
    <n v="0"/>
    <s v="C354"/>
    <s v="Male"/>
    <s v="Bachelor's Type 1"/>
    <s v="Mid Level"/>
    <s v="Strong"/>
    <s v="Intermediate"/>
    <s v="Needs Improvement"/>
    <x v="1"/>
    <n v="51"/>
    <s v="Developing"/>
    <x v="2"/>
    <s v="Personality &amp; Communication"/>
    <s v="Work on communication and personality development"/>
  </r>
  <r>
    <n v="22"/>
    <n v="0"/>
    <n v="1"/>
    <n v="4"/>
    <n v="3"/>
    <n v="27.706984806784799"/>
    <n v="52"/>
    <n v="22"/>
    <n v="82"/>
    <n v="2"/>
    <n v="0"/>
    <s v="C355"/>
    <s v="Male"/>
    <s v="Bachelor's Type 1"/>
    <s v="Mid Level"/>
    <s v="Average"/>
    <s v="Beginner"/>
    <s v="Strong"/>
    <x v="1"/>
    <n v="45"/>
    <s v="Needs Improvement"/>
    <x v="0"/>
    <s v="Technical Skills"/>
    <s v="Strengthen technical skills and practical knowledge"/>
  </r>
  <r>
    <n v="26"/>
    <n v="1"/>
    <n v="2"/>
    <n v="9"/>
    <n v="4"/>
    <n v="35.416920577328199"/>
    <n v="82"/>
    <n v="26"/>
    <n v="27"/>
    <n v="2"/>
    <n v="0"/>
    <s v="C356"/>
    <s v="Female"/>
    <s v="Bachelor's Type 2"/>
    <s v="Senior Level"/>
    <s v="Strong"/>
    <s v="Beginner"/>
    <s v="Needs Improvement"/>
    <x v="1"/>
    <n v="49"/>
    <s v="Needs Improvement"/>
    <x v="2"/>
    <s v="Technical Skills"/>
    <s v="Strengthen technical skills and practical knowledge"/>
  </r>
  <r>
    <n v="47"/>
    <n v="0"/>
    <n v="3"/>
    <n v="6"/>
    <n v="3"/>
    <n v="38.434923921957697"/>
    <n v="99"/>
    <n v="53"/>
    <n v="2"/>
    <n v="1"/>
    <n v="1"/>
    <s v="C357"/>
    <s v="Male"/>
    <s v="Master's"/>
    <s v="Mid Level"/>
    <s v="Strong"/>
    <s v="Intermediate"/>
    <s v="Needs Improvement"/>
    <x v="0"/>
    <n v="56"/>
    <s v="Developing"/>
    <x v="2"/>
    <s v="Personality &amp; Communication"/>
    <s v="Work on communication and personality development"/>
  </r>
  <r>
    <n v="35"/>
    <n v="1"/>
    <n v="2"/>
    <n v="0"/>
    <n v="2"/>
    <n v="11.6571059656968"/>
    <n v="39"/>
    <n v="9"/>
    <n v="3"/>
    <n v="2"/>
    <n v="0"/>
    <s v="C358"/>
    <s v="Female"/>
    <s v="Bachelor's Type 2"/>
    <s v="Entry Level"/>
    <s v="Low"/>
    <s v="Beginner"/>
    <s v="Needs Improvement"/>
    <x v="1"/>
    <n v="18"/>
    <s v="Needs Improvement"/>
    <x v="2"/>
    <s v="Personality &amp; Communication"/>
    <s v="Work on communication and personality development"/>
  </r>
  <r>
    <n v="45"/>
    <n v="1"/>
    <n v="1"/>
    <n v="11"/>
    <n v="3"/>
    <n v="44.358867722567602"/>
    <n v="44"/>
    <n v="88"/>
    <n v="87"/>
    <n v="2"/>
    <n v="0"/>
    <s v="C359"/>
    <s v="Female"/>
    <s v="Bachelor's Type 1"/>
    <s v="Senior Level"/>
    <s v="Low"/>
    <s v="Advanced"/>
    <s v="Strong"/>
    <x v="1"/>
    <n v="71"/>
    <s v="Developing"/>
    <x v="1"/>
    <s v="Interview Preparation"/>
    <s v="Improve interview preparation and communication"/>
  </r>
  <r>
    <n v="35"/>
    <n v="1"/>
    <n v="2"/>
    <n v="6"/>
    <n v="1"/>
    <n v="48.792157358758097"/>
    <n v="67"/>
    <n v="76"/>
    <n v="30"/>
    <n v="2"/>
    <n v="0"/>
    <s v="C360"/>
    <s v="Female"/>
    <s v="Bachelor's Type 2"/>
    <s v="Mid Level"/>
    <s v="Average"/>
    <s v="Advanced"/>
    <s v="Needs Improvement"/>
    <x v="1"/>
    <n v="57"/>
    <s v="Developing"/>
    <x v="1"/>
    <s v="Personality &amp; Communication"/>
    <s v="Work on communication and personality development"/>
  </r>
  <r>
    <n v="44"/>
    <n v="1"/>
    <n v="3"/>
    <n v="15"/>
    <n v="2"/>
    <n v="12.8357652922434"/>
    <n v="8"/>
    <n v="15"/>
    <n v="44"/>
    <n v="2"/>
    <n v="0"/>
    <s v="C361"/>
    <s v="Female"/>
    <s v="Master's"/>
    <s v="Senior Level"/>
    <s v="Low"/>
    <s v="Beginner"/>
    <s v="Needs Improvement"/>
    <x v="1"/>
    <n v="34"/>
    <s v="Needs Improvement"/>
    <x v="0"/>
    <s v="Interview Preparation"/>
    <s v="Improve interview preparation and communication"/>
  </r>
  <r>
    <n v="39"/>
    <n v="1"/>
    <n v="3"/>
    <n v="2"/>
    <n v="1"/>
    <n v="45.130772875862199"/>
    <n v="21"/>
    <n v="40"/>
    <n v="58"/>
    <n v="2"/>
    <n v="0"/>
    <s v="C362"/>
    <s v="Female"/>
    <s v="Master's"/>
    <s v="Entry Level"/>
    <s v="Low"/>
    <s v="Beginner"/>
    <s v="Good"/>
    <x v="1"/>
    <n v="36"/>
    <s v="Needs Improvement"/>
    <x v="0"/>
    <s v="Interview Preparation"/>
    <s v="Improve interview preparation and communication"/>
  </r>
  <r>
    <n v="47"/>
    <n v="1"/>
    <n v="3"/>
    <n v="13"/>
    <n v="2"/>
    <n v="5.8489381258047697"/>
    <n v="17"/>
    <n v="97"/>
    <n v="44"/>
    <n v="1"/>
    <n v="1"/>
    <s v="C363"/>
    <s v="Female"/>
    <s v="Master's"/>
    <s v="Senior Level"/>
    <s v="Low"/>
    <s v="Advanced"/>
    <s v="Needs Improvement"/>
    <x v="0"/>
    <n v="60"/>
    <s v="Developing"/>
    <x v="1"/>
    <s v="Interview Preparation"/>
    <s v="Improve interview preparation and communication"/>
  </r>
  <r>
    <n v="36"/>
    <n v="1"/>
    <n v="2"/>
    <n v="8"/>
    <n v="4"/>
    <n v="3.7853418057622501"/>
    <n v="75"/>
    <n v="54"/>
    <n v="74"/>
    <n v="3"/>
    <n v="1"/>
    <s v="C364"/>
    <s v="Female"/>
    <s v="Bachelor's Type 2"/>
    <s v="Senior Level"/>
    <s v="Strong"/>
    <s v="Intermediate"/>
    <s v="Good"/>
    <x v="0"/>
    <n v="64"/>
    <s v="Developing"/>
    <x v="2"/>
    <s v="Technical Skills"/>
    <s v="Strengthen technical skills and practical knowledge"/>
  </r>
  <r>
    <n v="21"/>
    <n v="1"/>
    <n v="1"/>
    <n v="14"/>
    <n v="4"/>
    <n v="7.4611900051374596"/>
    <n v="42"/>
    <n v="100"/>
    <n v="36"/>
    <n v="1"/>
    <n v="1"/>
    <s v="C365"/>
    <s v="Female"/>
    <s v="Bachelor's Type 1"/>
    <s v="Senior Level"/>
    <s v="Low"/>
    <s v="Advanced"/>
    <s v="Needs Improvement"/>
    <x v="0"/>
    <n v="66"/>
    <s v="Developing"/>
    <x v="1"/>
    <s v="Personality &amp; Communication"/>
    <s v="Work on communication and personality development"/>
  </r>
  <r>
    <n v="20"/>
    <n v="0"/>
    <n v="3"/>
    <n v="5"/>
    <n v="4"/>
    <n v="3.8870539733517999"/>
    <n v="38"/>
    <n v="60"/>
    <n v="64"/>
    <n v="3"/>
    <n v="0"/>
    <s v="C366"/>
    <s v="Male"/>
    <s v="Master's"/>
    <s v="Mid Level"/>
    <s v="Low"/>
    <s v="Intermediate"/>
    <s v="Good"/>
    <x v="1"/>
    <n v="51"/>
    <s v="Developing"/>
    <x v="0"/>
    <s v="Interview Preparation"/>
    <s v="Improve interview preparation and communication"/>
  </r>
  <r>
    <n v="35"/>
    <n v="0"/>
    <n v="2"/>
    <n v="8"/>
    <n v="1"/>
    <n v="43.250611857788797"/>
    <n v="72"/>
    <n v="85"/>
    <n v="8"/>
    <n v="2"/>
    <n v="0"/>
    <s v="C367"/>
    <s v="Male"/>
    <s v="Bachelor's Type 2"/>
    <s v="Senior Level"/>
    <s v="Average"/>
    <s v="Advanced"/>
    <s v="Needs Improvement"/>
    <x v="1"/>
    <n v="59"/>
    <s v="Developing"/>
    <x v="1"/>
    <s v="Personality &amp; Communication"/>
    <s v="Work on communication and personality development"/>
  </r>
  <r>
    <n v="49"/>
    <n v="0"/>
    <n v="2"/>
    <n v="12"/>
    <n v="5"/>
    <n v="3.95250722291359"/>
    <n v="5"/>
    <n v="80"/>
    <n v="16"/>
    <n v="2"/>
    <n v="0"/>
    <s v="C368"/>
    <s v="Male"/>
    <s v="Bachelor's Type 2"/>
    <s v="Senior Level"/>
    <s v="Low"/>
    <s v="Advanced"/>
    <s v="Needs Improvement"/>
    <x v="1"/>
    <n v="43"/>
    <s v="Needs Improvement"/>
    <x v="1"/>
    <s v="Interview Preparation"/>
    <s v="Improve interview preparation and communication"/>
  </r>
  <r>
    <n v="31"/>
    <n v="0"/>
    <n v="3"/>
    <n v="14"/>
    <n v="2"/>
    <n v="14.583209568182699"/>
    <n v="82"/>
    <n v="86"/>
    <n v="64"/>
    <n v="1"/>
    <n v="1"/>
    <s v="C369"/>
    <s v="Male"/>
    <s v="Master's"/>
    <s v="Senior Level"/>
    <s v="Strong"/>
    <s v="Advanced"/>
    <s v="Good"/>
    <x v="0"/>
    <n v="81"/>
    <s v="Job Ready"/>
    <x v="1"/>
    <s v="Personality &amp; Communication"/>
    <s v="Work on communication and personality development"/>
  </r>
  <r>
    <n v="24"/>
    <n v="1"/>
    <n v="3"/>
    <n v="4"/>
    <n v="4"/>
    <n v="6.1878171767928096"/>
    <n v="47"/>
    <n v="99"/>
    <n v="2"/>
    <n v="1"/>
    <n v="1"/>
    <s v="C370"/>
    <s v="Female"/>
    <s v="Master's"/>
    <s v="Mid Level"/>
    <s v="Low"/>
    <s v="Advanced"/>
    <s v="Needs Improvement"/>
    <x v="0"/>
    <n v="52"/>
    <s v="Developing"/>
    <x v="1"/>
    <s v="Personality &amp; Communication"/>
    <s v="Work on communication and personality development"/>
  </r>
  <r>
    <n v="24"/>
    <n v="0"/>
    <n v="2"/>
    <n v="6"/>
    <n v="2"/>
    <n v="15.771101815688199"/>
    <n v="6"/>
    <n v="48"/>
    <n v="25"/>
    <n v="1"/>
    <n v="0"/>
    <s v="C371"/>
    <s v="Male"/>
    <s v="Bachelor's Type 2"/>
    <s v="Mid Level"/>
    <s v="Low"/>
    <s v="Beginner"/>
    <s v="Needs Improvement"/>
    <x v="1"/>
    <n v="30"/>
    <s v="Needs Improvement"/>
    <x v="1"/>
    <s v="Interview Preparation"/>
    <s v="Improve interview preparation and communication"/>
  </r>
  <r>
    <n v="46"/>
    <n v="1"/>
    <n v="2"/>
    <n v="12"/>
    <n v="1"/>
    <n v="5.5279733800460198"/>
    <n v="79"/>
    <n v="72"/>
    <n v="52"/>
    <n v="1"/>
    <n v="1"/>
    <s v="C372"/>
    <s v="Female"/>
    <s v="Bachelor's Type 2"/>
    <s v="Senior Level"/>
    <s v="Strong"/>
    <s v="Intermediate"/>
    <s v="Good"/>
    <x v="0"/>
    <n v="70"/>
    <s v="Developing"/>
    <x v="2"/>
    <s v="Personality &amp; Communication"/>
    <s v="Work on communication and personality development"/>
  </r>
  <r>
    <n v="42"/>
    <n v="0"/>
    <n v="2"/>
    <n v="15"/>
    <n v="5"/>
    <n v="34.400162537150699"/>
    <n v="68"/>
    <n v="51"/>
    <n v="30"/>
    <n v="2"/>
    <n v="0"/>
    <s v="C373"/>
    <s v="Male"/>
    <s v="Bachelor's Type 2"/>
    <s v="Senior Level"/>
    <s v="Average"/>
    <s v="Intermediate"/>
    <s v="Needs Improvement"/>
    <x v="1"/>
    <n v="59"/>
    <s v="Developing"/>
    <x v="2"/>
    <s v="Personality &amp; Communication"/>
    <s v="Work on communication and personality development"/>
  </r>
  <r>
    <n v="28"/>
    <n v="0"/>
    <n v="2"/>
    <n v="13"/>
    <n v="1"/>
    <n v="7.6663408171287504"/>
    <n v="15"/>
    <n v="1"/>
    <n v="25"/>
    <n v="2"/>
    <n v="0"/>
    <s v="C374"/>
    <s v="Male"/>
    <s v="Bachelor's Type 2"/>
    <s v="Senior Level"/>
    <s v="Low"/>
    <s v="Beginner"/>
    <s v="Needs Improvement"/>
    <x v="1"/>
    <n v="25"/>
    <s v="Needs Improvement"/>
    <x v="0"/>
    <s v="Technical Skills"/>
    <s v="Strengthen technical skills and practical knowledge"/>
  </r>
  <r>
    <n v="28"/>
    <n v="0"/>
    <n v="2"/>
    <n v="3"/>
    <n v="2"/>
    <n v="43.592296291944301"/>
    <n v="0"/>
    <n v="95"/>
    <n v="22"/>
    <n v="2"/>
    <n v="0"/>
    <s v="C375"/>
    <s v="Male"/>
    <s v="Bachelor's Type 2"/>
    <s v="Mid Level"/>
    <s v="Low"/>
    <s v="Advanced"/>
    <s v="Needs Improvement"/>
    <x v="1"/>
    <n v="38"/>
    <s v="Needs Improvement"/>
    <x v="1"/>
    <s v="Interview Preparation"/>
    <s v="Improve interview preparation and communication"/>
  </r>
  <r>
    <n v="22"/>
    <n v="1"/>
    <n v="3"/>
    <n v="14"/>
    <n v="5"/>
    <n v="41.859552536331996"/>
    <n v="36"/>
    <n v="49"/>
    <n v="29"/>
    <n v="1"/>
    <n v="1"/>
    <s v="C376"/>
    <s v="Female"/>
    <s v="Master's"/>
    <s v="Senior Level"/>
    <s v="Low"/>
    <s v="Beginner"/>
    <s v="Needs Improvement"/>
    <x v="0"/>
    <n v="49"/>
    <s v="Needs Improvement"/>
    <x v="1"/>
    <s v="Personality &amp; Communication"/>
    <s v="Work on communication and personality development"/>
  </r>
  <r>
    <n v="38"/>
    <n v="0"/>
    <n v="3"/>
    <n v="15"/>
    <n v="5"/>
    <n v="1.6830842735304701"/>
    <n v="82"/>
    <n v="85"/>
    <n v="9"/>
    <n v="3"/>
    <n v="1"/>
    <s v="C377"/>
    <s v="Male"/>
    <s v="Master's"/>
    <s v="Senior Level"/>
    <s v="Strong"/>
    <s v="Advanced"/>
    <s v="Needs Improvement"/>
    <x v="0"/>
    <n v="71"/>
    <s v="Developing"/>
    <x v="1"/>
    <s v="Personality &amp; Communication"/>
    <s v="Work on communication and personality development"/>
  </r>
  <r>
    <n v="35"/>
    <n v="1"/>
    <n v="3"/>
    <n v="6"/>
    <n v="1"/>
    <n v="45.786317775755698"/>
    <n v="36"/>
    <n v="42"/>
    <n v="71"/>
    <n v="2"/>
    <n v="0"/>
    <s v="C378"/>
    <s v="Female"/>
    <s v="Master's"/>
    <s v="Mid Level"/>
    <s v="Low"/>
    <s v="Beginner"/>
    <s v="Good"/>
    <x v="1"/>
    <n v="47"/>
    <s v="Needs Improvement"/>
    <x v="0"/>
    <s v="Interview Preparation"/>
    <s v="Improve interview preparation and communication"/>
  </r>
  <r>
    <n v="35"/>
    <n v="1"/>
    <n v="1"/>
    <n v="12"/>
    <n v="4"/>
    <n v="2.4472158371683501"/>
    <n v="80"/>
    <n v="76"/>
    <n v="88"/>
    <n v="1"/>
    <n v="1"/>
    <s v="C379"/>
    <s v="Female"/>
    <s v="Bachelor's Type 1"/>
    <s v="Senior Level"/>
    <s v="Strong"/>
    <s v="Advanced"/>
    <s v="Strong"/>
    <x v="0"/>
    <n v="79"/>
    <s v="Job Ready"/>
    <x v="0"/>
    <s v="Technical Skills"/>
    <s v="Strengthen technical skills and practical knowledge"/>
  </r>
  <r>
    <n v="22"/>
    <n v="0"/>
    <n v="3"/>
    <n v="0"/>
    <n v="2"/>
    <n v="12.9822892478778"/>
    <n v="63"/>
    <n v="7"/>
    <n v="63"/>
    <n v="2"/>
    <n v="0"/>
    <s v="C380"/>
    <s v="Male"/>
    <s v="Master's"/>
    <s v="Entry Level"/>
    <s v="Average"/>
    <s v="Beginner"/>
    <s v="Good"/>
    <x v="1"/>
    <n v="37"/>
    <s v="Needs Improvement"/>
    <x v="2"/>
    <s v="Technical Skills"/>
    <s v="Strengthen technical skills and practical knowledge"/>
  </r>
  <r>
    <n v="39"/>
    <n v="0"/>
    <n v="3"/>
    <n v="6"/>
    <n v="3"/>
    <n v="2.6194568887997498"/>
    <n v="89"/>
    <n v="58"/>
    <n v="21"/>
    <n v="1"/>
    <n v="1"/>
    <s v="C381"/>
    <s v="Male"/>
    <s v="Master's"/>
    <s v="Mid Level"/>
    <s v="Strong"/>
    <s v="Intermediate"/>
    <s v="Needs Improvement"/>
    <x v="0"/>
    <n v="58"/>
    <s v="Developing"/>
    <x v="2"/>
    <s v="Personality &amp; Communication"/>
    <s v="Work on communication and personality development"/>
  </r>
  <r>
    <n v="43"/>
    <n v="0"/>
    <n v="2"/>
    <n v="7"/>
    <n v="3"/>
    <n v="17.792174351965699"/>
    <n v="85"/>
    <n v="64"/>
    <n v="14"/>
    <n v="1"/>
    <n v="1"/>
    <s v="C382"/>
    <s v="Male"/>
    <s v="Bachelor's Type 2"/>
    <s v="Senior Level"/>
    <s v="Strong"/>
    <s v="Intermediate"/>
    <s v="Needs Improvement"/>
    <x v="0"/>
    <n v="57"/>
    <s v="Developing"/>
    <x v="2"/>
    <s v="Personality &amp; Communication"/>
    <s v="Work on communication and personality development"/>
  </r>
  <r>
    <n v="41"/>
    <n v="1"/>
    <n v="3"/>
    <n v="4"/>
    <n v="1"/>
    <n v="26.693326285663499"/>
    <n v="61"/>
    <n v="80"/>
    <n v="55"/>
    <n v="2"/>
    <n v="0"/>
    <s v="C383"/>
    <s v="Female"/>
    <s v="Master's"/>
    <s v="Mid Level"/>
    <s v="Average"/>
    <s v="Advanced"/>
    <s v="Good"/>
    <x v="1"/>
    <n v="61"/>
    <s v="Developing"/>
    <x v="1"/>
    <s v="Personality &amp; Communication"/>
    <s v="Work on communication and personality development"/>
  </r>
  <r>
    <n v="43"/>
    <n v="0"/>
    <n v="3"/>
    <n v="1"/>
    <n v="2"/>
    <n v="40.832243450756899"/>
    <n v="71"/>
    <n v="11"/>
    <n v="73"/>
    <n v="2"/>
    <n v="0"/>
    <s v="C384"/>
    <s v="Male"/>
    <s v="Master's"/>
    <s v="Entry Level"/>
    <s v="Average"/>
    <s v="Beginner"/>
    <s v="Good"/>
    <x v="1"/>
    <n v="44"/>
    <s v="Needs Improvement"/>
    <x v="0"/>
    <s v="Technical Skills"/>
    <s v="Strengthen technical skills and practical knowledge"/>
  </r>
  <r>
    <n v="20"/>
    <n v="1"/>
    <n v="2"/>
    <n v="4"/>
    <n v="2"/>
    <n v="17.899077523491801"/>
    <n v="60"/>
    <n v="3"/>
    <n v="19"/>
    <n v="3"/>
    <n v="0"/>
    <s v="C385"/>
    <s v="Female"/>
    <s v="Bachelor's Type 2"/>
    <s v="Mid Level"/>
    <s v="Average"/>
    <s v="Beginner"/>
    <s v="Needs Improvement"/>
    <x v="1"/>
    <n v="29"/>
    <s v="Needs Improvement"/>
    <x v="2"/>
    <s v="Technical Skills"/>
    <s v="Strengthen technical skills and practical knowledge"/>
  </r>
  <r>
    <n v="43"/>
    <n v="1"/>
    <n v="2"/>
    <n v="5"/>
    <n v="1"/>
    <n v="36.274501233655798"/>
    <n v="32"/>
    <n v="76"/>
    <n v="46"/>
    <n v="2"/>
    <n v="0"/>
    <s v="C386"/>
    <s v="Female"/>
    <s v="Bachelor's Type 2"/>
    <s v="Mid Level"/>
    <s v="Low"/>
    <s v="Advanced"/>
    <s v="Needs Improvement"/>
    <x v="1"/>
    <n v="49"/>
    <s v="Needs Improvement"/>
    <x v="1"/>
    <s v="Interview Preparation"/>
    <s v="Improve interview preparation and communication"/>
  </r>
  <r>
    <n v="39"/>
    <n v="0"/>
    <n v="1"/>
    <n v="11"/>
    <n v="2"/>
    <n v="10.375222855949"/>
    <n v="65"/>
    <n v="94"/>
    <n v="86"/>
    <n v="3"/>
    <n v="0"/>
    <s v="C387"/>
    <s v="Male"/>
    <s v="Bachelor's Type 1"/>
    <s v="Senior Level"/>
    <s v="Average"/>
    <s v="Advanced"/>
    <s v="Strong"/>
    <x v="1"/>
    <n v="78"/>
    <s v="Job Ready"/>
    <x v="1"/>
    <s v="Interview Preparation"/>
    <s v="Improve interview preparation and communication"/>
  </r>
  <r>
    <n v="30"/>
    <n v="0"/>
    <n v="2"/>
    <n v="1"/>
    <n v="4"/>
    <n v="38.5299228372063"/>
    <n v="29"/>
    <n v="40"/>
    <n v="52"/>
    <n v="3"/>
    <n v="0"/>
    <s v="C388"/>
    <s v="Male"/>
    <s v="Bachelor's Type 2"/>
    <s v="Entry Level"/>
    <s v="Low"/>
    <s v="Beginner"/>
    <s v="Good"/>
    <x v="1"/>
    <n v="35"/>
    <s v="Needs Improvement"/>
    <x v="0"/>
    <s v="Interview Preparation"/>
    <s v="Improve interview preparation and communication"/>
  </r>
  <r>
    <n v="36"/>
    <n v="1"/>
    <n v="2"/>
    <n v="13"/>
    <n v="1"/>
    <n v="12.799830295461801"/>
    <n v="19"/>
    <n v="6"/>
    <n v="52"/>
    <n v="3"/>
    <n v="0"/>
    <s v="C389"/>
    <s v="Female"/>
    <s v="Bachelor's Type 2"/>
    <s v="Senior Level"/>
    <s v="Low"/>
    <s v="Beginner"/>
    <s v="Good"/>
    <x v="1"/>
    <n v="33"/>
    <s v="Needs Improvement"/>
    <x v="0"/>
    <s v="Technical Skills"/>
    <s v="Strengthen technical skills and practical knowledge"/>
  </r>
  <r>
    <n v="27"/>
    <n v="1"/>
    <n v="3"/>
    <n v="5"/>
    <n v="4"/>
    <n v="8.1772377971883898"/>
    <n v="59"/>
    <n v="86"/>
    <n v="0"/>
    <n v="2"/>
    <n v="0"/>
    <s v="C390"/>
    <s v="Female"/>
    <s v="Master's"/>
    <s v="Mid Level"/>
    <s v="Average"/>
    <s v="Advanced"/>
    <s v="Needs Improvement"/>
    <x v="1"/>
    <n v="52"/>
    <s v="Developing"/>
    <x v="1"/>
    <s v="Personality &amp; Communication"/>
    <s v="Work on communication and personality development"/>
  </r>
  <r>
    <n v="23"/>
    <n v="1"/>
    <n v="2"/>
    <n v="5"/>
    <n v="2"/>
    <n v="10.2704425187027"/>
    <n v="81"/>
    <n v="87"/>
    <n v="1"/>
    <n v="1"/>
    <n v="1"/>
    <s v="C391"/>
    <s v="Female"/>
    <s v="Bachelor's Type 2"/>
    <s v="Mid Level"/>
    <s v="Strong"/>
    <s v="Advanced"/>
    <s v="Needs Improvement"/>
    <x v="0"/>
    <n v="58"/>
    <s v="Developing"/>
    <x v="1"/>
    <s v="Personality &amp; Communication"/>
    <s v="Work on communication and personality development"/>
  </r>
  <r>
    <n v="25"/>
    <n v="0"/>
    <n v="1"/>
    <n v="0"/>
    <n v="1"/>
    <n v="10.103156444092701"/>
    <n v="73"/>
    <n v="68"/>
    <n v="57"/>
    <n v="1"/>
    <n v="1"/>
    <s v="C392"/>
    <s v="Male"/>
    <s v="Bachelor's Type 1"/>
    <s v="Entry Level"/>
    <s v="Average"/>
    <s v="Intermediate"/>
    <s v="Good"/>
    <x v="0"/>
    <n v="56"/>
    <s v="Developing"/>
    <x v="2"/>
    <s v="Personality &amp; Communication"/>
    <s v="Work on communication and personality development"/>
  </r>
  <r>
    <n v="27"/>
    <n v="1"/>
    <n v="2"/>
    <n v="13"/>
    <n v="2"/>
    <n v="26.6431439688495"/>
    <n v="23"/>
    <n v="68"/>
    <n v="18"/>
    <n v="2"/>
    <n v="0"/>
    <s v="C393"/>
    <s v="Female"/>
    <s v="Bachelor's Type 2"/>
    <s v="Senior Level"/>
    <s v="Low"/>
    <s v="Intermediate"/>
    <s v="Needs Improvement"/>
    <x v="1"/>
    <n v="46"/>
    <s v="Needs Improvement"/>
    <x v="1"/>
    <s v="Personality &amp; Communication"/>
    <s v="Work on communication and personality development"/>
  </r>
  <r>
    <n v="39"/>
    <n v="0"/>
    <n v="1"/>
    <n v="0"/>
    <n v="1"/>
    <n v="43.239879059407301"/>
    <n v="3"/>
    <n v="80"/>
    <n v="61"/>
    <n v="2"/>
    <n v="0"/>
    <s v="C394"/>
    <s v="Male"/>
    <s v="Bachelor's Type 1"/>
    <s v="Entry Level"/>
    <s v="Low"/>
    <s v="Advanced"/>
    <s v="Good"/>
    <x v="1"/>
    <n v="40"/>
    <s v="Needs Improvement"/>
    <x v="1"/>
    <s v="Interview Preparation"/>
    <s v="Improve interview preparation and communication"/>
  </r>
  <r>
    <n v="49"/>
    <n v="1"/>
    <n v="1"/>
    <n v="13"/>
    <n v="2"/>
    <n v="4.9802538496252797"/>
    <n v="36"/>
    <n v="29"/>
    <n v="77"/>
    <n v="1"/>
    <n v="1"/>
    <s v="C395"/>
    <s v="Female"/>
    <s v="Bachelor's Type 1"/>
    <s v="Senior Level"/>
    <s v="Low"/>
    <s v="Beginner"/>
    <s v="Strong"/>
    <x v="0"/>
    <n v="50"/>
    <s v="Developing"/>
    <x v="0"/>
    <s v="Technical Skills"/>
    <s v="Strengthen technical skills and practical knowledge"/>
  </r>
  <r>
    <n v="22"/>
    <n v="1"/>
    <n v="1"/>
    <n v="10"/>
    <n v="4"/>
    <n v="36.347815924671103"/>
    <n v="3"/>
    <n v="72"/>
    <n v="71"/>
    <n v="2"/>
    <n v="0"/>
    <s v="C396"/>
    <s v="Female"/>
    <s v="Bachelor's Type 1"/>
    <s v="Senior Level"/>
    <s v="Low"/>
    <s v="Intermediate"/>
    <s v="Good"/>
    <x v="1"/>
    <n v="49"/>
    <s v="Needs Improvement"/>
    <x v="1"/>
    <s v="Interview Preparation"/>
    <s v="Improve interview preparation and communication"/>
  </r>
  <r>
    <n v="35"/>
    <n v="0"/>
    <n v="1"/>
    <n v="15"/>
    <n v="4"/>
    <n v="33.717322982642798"/>
    <n v="76"/>
    <n v="5"/>
    <n v="11"/>
    <n v="1"/>
    <n v="1"/>
    <s v="C397"/>
    <s v="Male"/>
    <s v="Bachelor's Type 1"/>
    <s v="Senior Level"/>
    <s v="Strong"/>
    <s v="Beginner"/>
    <s v="Needs Improvement"/>
    <x v="0"/>
    <n v="44"/>
    <s v="Needs Improvement"/>
    <x v="2"/>
    <s v="Technical Skills"/>
    <s v="Strengthen technical skills and practical knowledge"/>
  </r>
  <r>
    <n v="49"/>
    <n v="1"/>
    <n v="1"/>
    <n v="9"/>
    <n v="2"/>
    <n v="44.625997591468099"/>
    <n v="88"/>
    <n v="88"/>
    <n v="25"/>
    <n v="2"/>
    <n v="0"/>
    <s v="C398"/>
    <s v="Female"/>
    <s v="Bachelor's Type 1"/>
    <s v="Senior Level"/>
    <s v="Strong"/>
    <s v="Advanced"/>
    <s v="Needs Improvement"/>
    <x v="1"/>
    <n v="69"/>
    <s v="Developing"/>
    <x v="2"/>
    <s v="Personality &amp; Communication"/>
    <s v="Work on communication and personality development"/>
  </r>
  <r>
    <n v="44"/>
    <n v="0"/>
    <n v="2"/>
    <n v="2"/>
    <n v="1"/>
    <n v="13.207378025345299"/>
    <n v="76"/>
    <n v="18"/>
    <n v="26"/>
    <n v="1"/>
    <n v="0"/>
    <s v="C399"/>
    <s v="Male"/>
    <s v="Bachelor's Type 2"/>
    <s v="Entry Level"/>
    <s v="Strong"/>
    <s v="Beginner"/>
    <s v="Needs Improvement"/>
    <x v="1"/>
    <n v="38"/>
    <s v="Needs Improvement"/>
    <x v="2"/>
    <s v="Technical Skills"/>
    <s v="Strengthen technical skills and practical knowledge"/>
  </r>
  <r>
    <n v="22"/>
    <n v="0"/>
    <n v="2"/>
    <n v="13"/>
    <n v="3"/>
    <n v="23.5054929342514"/>
    <n v="17"/>
    <n v="79"/>
    <n v="28"/>
    <n v="2"/>
    <n v="0"/>
    <s v="C400"/>
    <s v="Male"/>
    <s v="Bachelor's Type 2"/>
    <s v="Senior Level"/>
    <s v="Low"/>
    <s v="Advanced"/>
    <s v="Needs Improvement"/>
    <x v="1"/>
    <n v="50"/>
    <s v="Developing"/>
    <x v="1"/>
    <s v="Interview Preparation"/>
    <s v="Improve interview preparation and communication"/>
  </r>
  <r>
    <n v="44"/>
    <n v="1"/>
    <n v="3"/>
    <n v="9"/>
    <n v="4"/>
    <n v="47.291368722175797"/>
    <n v="87"/>
    <n v="84"/>
    <n v="14"/>
    <n v="2"/>
    <n v="1"/>
    <s v="C401"/>
    <s v="Female"/>
    <s v="Master's"/>
    <s v="Senior Level"/>
    <s v="Strong"/>
    <s v="Advanced"/>
    <s v="Needs Improvement"/>
    <x v="0"/>
    <n v="67"/>
    <s v="Developing"/>
    <x v="2"/>
    <s v="Personality &amp; Communication"/>
    <s v="Work on communication and personality development"/>
  </r>
  <r>
    <n v="48"/>
    <n v="0"/>
    <n v="2"/>
    <n v="9"/>
    <n v="4"/>
    <n v="33.999672506765798"/>
    <n v="65"/>
    <n v="65"/>
    <n v="45"/>
    <n v="1"/>
    <n v="1"/>
    <s v="C402"/>
    <s v="Male"/>
    <s v="Bachelor's Type 2"/>
    <s v="Senior Level"/>
    <s v="Average"/>
    <s v="Intermediate"/>
    <s v="Needs Improvement"/>
    <x v="0"/>
    <n v="60"/>
    <s v="Developing"/>
    <x v="2"/>
    <s v="Personality &amp; Communication"/>
    <s v="Work on communication and personality development"/>
  </r>
  <r>
    <n v="37"/>
    <n v="0"/>
    <n v="3"/>
    <n v="14"/>
    <n v="3"/>
    <n v="20.438420643079802"/>
    <n v="47"/>
    <n v="9"/>
    <n v="0"/>
    <n v="2"/>
    <n v="0"/>
    <s v="C403"/>
    <s v="Male"/>
    <s v="Master's"/>
    <s v="Senior Level"/>
    <s v="Low"/>
    <s v="Beginner"/>
    <s v="Needs Improvement"/>
    <x v="1"/>
    <n v="35"/>
    <s v="Needs Improvement"/>
    <x v="2"/>
    <s v="Personality &amp; Communication"/>
    <s v="Work on communication and personality development"/>
  </r>
  <r>
    <n v="33"/>
    <n v="1"/>
    <n v="1"/>
    <n v="11"/>
    <n v="2"/>
    <n v="7.5706191427634204"/>
    <n v="32"/>
    <n v="15"/>
    <n v="59"/>
    <n v="2"/>
    <n v="0"/>
    <s v="C404"/>
    <s v="Female"/>
    <s v="Bachelor's Type 1"/>
    <s v="Senior Level"/>
    <s v="Low"/>
    <s v="Beginner"/>
    <s v="Good"/>
    <x v="1"/>
    <n v="39"/>
    <s v="Needs Improvement"/>
    <x v="0"/>
    <s v="Technical Skills"/>
    <s v="Strengthen technical skills and practical knowledge"/>
  </r>
  <r>
    <n v="37"/>
    <n v="0"/>
    <n v="2"/>
    <n v="2"/>
    <n v="1"/>
    <n v="14.124250395029501"/>
    <n v="57"/>
    <n v="36"/>
    <n v="91"/>
    <n v="1"/>
    <n v="0"/>
    <s v="C405"/>
    <s v="Male"/>
    <s v="Bachelor's Type 2"/>
    <s v="Entry Level"/>
    <s v="Average"/>
    <s v="Beginner"/>
    <s v="Strong"/>
    <x v="1"/>
    <n v="51"/>
    <s v="Developing"/>
    <x v="0"/>
    <s v="Technical Skills"/>
    <s v="Strengthen technical skills and practical knowledge"/>
  </r>
  <r>
    <n v="21"/>
    <n v="0"/>
    <n v="3"/>
    <n v="3"/>
    <n v="2"/>
    <n v="30.060773874469099"/>
    <n v="82"/>
    <n v="78"/>
    <n v="56"/>
    <n v="1"/>
    <n v="1"/>
    <s v="C406"/>
    <s v="Male"/>
    <s v="Master's"/>
    <s v="Mid Level"/>
    <s v="Strong"/>
    <s v="Advanced"/>
    <s v="Good"/>
    <x v="0"/>
    <n v="66"/>
    <s v="Developing"/>
    <x v="2"/>
    <s v="Personality &amp; Communication"/>
    <s v="Work on communication and personality development"/>
  </r>
  <r>
    <n v="41"/>
    <n v="0"/>
    <n v="1"/>
    <n v="1"/>
    <n v="5"/>
    <n v="36.908397378025597"/>
    <n v="72"/>
    <n v="76"/>
    <n v="2"/>
    <n v="2"/>
    <n v="0"/>
    <s v="C407"/>
    <s v="Male"/>
    <s v="Bachelor's Type 1"/>
    <s v="Entry Level"/>
    <s v="Average"/>
    <s v="Advanced"/>
    <s v="Needs Improvement"/>
    <x v="1"/>
    <n v="48"/>
    <s v="Needs Improvement"/>
    <x v="1"/>
    <s v="Personality &amp; Communication"/>
    <s v="Work on communication and personality development"/>
  </r>
  <r>
    <n v="22"/>
    <n v="1"/>
    <n v="2"/>
    <n v="8"/>
    <n v="4"/>
    <n v="7.2210943425946699"/>
    <n v="27"/>
    <n v="76"/>
    <n v="17"/>
    <n v="2"/>
    <n v="0"/>
    <s v="C408"/>
    <s v="Female"/>
    <s v="Bachelor's Type 2"/>
    <s v="Senior Level"/>
    <s v="Low"/>
    <s v="Advanced"/>
    <s v="Needs Improvement"/>
    <x v="1"/>
    <n v="45"/>
    <s v="Needs Improvement"/>
    <x v="1"/>
    <s v="Personality &amp; Communication"/>
    <s v="Work on communication and personality development"/>
  </r>
  <r>
    <n v="35"/>
    <n v="0"/>
    <n v="2"/>
    <n v="9"/>
    <n v="5"/>
    <n v="30.979863002202698"/>
    <n v="34"/>
    <n v="31"/>
    <n v="51"/>
    <n v="2"/>
    <n v="0"/>
    <s v="C409"/>
    <s v="Male"/>
    <s v="Bachelor's Type 2"/>
    <s v="Senior Level"/>
    <s v="Low"/>
    <s v="Beginner"/>
    <s v="Good"/>
    <x v="1"/>
    <n v="41"/>
    <s v="Needs Improvement"/>
    <x v="0"/>
    <s v="Technical Skills"/>
    <s v="Strengthen technical skills and practical knowledge"/>
  </r>
  <r>
    <n v="48"/>
    <n v="1"/>
    <n v="2"/>
    <n v="11"/>
    <n v="4"/>
    <n v="28.5175639419375"/>
    <n v="9"/>
    <n v="46"/>
    <n v="59"/>
    <n v="1"/>
    <n v="0"/>
    <s v="C410"/>
    <s v="Female"/>
    <s v="Bachelor's Type 2"/>
    <s v="Senior Level"/>
    <s v="Low"/>
    <s v="Beginner"/>
    <s v="Good"/>
    <x v="1"/>
    <n v="42"/>
    <s v="Needs Improvement"/>
    <x v="0"/>
    <s v="Interview Preparation"/>
    <s v="Improve interview preparation and communication"/>
  </r>
  <r>
    <n v="28"/>
    <n v="1"/>
    <n v="1"/>
    <n v="10"/>
    <n v="4"/>
    <n v="26.697772334535401"/>
    <n v="64"/>
    <n v="71"/>
    <n v="33"/>
    <n v="2"/>
    <n v="0"/>
    <s v="C411"/>
    <s v="Female"/>
    <s v="Bachelor's Type 1"/>
    <s v="Senior Level"/>
    <s v="Average"/>
    <s v="Intermediate"/>
    <s v="Needs Improvement"/>
    <x v="1"/>
    <n v="60"/>
    <s v="Developing"/>
    <x v="1"/>
    <s v="Personality &amp; Communication"/>
    <s v="Work on communication and personality development"/>
  </r>
  <r>
    <n v="23"/>
    <n v="0"/>
    <n v="2"/>
    <n v="13"/>
    <n v="5"/>
    <n v="35.506155884100302"/>
    <n v="41"/>
    <n v="42"/>
    <n v="95"/>
    <n v="1"/>
    <n v="1"/>
    <s v="C412"/>
    <s v="Male"/>
    <s v="Bachelor's Type 2"/>
    <s v="Senior Level"/>
    <s v="Low"/>
    <s v="Beginner"/>
    <s v="Strong"/>
    <x v="0"/>
    <n v="59"/>
    <s v="Developing"/>
    <x v="0"/>
    <s v="Interview Preparation"/>
    <s v="Improve interview preparation and communication"/>
  </r>
  <r>
    <n v="20"/>
    <n v="0"/>
    <n v="2"/>
    <n v="6"/>
    <n v="5"/>
    <n v="42.872479754173"/>
    <n v="84"/>
    <n v="81"/>
    <n v="92"/>
    <n v="3"/>
    <n v="1"/>
    <s v="C413"/>
    <s v="Male"/>
    <s v="Bachelor's Type 2"/>
    <s v="Mid Level"/>
    <s v="Strong"/>
    <s v="Advanced"/>
    <s v="Strong"/>
    <x v="0"/>
    <n v="76"/>
    <s v="Job Ready"/>
    <x v="0"/>
    <s v="Technical Skills"/>
    <s v="Strengthen technical skills and practical knowledge"/>
  </r>
  <r>
    <n v="23"/>
    <n v="0"/>
    <n v="1"/>
    <n v="6"/>
    <n v="2"/>
    <n v="17.1494841588434"/>
    <n v="8"/>
    <n v="35"/>
    <n v="88"/>
    <n v="2"/>
    <n v="0"/>
    <s v="C414"/>
    <s v="Male"/>
    <s v="Bachelor's Type 1"/>
    <s v="Mid Level"/>
    <s v="Low"/>
    <s v="Beginner"/>
    <s v="Strong"/>
    <x v="1"/>
    <n v="39"/>
    <s v="Needs Improvement"/>
    <x v="0"/>
    <s v="Interview Preparation"/>
    <s v="Improve interview preparation and communication"/>
  </r>
  <r>
    <n v="20"/>
    <n v="1"/>
    <n v="2"/>
    <n v="14"/>
    <n v="5"/>
    <n v="45.450609505547902"/>
    <n v="59"/>
    <n v="25"/>
    <n v="59"/>
    <n v="3"/>
    <n v="0"/>
    <s v="C415"/>
    <s v="Female"/>
    <s v="Bachelor's Type 2"/>
    <s v="Senior Level"/>
    <s v="Average"/>
    <s v="Beginner"/>
    <s v="Good"/>
    <x v="1"/>
    <n v="54"/>
    <s v="Developing"/>
    <x v="2"/>
    <s v="Technical Skills"/>
    <s v="Strengthen technical skills and practical knowledge"/>
  </r>
  <r>
    <n v="33"/>
    <n v="0"/>
    <n v="3"/>
    <n v="5"/>
    <n v="2"/>
    <n v="9.0316806309275304"/>
    <n v="14"/>
    <n v="9"/>
    <n v="25"/>
    <n v="2"/>
    <n v="0"/>
    <s v="C416"/>
    <s v="Male"/>
    <s v="Master's"/>
    <s v="Mid Level"/>
    <s v="Low"/>
    <s v="Beginner"/>
    <s v="Needs Improvement"/>
    <x v="1"/>
    <n v="21"/>
    <s v="Needs Improvement"/>
    <x v="0"/>
    <s v="Technical Skills"/>
    <s v="Strengthen technical skills and practical knowledge"/>
  </r>
  <r>
    <n v="40"/>
    <n v="0"/>
    <n v="4"/>
    <n v="14"/>
    <n v="2"/>
    <n v="9.6511934875582099"/>
    <n v="98"/>
    <n v="30"/>
    <n v="71"/>
    <n v="2"/>
    <n v="1"/>
    <s v="C417"/>
    <s v="Male"/>
    <s v="PhD"/>
    <s v="Senior Level"/>
    <s v="Strong"/>
    <s v="Beginner"/>
    <s v="Good"/>
    <x v="0"/>
    <n v="72"/>
    <s v="Developing"/>
    <x v="2"/>
    <s v="Technical Skills"/>
    <s v="Strengthen technical skills and practical knowledge"/>
  </r>
  <r>
    <n v="35"/>
    <n v="0"/>
    <n v="2"/>
    <n v="2"/>
    <n v="2"/>
    <n v="14.338603181196101"/>
    <n v="56"/>
    <n v="96"/>
    <n v="18"/>
    <n v="2"/>
    <n v="0"/>
    <s v="C418"/>
    <s v="Male"/>
    <s v="Bachelor's Type 2"/>
    <s v="Entry Level"/>
    <s v="Average"/>
    <s v="Advanced"/>
    <s v="Needs Improvement"/>
    <x v="1"/>
    <n v="54"/>
    <s v="Developing"/>
    <x v="1"/>
    <s v="Personality &amp; Communication"/>
    <s v="Work on communication and personality development"/>
  </r>
  <r>
    <n v="39"/>
    <n v="0"/>
    <n v="3"/>
    <n v="5"/>
    <n v="4"/>
    <n v="6.9765434773538901"/>
    <n v="68"/>
    <n v="28"/>
    <n v="21"/>
    <n v="2"/>
    <n v="0"/>
    <s v="C419"/>
    <s v="Male"/>
    <s v="Master's"/>
    <s v="Mid Level"/>
    <s v="Average"/>
    <s v="Beginner"/>
    <s v="Needs Improvement"/>
    <x v="1"/>
    <n v="42"/>
    <s v="Needs Improvement"/>
    <x v="2"/>
    <s v="Personality &amp; Communication"/>
    <s v="Work on communication and personality development"/>
  </r>
  <r>
    <n v="43"/>
    <n v="0"/>
    <n v="2"/>
    <n v="14"/>
    <n v="4"/>
    <n v="12.5159612341438"/>
    <n v="21"/>
    <n v="4"/>
    <n v="92"/>
    <n v="2"/>
    <n v="0"/>
    <s v="C420"/>
    <s v="Male"/>
    <s v="Bachelor's Type 2"/>
    <s v="Senior Level"/>
    <s v="Low"/>
    <s v="Beginner"/>
    <s v="Strong"/>
    <x v="1"/>
    <n v="42"/>
    <s v="Needs Improvement"/>
    <x v="0"/>
    <s v="Technical Skills"/>
    <s v="Strengthen technical skills and practical knowledge"/>
  </r>
  <r>
    <n v="27"/>
    <n v="1"/>
    <n v="2"/>
    <n v="13"/>
    <n v="5"/>
    <n v="6.3205881451422297"/>
    <n v="63"/>
    <n v="76"/>
    <n v="32"/>
    <n v="2"/>
    <n v="0"/>
    <s v="C421"/>
    <s v="Female"/>
    <s v="Bachelor's Type 2"/>
    <s v="Senior Level"/>
    <s v="Average"/>
    <s v="Advanced"/>
    <s v="Needs Improvement"/>
    <x v="1"/>
    <n v="64"/>
    <s v="Developing"/>
    <x v="1"/>
    <s v="Personality &amp; Communication"/>
    <s v="Work on communication and personality development"/>
  </r>
  <r>
    <n v="26"/>
    <n v="1"/>
    <n v="1"/>
    <n v="11"/>
    <n v="4"/>
    <n v="42.087620849269499"/>
    <n v="40"/>
    <n v="0"/>
    <n v="37"/>
    <n v="2"/>
    <n v="0"/>
    <s v="C422"/>
    <s v="Female"/>
    <s v="Bachelor's Type 1"/>
    <s v="Senior Level"/>
    <s v="Low"/>
    <s v="Beginner"/>
    <s v="Needs Improvement"/>
    <x v="1"/>
    <n v="33"/>
    <s v="Needs Improvement"/>
    <x v="2"/>
    <s v="Technical Skills"/>
    <s v="Strengthen technical skills and practical knowledge"/>
  </r>
  <r>
    <n v="22"/>
    <n v="0"/>
    <n v="3"/>
    <n v="7"/>
    <n v="5"/>
    <n v="7.9484495943312297"/>
    <n v="86"/>
    <n v="86"/>
    <n v="34"/>
    <n v="2"/>
    <n v="1"/>
    <s v="C423"/>
    <s v="Male"/>
    <s v="Master's"/>
    <s v="Senior Level"/>
    <s v="Strong"/>
    <s v="Advanced"/>
    <s v="Needs Improvement"/>
    <x v="0"/>
    <n v="69"/>
    <s v="Developing"/>
    <x v="2"/>
    <s v="Personality &amp; Communication"/>
    <s v="Work on communication and personality development"/>
  </r>
  <r>
    <n v="36"/>
    <n v="0"/>
    <n v="2"/>
    <n v="7"/>
    <n v="4"/>
    <n v="38.364877877992797"/>
    <n v="70"/>
    <n v="2"/>
    <n v="66"/>
    <n v="2"/>
    <n v="0"/>
    <s v="C424"/>
    <s v="Male"/>
    <s v="Bachelor's Type 2"/>
    <s v="Senior Level"/>
    <s v="Average"/>
    <s v="Beginner"/>
    <s v="Good"/>
    <x v="1"/>
    <n v="44"/>
    <s v="Needs Improvement"/>
    <x v="2"/>
    <s v="Technical Skills"/>
    <s v="Strengthen technical skills and practical knowledge"/>
  </r>
  <r>
    <n v="20"/>
    <n v="0"/>
    <n v="2"/>
    <n v="10"/>
    <n v="1"/>
    <n v="3.3956933956666799"/>
    <n v="55"/>
    <n v="66"/>
    <n v="82"/>
    <n v="3"/>
    <n v="0"/>
    <s v="C425"/>
    <s v="Male"/>
    <s v="Bachelor's Type 2"/>
    <s v="Senior Level"/>
    <s v="Average"/>
    <s v="Intermediate"/>
    <s v="Strong"/>
    <x v="1"/>
    <n v="65"/>
    <s v="Developing"/>
    <x v="0"/>
    <s v="Interview Preparation"/>
    <s v="Improve interview preparation and communication"/>
  </r>
  <r>
    <n v="35"/>
    <n v="0"/>
    <n v="1"/>
    <n v="12"/>
    <n v="1"/>
    <n v="48.426016375695703"/>
    <n v="22"/>
    <n v="70"/>
    <n v="9"/>
    <n v="2"/>
    <n v="0"/>
    <s v="C426"/>
    <s v="Male"/>
    <s v="Bachelor's Type 1"/>
    <s v="Senior Level"/>
    <s v="Low"/>
    <s v="Intermediate"/>
    <s v="Needs Improvement"/>
    <x v="1"/>
    <n v="44"/>
    <s v="Needs Improvement"/>
    <x v="1"/>
    <s v="Personality &amp; Communication"/>
    <s v="Work on communication and personality development"/>
  </r>
  <r>
    <n v="31"/>
    <n v="1"/>
    <n v="3"/>
    <n v="8"/>
    <n v="5"/>
    <n v="36.558004376388297"/>
    <n v="24"/>
    <n v="99"/>
    <n v="90"/>
    <n v="2"/>
    <n v="1"/>
    <s v="C427"/>
    <s v="Female"/>
    <s v="Master's"/>
    <s v="Senior Level"/>
    <s v="Low"/>
    <s v="Advanced"/>
    <s v="Strong"/>
    <x v="0"/>
    <n v="67"/>
    <s v="Developing"/>
    <x v="1"/>
    <s v="Interview Preparation"/>
    <s v="Improve interview preparation and communication"/>
  </r>
  <r>
    <n v="46"/>
    <n v="0"/>
    <n v="3"/>
    <n v="14"/>
    <n v="4"/>
    <n v="1.3398274293055801"/>
    <n v="90"/>
    <n v="34"/>
    <n v="14"/>
    <n v="2"/>
    <n v="0"/>
    <s v="C428"/>
    <s v="Male"/>
    <s v="Master's"/>
    <s v="Senior Level"/>
    <s v="Strong"/>
    <s v="Beginner"/>
    <s v="Needs Improvement"/>
    <x v="1"/>
    <n v="58"/>
    <s v="Developing"/>
    <x v="2"/>
    <s v="Personality &amp; Communication"/>
    <s v="Work on communication and personality development"/>
  </r>
  <r>
    <n v="38"/>
    <n v="1"/>
    <n v="3"/>
    <n v="0"/>
    <n v="4"/>
    <n v="39.192825010010701"/>
    <n v="5"/>
    <n v="14"/>
    <n v="10"/>
    <n v="2"/>
    <n v="0"/>
    <s v="C429"/>
    <s v="Female"/>
    <s v="Master's"/>
    <s v="Entry Level"/>
    <s v="Low"/>
    <s v="Beginner"/>
    <s v="Needs Improvement"/>
    <x v="1"/>
    <n v="11"/>
    <s v="Needs Improvement"/>
    <x v="1"/>
    <s v="Interview Preparation"/>
    <s v="Improve interview preparation and communication"/>
  </r>
  <r>
    <n v="41"/>
    <n v="1"/>
    <n v="2"/>
    <n v="13"/>
    <n v="2"/>
    <n v="26.704096038309199"/>
    <n v="33"/>
    <n v="66"/>
    <n v="89"/>
    <n v="3"/>
    <n v="0"/>
    <s v="C430"/>
    <s v="Female"/>
    <s v="Bachelor's Type 2"/>
    <s v="Senior Level"/>
    <s v="Low"/>
    <s v="Intermediate"/>
    <s v="Strong"/>
    <x v="1"/>
    <n v="63"/>
    <s v="Developing"/>
    <x v="0"/>
    <s v="Interview Preparation"/>
    <s v="Improve interview preparation and communication"/>
  </r>
  <r>
    <n v="42"/>
    <n v="0"/>
    <n v="1"/>
    <n v="0"/>
    <n v="3"/>
    <n v="39.968258516755903"/>
    <n v="62"/>
    <n v="92"/>
    <n v="23"/>
    <n v="3"/>
    <n v="0"/>
    <s v="C431"/>
    <s v="Male"/>
    <s v="Bachelor's Type 1"/>
    <s v="Entry Level"/>
    <s v="Average"/>
    <s v="Advanced"/>
    <s v="Needs Improvement"/>
    <x v="1"/>
    <n v="53"/>
    <s v="Developing"/>
    <x v="1"/>
    <s v="Personality &amp; Communication"/>
    <s v="Work on communication and personality development"/>
  </r>
  <r>
    <n v="41"/>
    <n v="1"/>
    <n v="2"/>
    <n v="2"/>
    <n v="5"/>
    <n v="27.124840444529401"/>
    <n v="8"/>
    <n v="29"/>
    <n v="76"/>
    <n v="2"/>
    <n v="0"/>
    <s v="C432"/>
    <s v="Female"/>
    <s v="Bachelor's Type 2"/>
    <s v="Entry Level"/>
    <s v="Low"/>
    <s v="Beginner"/>
    <s v="Strong"/>
    <x v="1"/>
    <n v="31"/>
    <s v="Needs Improvement"/>
    <x v="0"/>
    <s v="Interview Preparation"/>
    <s v="Improve interview preparation and communication"/>
  </r>
  <r>
    <n v="33"/>
    <n v="1"/>
    <n v="2"/>
    <n v="2"/>
    <n v="3"/>
    <n v="33.051242881767699"/>
    <n v="59"/>
    <n v="81"/>
    <n v="95"/>
    <n v="2"/>
    <n v="0"/>
    <s v="C433"/>
    <s v="Female"/>
    <s v="Bachelor's Type 2"/>
    <s v="Entry Level"/>
    <s v="Average"/>
    <s v="Advanced"/>
    <s v="Strong"/>
    <x v="1"/>
    <n v="66"/>
    <s v="Developing"/>
    <x v="0"/>
    <s v="Interview Preparation"/>
    <s v="Improve interview preparation and communication"/>
  </r>
  <r>
    <n v="49"/>
    <n v="1"/>
    <n v="1"/>
    <n v="9"/>
    <n v="3"/>
    <n v="40.316582769752003"/>
    <n v="48"/>
    <n v="74"/>
    <n v="100"/>
    <n v="2"/>
    <n v="0"/>
    <s v="C434"/>
    <s v="Female"/>
    <s v="Bachelor's Type 1"/>
    <s v="Senior Level"/>
    <s v="Low"/>
    <s v="Intermediate"/>
    <s v="Strong"/>
    <x v="1"/>
    <n v="68"/>
    <s v="Developing"/>
    <x v="0"/>
    <s v="Interview Preparation"/>
    <s v="Improve interview preparation and communication"/>
  </r>
  <r>
    <n v="25"/>
    <n v="1"/>
    <n v="2"/>
    <n v="7"/>
    <n v="5"/>
    <n v="21.255402729392799"/>
    <n v="96"/>
    <n v="42"/>
    <n v="3"/>
    <n v="2"/>
    <n v="0"/>
    <s v="C435"/>
    <s v="Female"/>
    <s v="Bachelor's Type 2"/>
    <s v="Senior Level"/>
    <s v="Strong"/>
    <s v="Beginner"/>
    <s v="Needs Improvement"/>
    <x v="1"/>
    <n v="52"/>
    <s v="Developing"/>
    <x v="2"/>
    <s v="Personality &amp; Communication"/>
    <s v="Work on communication and personality development"/>
  </r>
  <r>
    <n v="25"/>
    <n v="0"/>
    <n v="4"/>
    <n v="14"/>
    <n v="4"/>
    <n v="1.1354074910226"/>
    <n v="50"/>
    <n v="59"/>
    <n v="12"/>
    <n v="3"/>
    <n v="0"/>
    <s v="C436"/>
    <s v="Male"/>
    <s v="PhD"/>
    <s v="Senior Level"/>
    <s v="Average"/>
    <s v="Intermediate"/>
    <s v="Needs Improvement"/>
    <x v="1"/>
    <n v="54"/>
    <s v="Developing"/>
    <x v="1"/>
    <s v="Personality &amp; Communication"/>
    <s v="Work on communication and personality development"/>
  </r>
  <r>
    <n v="32"/>
    <n v="0"/>
    <n v="3"/>
    <n v="9"/>
    <n v="5"/>
    <n v="43.497324797259402"/>
    <n v="59"/>
    <n v="39"/>
    <n v="72"/>
    <n v="1"/>
    <n v="1"/>
    <s v="C437"/>
    <s v="Male"/>
    <s v="Master's"/>
    <s v="Senior Level"/>
    <s v="Average"/>
    <s v="Beginner"/>
    <s v="Good"/>
    <x v="0"/>
    <n v="57"/>
    <s v="Developing"/>
    <x v="0"/>
    <s v="Technical Skills"/>
    <s v="Strengthen technical skills and practical knowledge"/>
  </r>
  <r>
    <n v="38"/>
    <n v="1"/>
    <n v="3"/>
    <n v="0"/>
    <n v="3"/>
    <n v="20.044518131233101"/>
    <n v="69"/>
    <n v="64"/>
    <n v="56"/>
    <n v="1"/>
    <n v="1"/>
    <s v="C438"/>
    <s v="Female"/>
    <s v="Master's"/>
    <s v="Entry Level"/>
    <s v="Average"/>
    <s v="Intermediate"/>
    <s v="Good"/>
    <x v="0"/>
    <n v="55"/>
    <s v="Developing"/>
    <x v="2"/>
    <s v="Personality &amp; Communication"/>
    <s v="Work on communication and personality development"/>
  </r>
  <r>
    <n v="41"/>
    <n v="0"/>
    <n v="4"/>
    <n v="12"/>
    <n v="4"/>
    <n v="25.802136300829101"/>
    <n v="36"/>
    <n v="28"/>
    <n v="97"/>
    <n v="1"/>
    <n v="1"/>
    <s v="C439"/>
    <s v="Male"/>
    <s v="PhD"/>
    <s v="Senior Level"/>
    <s v="Low"/>
    <s v="Beginner"/>
    <s v="Strong"/>
    <x v="0"/>
    <n v="56"/>
    <s v="Developing"/>
    <x v="0"/>
    <s v="Technical Skills"/>
    <s v="Strengthen technical skills and practical knowledge"/>
  </r>
  <r>
    <n v="27"/>
    <n v="0"/>
    <n v="2"/>
    <n v="1"/>
    <n v="1"/>
    <n v="1.3883321076984301"/>
    <n v="30"/>
    <n v="73"/>
    <n v="36"/>
    <n v="2"/>
    <n v="0"/>
    <s v="C440"/>
    <s v="Male"/>
    <s v="Bachelor's Type 2"/>
    <s v="Entry Level"/>
    <s v="Low"/>
    <s v="Intermediate"/>
    <s v="Needs Improvement"/>
    <x v="1"/>
    <n v="42"/>
    <s v="Needs Improvement"/>
    <x v="1"/>
    <s v="Interview Preparation"/>
    <s v="Improve interview preparation and communication"/>
  </r>
  <r>
    <n v="46"/>
    <n v="0"/>
    <n v="2"/>
    <n v="1"/>
    <n v="5"/>
    <n v="25.604600517504899"/>
    <n v="97"/>
    <n v="91"/>
    <n v="47"/>
    <n v="3"/>
    <n v="0"/>
    <s v="C441"/>
    <s v="Male"/>
    <s v="Bachelor's Type 2"/>
    <s v="Entry Level"/>
    <s v="Strong"/>
    <s v="Advanced"/>
    <s v="Needs Improvement"/>
    <x v="1"/>
    <n v="69"/>
    <s v="Developing"/>
    <x v="2"/>
    <s v="Personality &amp; Communication"/>
    <s v="Work on communication and personality development"/>
  </r>
  <r>
    <n v="46"/>
    <n v="0"/>
    <n v="4"/>
    <n v="2"/>
    <n v="5"/>
    <n v="50.324370078586398"/>
    <n v="40"/>
    <n v="94"/>
    <n v="70"/>
    <n v="1"/>
    <n v="1"/>
    <s v="C442"/>
    <s v="Male"/>
    <s v="PhD"/>
    <s v="Entry Level"/>
    <s v="Low"/>
    <s v="Advanced"/>
    <s v="Good"/>
    <x v="0"/>
    <n v="61"/>
    <s v="Developing"/>
    <x v="1"/>
    <s v="Interview Preparation"/>
    <s v="Improve interview preparation and communication"/>
  </r>
  <r>
    <n v="21"/>
    <n v="0"/>
    <n v="1"/>
    <n v="12"/>
    <n v="4"/>
    <n v="14.913383040938401"/>
    <n v="61"/>
    <n v="18"/>
    <n v="0"/>
    <n v="2"/>
    <n v="0"/>
    <s v="C443"/>
    <s v="Male"/>
    <s v="Bachelor's Type 1"/>
    <s v="Senior Level"/>
    <s v="Average"/>
    <s v="Beginner"/>
    <s v="Needs Improvement"/>
    <x v="1"/>
    <n v="38"/>
    <s v="Needs Improvement"/>
    <x v="2"/>
    <s v="Personality &amp; Communication"/>
    <s v="Work on communication and personality development"/>
  </r>
  <r>
    <n v="40"/>
    <n v="1"/>
    <n v="3"/>
    <n v="5"/>
    <n v="1"/>
    <n v="20.770913512118899"/>
    <n v="92"/>
    <n v="2"/>
    <n v="59"/>
    <n v="2"/>
    <n v="0"/>
    <s v="C444"/>
    <s v="Female"/>
    <s v="Master's"/>
    <s v="Mid Level"/>
    <s v="Strong"/>
    <s v="Beginner"/>
    <s v="Good"/>
    <x v="1"/>
    <n v="49"/>
    <s v="Needs Improvement"/>
    <x v="2"/>
    <s v="Technical Skills"/>
    <s v="Strengthen technical skills and practical knowledge"/>
  </r>
  <r>
    <n v="49"/>
    <n v="0"/>
    <n v="2"/>
    <n v="0"/>
    <n v="1"/>
    <n v="35.359499823433801"/>
    <n v="57"/>
    <n v="35"/>
    <n v="11"/>
    <n v="2"/>
    <n v="0"/>
    <s v="C445"/>
    <s v="Male"/>
    <s v="Bachelor's Type 2"/>
    <s v="Entry Level"/>
    <s v="Average"/>
    <s v="Beginner"/>
    <s v="Needs Improvement"/>
    <x v="1"/>
    <n v="32"/>
    <s v="Needs Improvement"/>
    <x v="2"/>
    <s v="Personality &amp; Communication"/>
    <s v="Work on communication and personality development"/>
  </r>
  <r>
    <n v="20"/>
    <n v="0"/>
    <n v="2"/>
    <n v="1"/>
    <n v="4"/>
    <n v="41.739683376182903"/>
    <n v="13"/>
    <n v="42"/>
    <n v="20"/>
    <n v="2"/>
    <n v="0"/>
    <s v="C446"/>
    <s v="Male"/>
    <s v="Bachelor's Type 2"/>
    <s v="Entry Level"/>
    <s v="Low"/>
    <s v="Beginner"/>
    <s v="Needs Improvement"/>
    <x v="1"/>
    <n v="24"/>
    <s v="Needs Improvement"/>
    <x v="1"/>
    <s v="Interview Preparation"/>
    <s v="Improve interview preparation and communication"/>
  </r>
  <r>
    <n v="47"/>
    <n v="0"/>
    <n v="2"/>
    <n v="12"/>
    <n v="2"/>
    <n v="21.869581200304999"/>
    <n v="35"/>
    <n v="14"/>
    <n v="10"/>
    <n v="3"/>
    <n v="0"/>
    <s v="C447"/>
    <s v="Male"/>
    <s v="Bachelor's Type 2"/>
    <s v="Senior Level"/>
    <s v="Low"/>
    <s v="Beginner"/>
    <s v="Needs Improvement"/>
    <x v="1"/>
    <n v="31"/>
    <s v="Needs Improvement"/>
    <x v="2"/>
    <s v="Personality &amp; Communication"/>
    <s v="Work on communication and personality development"/>
  </r>
  <r>
    <n v="34"/>
    <n v="0"/>
    <n v="4"/>
    <n v="15"/>
    <n v="5"/>
    <n v="16.483443520064601"/>
    <n v="35"/>
    <n v="96"/>
    <n v="43"/>
    <n v="1"/>
    <n v="1"/>
    <s v="C448"/>
    <s v="Male"/>
    <s v="PhD"/>
    <s v="Senior Level"/>
    <s v="Low"/>
    <s v="Advanced"/>
    <s v="Needs Improvement"/>
    <x v="0"/>
    <n v="68"/>
    <s v="Developing"/>
    <x v="1"/>
    <s v="Interview Preparation"/>
    <s v="Improve interview preparation and communication"/>
  </r>
  <r>
    <n v="20"/>
    <n v="1"/>
    <n v="3"/>
    <n v="14"/>
    <n v="5"/>
    <n v="47.891289999253303"/>
    <n v="78"/>
    <n v="40"/>
    <n v="57"/>
    <n v="2"/>
    <n v="0"/>
    <s v="C449"/>
    <s v="Female"/>
    <s v="Master's"/>
    <s v="Senior Level"/>
    <s v="Strong"/>
    <s v="Beginner"/>
    <s v="Good"/>
    <x v="1"/>
    <n v="65"/>
    <s v="Developing"/>
    <x v="2"/>
    <s v="Technical Skills"/>
    <s v="Strengthen technical skills and practical knowledge"/>
  </r>
  <r>
    <n v="24"/>
    <n v="1"/>
    <n v="1"/>
    <n v="12"/>
    <n v="3"/>
    <n v="34.857248333583399"/>
    <n v="7"/>
    <n v="89"/>
    <n v="43"/>
    <n v="1"/>
    <n v="1"/>
    <s v="C450"/>
    <s v="Female"/>
    <s v="Bachelor's Type 1"/>
    <s v="Senior Level"/>
    <s v="Low"/>
    <s v="Advanced"/>
    <s v="Needs Improvement"/>
    <x v="0"/>
    <n v="52"/>
    <s v="Developing"/>
    <x v="1"/>
    <s v="Interview Preparation"/>
    <s v="Improve interview preparation and communication"/>
  </r>
  <r>
    <n v="47"/>
    <n v="1"/>
    <n v="3"/>
    <n v="15"/>
    <n v="4"/>
    <n v="6.9510652246570501"/>
    <n v="25"/>
    <n v="79"/>
    <n v="77"/>
    <n v="2"/>
    <n v="1"/>
    <s v="C451"/>
    <s v="Female"/>
    <s v="Master's"/>
    <s v="Senior Level"/>
    <s v="Low"/>
    <s v="Advanced"/>
    <s v="Strong"/>
    <x v="0"/>
    <n v="65"/>
    <s v="Developing"/>
    <x v="1"/>
    <s v="Interview Preparation"/>
    <s v="Improve interview preparation and communication"/>
  </r>
  <r>
    <n v="48"/>
    <n v="1"/>
    <n v="2"/>
    <n v="0"/>
    <n v="3"/>
    <n v="4.4463939067324301"/>
    <n v="35"/>
    <n v="35"/>
    <n v="97"/>
    <n v="3"/>
    <n v="0"/>
    <s v="C452"/>
    <s v="Female"/>
    <s v="Bachelor's Type 2"/>
    <s v="Entry Level"/>
    <s v="Low"/>
    <s v="Beginner"/>
    <s v="Strong"/>
    <x v="1"/>
    <n v="43"/>
    <s v="Needs Improvement"/>
    <x v="0"/>
    <s v="Interview Preparation"/>
    <s v="Improve interview preparation and communication"/>
  </r>
  <r>
    <n v="35"/>
    <n v="0"/>
    <n v="2"/>
    <n v="4"/>
    <n v="3"/>
    <n v="25.177492539518401"/>
    <n v="47"/>
    <n v="96"/>
    <n v="33"/>
    <n v="1"/>
    <n v="0"/>
    <s v="C453"/>
    <s v="Male"/>
    <s v="Bachelor's Type 2"/>
    <s v="Mid Level"/>
    <s v="Low"/>
    <s v="Advanced"/>
    <s v="Needs Improvement"/>
    <x v="1"/>
    <n v="56"/>
    <s v="Developing"/>
    <x v="1"/>
    <s v="Personality &amp; Communication"/>
    <s v="Work on communication and personality development"/>
  </r>
  <r>
    <n v="38"/>
    <n v="1"/>
    <n v="2"/>
    <n v="15"/>
    <n v="1"/>
    <n v="12.004503302363601"/>
    <n v="84"/>
    <n v="83"/>
    <n v="24"/>
    <n v="1"/>
    <n v="1"/>
    <s v="C454"/>
    <s v="Female"/>
    <s v="Bachelor's Type 2"/>
    <s v="Senior Level"/>
    <s v="Strong"/>
    <s v="Advanced"/>
    <s v="Needs Improvement"/>
    <x v="0"/>
    <n v="72"/>
    <s v="Developing"/>
    <x v="2"/>
    <s v="Personality &amp; Communication"/>
    <s v="Work on communication and personality development"/>
  </r>
  <r>
    <n v="23"/>
    <n v="0"/>
    <n v="2"/>
    <n v="12"/>
    <n v="5"/>
    <n v="13.6992376688126"/>
    <n v="27"/>
    <n v="76"/>
    <n v="3"/>
    <n v="2"/>
    <n v="0"/>
    <s v="C455"/>
    <s v="Male"/>
    <s v="Bachelor's Type 2"/>
    <s v="Senior Level"/>
    <s v="Low"/>
    <s v="Advanced"/>
    <s v="Needs Improvement"/>
    <x v="1"/>
    <n v="46"/>
    <s v="Needs Improvement"/>
    <x v="1"/>
    <s v="Personality &amp; Communication"/>
    <s v="Work on communication and personality development"/>
  </r>
  <r>
    <n v="22"/>
    <n v="0"/>
    <n v="2"/>
    <n v="12"/>
    <n v="3"/>
    <n v="44.884608941392401"/>
    <n v="67"/>
    <n v="32"/>
    <n v="63"/>
    <n v="2"/>
    <n v="0"/>
    <s v="C456"/>
    <s v="Male"/>
    <s v="Bachelor's Type 2"/>
    <s v="Senior Level"/>
    <s v="Average"/>
    <s v="Beginner"/>
    <s v="Good"/>
    <x v="1"/>
    <n v="57"/>
    <s v="Developing"/>
    <x v="2"/>
    <s v="Technical Skills"/>
    <s v="Strengthen technical skills and practical knowledge"/>
  </r>
  <r>
    <n v="36"/>
    <n v="0"/>
    <n v="4"/>
    <n v="6"/>
    <n v="1"/>
    <n v="5.47830121581553"/>
    <n v="61"/>
    <n v="4"/>
    <n v="89"/>
    <n v="2"/>
    <n v="0"/>
    <s v="C457"/>
    <s v="Male"/>
    <s v="PhD"/>
    <s v="Mid Level"/>
    <s v="Average"/>
    <s v="Beginner"/>
    <s v="Strong"/>
    <x v="1"/>
    <n v="48"/>
    <s v="Needs Improvement"/>
    <x v="0"/>
    <s v="Technical Skills"/>
    <s v="Strengthen technical skills and practical knowledge"/>
  </r>
  <r>
    <n v="36"/>
    <n v="0"/>
    <n v="3"/>
    <n v="15"/>
    <n v="4"/>
    <n v="36.768205761444399"/>
    <n v="79"/>
    <n v="100"/>
    <n v="15"/>
    <n v="1"/>
    <n v="1"/>
    <s v="C458"/>
    <s v="Male"/>
    <s v="Master's"/>
    <s v="Senior Level"/>
    <s v="Strong"/>
    <s v="Advanced"/>
    <s v="Needs Improvement"/>
    <x v="0"/>
    <n v="75"/>
    <s v="Job Ready"/>
    <x v="1"/>
    <s v="Personality &amp; Communication"/>
    <s v="Work on communication and personality development"/>
  </r>
  <r>
    <n v="31"/>
    <n v="0"/>
    <n v="2"/>
    <n v="7"/>
    <n v="3"/>
    <n v="14.557112669029401"/>
    <n v="85"/>
    <n v="77"/>
    <n v="9"/>
    <n v="1"/>
    <n v="1"/>
    <s v="C459"/>
    <s v="Male"/>
    <s v="Bachelor's Type 2"/>
    <s v="Senior Level"/>
    <s v="Strong"/>
    <s v="Advanced"/>
    <s v="Needs Improvement"/>
    <x v="0"/>
    <n v="60"/>
    <s v="Developing"/>
    <x v="2"/>
    <s v="Personality &amp; Communication"/>
    <s v="Work on communication and personality development"/>
  </r>
  <r>
    <n v="47"/>
    <n v="1"/>
    <n v="1"/>
    <n v="9"/>
    <n v="5"/>
    <n v="39.0164110702068"/>
    <n v="75"/>
    <n v="90"/>
    <n v="65"/>
    <n v="2"/>
    <n v="1"/>
    <s v="C460"/>
    <s v="Female"/>
    <s v="Bachelor's Type 1"/>
    <s v="Senior Level"/>
    <s v="Strong"/>
    <s v="Advanced"/>
    <s v="Good"/>
    <x v="0"/>
    <n v="74"/>
    <s v="Developing"/>
    <x v="1"/>
    <s v="Personality &amp; Communication"/>
    <s v="Work on communication and personality development"/>
  </r>
  <r>
    <n v="49"/>
    <n v="1"/>
    <n v="4"/>
    <n v="0"/>
    <n v="3"/>
    <n v="37.120569223177199"/>
    <n v="79"/>
    <n v="86"/>
    <n v="34"/>
    <n v="1"/>
    <n v="1"/>
    <s v="C461"/>
    <s v="Female"/>
    <s v="PhD"/>
    <s v="Entry Level"/>
    <s v="Strong"/>
    <s v="Advanced"/>
    <s v="Needs Improvement"/>
    <x v="0"/>
    <n v="61"/>
    <s v="Developing"/>
    <x v="1"/>
    <s v="Personality &amp; Communication"/>
    <s v="Work on communication and personality development"/>
  </r>
  <r>
    <n v="48"/>
    <n v="1"/>
    <n v="4"/>
    <n v="6"/>
    <n v="4"/>
    <n v="1.3695950722146499"/>
    <n v="50"/>
    <n v="13"/>
    <n v="82"/>
    <n v="3"/>
    <n v="0"/>
    <s v="C462"/>
    <s v="Female"/>
    <s v="PhD"/>
    <s v="Mid Level"/>
    <s v="Average"/>
    <s v="Beginner"/>
    <s v="Strong"/>
    <x v="1"/>
    <n v="46"/>
    <s v="Needs Improvement"/>
    <x v="0"/>
    <s v="Technical Skills"/>
    <s v="Strengthen technical skills and practical knowledge"/>
  </r>
  <r>
    <n v="33"/>
    <n v="1"/>
    <n v="3"/>
    <n v="12"/>
    <n v="3"/>
    <n v="26.456770646079899"/>
    <n v="41"/>
    <n v="67"/>
    <n v="5"/>
    <n v="1"/>
    <n v="1"/>
    <s v="C463"/>
    <s v="Female"/>
    <s v="Master's"/>
    <s v="Senior Level"/>
    <s v="Low"/>
    <s v="Intermediate"/>
    <s v="Needs Improvement"/>
    <x v="0"/>
    <n v="49"/>
    <s v="Needs Improvement"/>
    <x v="1"/>
    <s v="Personality &amp; Communication"/>
    <s v="Work on communication and personality development"/>
  </r>
  <r>
    <n v="40"/>
    <n v="0"/>
    <n v="1"/>
    <n v="4"/>
    <n v="5"/>
    <n v="7.9659741189023103"/>
    <n v="100"/>
    <n v="82"/>
    <n v="18"/>
    <n v="2"/>
    <n v="0"/>
    <s v="C464"/>
    <s v="Male"/>
    <s v="Bachelor's Type 1"/>
    <s v="Mid Level"/>
    <s v="Strong"/>
    <s v="Advanced"/>
    <s v="Needs Improvement"/>
    <x v="1"/>
    <n v="65"/>
    <s v="Developing"/>
    <x v="2"/>
    <s v="Personality &amp; Communication"/>
    <s v="Work on communication and personality development"/>
  </r>
  <r>
    <n v="25"/>
    <n v="1"/>
    <n v="1"/>
    <n v="9"/>
    <n v="1"/>
    <n v="44.311351528933798"/>
    <n v="28"/>
    <n v="46"/>
    <n v="58"/>
    <n v="1"/>
    <n v="0"/>
    <s v="C465"/>
    <s v="Female"/>
    <s v="Bachelor's Type 1"/>
    <s v="Senior Level"/>
    <s v="Low"/>
    <s v="Beginner"/>
    <s v="Good"/>
    <x v="1"/>
    <n v="45"/>
    <s v="Needs Improvement"/>
    <x v="0"/>
    <s v="Interview Preparation"/>
    <s v="Improve interview preparation and communication"/>
  </r>
  <r>
    <n v="22"/>
    <n v="0"/>
    <n v="2"/>
    <n v="0"/>
    <n v="5"/>
    <n v="44.5792941431203"/>
    <n v="81"/>
    <n v="53"/>
    <n v="52"/>
    <n v="1"/>
    <n v="1"/>
    <s v="C466"/>
    <s v="Male"/>
    <s v="Bachelor's Type 2"/>
    <s v="Entry Level"/>
    <s v="Strong"/>
    <s v="Intermediate"/>
    <s v="Good"/>
    <x v="0"/>
    <n v="53"/>
    <s v="Developing"/>
    <x v="2"/>
    <s v="Personality &amp; Communication"/>
    <s v="Work on communication and personality development"/>
  </r>
  <r>
    <n v="47"/>
    <n v="1"/>
    <n v="1"/>
    <n v="2"/>
    <n v="1"/>
    <n v="21.917290374687902"/>
    <n v="9"/>
    <n v="3"/>
    <n v="7"/>
    <n v="2"/>
    <n v="0"/>
    <s v="C467"/>
    <s v="Female"/>
    <s v="Bachelor's Type 1"/>
    <s v="Entry Level"/>
    <s v="Low"/>
    <s v="Beginner"/>
    <s v="Needs Improvement"/>
    <x v="1"/>
    <n v="10"/>
    <s v="Needs Improvement"/>
    <x v="2"/>
    <s v="Technical Skills"/>
    <s v="Strengthen technical skills and practical knowledge"/>
  </r>
  <r>
    <n v="28"/>
    <n v="0"/>
    <n v="2"/>
    <n v="6"/>
    <n v="2"/>
    <n v="23.219780922554001"/>
    <n v="38"/>
    <n v="93"/>
    <n v="77"/>
    <n v="2"/>
    <n v="0"/>
    <s v="C468"/>
    <s v="Male"/>
    <s v="Bachelor's Type 2"/>
    <s v="Mid Level"/>
    <s v="Low"/>
    <s v="Advanced"/>
    <s v="Strong"/>
    <x v="1"/>
    <n v="63"/>
    <s v="Developing"/>
    <x v="1"/>
    <s v="Interview Preparation"/>
    <s v="Improve interview preparation and communication"/>
  </r>
  <r>
    <n v="24"/>
    <n v="0"/>
    <n v="4"/>
    <n v="9"/>
    <n v="5"/>
    <n v="16.164146970226302"/>
    <n v="81"/>
    <n v="82"/>
    <n v="9"/>
    <n v="1"/>
    <n v="1"/>
    <s v="C469"/>
    <s v="Male"/>
    <s v="PhD"/>
    <s v="Senior Level"/>
    <s v="Strong"/>
    <s v="Advanced"/>
    <s v="Needs Improvement"/>
    <x v="0"/>
    <n v="65"/>
    <s v="Developing"/>
    <x v="1"/>
    <s v="Personality &amp; Communication"/>
    <s v="Work on communication and personality development"/>
  </r>
  <r>
    <n v="43"/>
    <n v="1"/>
    <n v="2"/>
    <n v="0"/>
    <n v="5"/>
    <n v="36.830314948001501"/>
    <n v="0"/>
    <n v="94"/>
    <n v="66"/>
    <n v="1"/>
    <n v="1"/>
    <s v="C470"/>
    <s v="Female"/>
    <s v="Bachelor's Type 2"/>
    <s v="Entry Level"/>
    <s v="Low"/>
    <s v="Advanced"/>
    <s v="Good"/>
    <x v="0"/>
    <n v="44"/>
    <s v="Needs Improvement"/>
    <x v="1"/>
    <s v="Interview Preparation"/>
    <s v="Improve interview preparation and communication"/>
  </r>
  <r>
    <n v="48"/>
    <n v="0"/>
    <n v="1"/>
    <n v="6"/>
    <n v="4"/>
    <n v="18.9330681513229"/>
    <n v="38"/>
    <n v="94"/>
    <n v="37"/>
    <n v="1"/>
    <n v="1"/>
    <s v="C471"/>
    <s v="Male"/>
    <s v="Bachelor's Type 1"/>
    <s v="Mid Level"/>
    <s v="Low"/>
    <s v="Advanced"/>
    <s v="Needs Improvement"/>
    <x v="0"/>
    <n v="56"/>
    <s v="Developing"/>
    <x v="1"/>
    <s v="Personality &amp; Communication"/>
    <s v="Work on communication and personality development"/>
  </r>
  <r>
    <n v="36"/>
    <n v="0"/>
    <n v="2"/>
    <n v="4"/>
    <n v="3"/>
    <n v="14.3896237261316"/>
    <n v="20"/>
    <n v="8"/>
    <n v="28"/>
    <n v="2"/>
    <n v="0"/>
    <s v="C472"/>
    <s v="Male"/>
    <s v="Bachelor's Type 2"/>
    <s v="Mid Level"/>
    <s v="Low"/>
    <s v="Beginner"/>
    <s v="Needs Improvement"/>
    <x v="1"/>
    <n v="21"/>
    <s v="Needs Improvement"/>
    <x v="0"/>
    <s v="Technical Skills"/>
    <s v="Strengthen technical skills and practical knowledge"/>
  </r>
  <r>
    <n v="33"/>
    <n v="1"/>
    <n v="1"/>
    <n v="0"/>
    <n v="1"/>
    <n v="22.611552975225401"/>
    <n v="64"/>
    <n v="52"/>
    <n v="14"/>
    <n v="2"/>
    <n v="0"/>
    <s v="C473"/>
    <s v="Female"/>
    <s v="Bachelor's Type 1"/>
    <s v="Entry Level"/>
    <s v="Average"/>
    <s v="Intermediate"/>
    <s v="Needs Improvement"/>
    <x v="1"/>
    <n v="40"/>
    <s v="Needs Improvement"/>
    <x v="2"/>
    <s v="Personality &amp; Communication"/>
    <s v="Work on communication and personality development"/>
  </r>
  <r>
    <n v="40"/>
    <n v="0"/>
    <n v="1"/>
    <n v="0"/>
    <n v="1"/>
    <n v="5.5743759193729296"/>
    <n v="14"/>
    <n v="76"/>
    <n v="86"/>
    <n v="1"/>
    <n v="1"/>
    <s v="C474"/>
    <s v="Male"/>
    <s v="Bachelor's Type 1"/>
    <s v="Entry Level"/>
    <s v="Low"/>
    <s v="Advanced"/>
    <s v="Strong"/>
    <x v="0"/>
    <n v="47"/>
    <s v="Needs Improvement"/>
    <x v="0"/>
    <s v="Interview Preparation"/>
    <s v="Improve interview preparation and communication"/>
  </r>
  <r>
    <n v="50"/>
    <n v="1"/>
    <n v="2"/>
    <n v="13"/>
    <n v="4"/>
    <n v="38.330160232210098"/>
    <n v="3"/>
    <n v="77"/>
    <n v="22"/>
    <n v="2"/>
    <n v="0"/>
    <s v="C475"/>
    <s v="Female"/>
    <s v="Bachelor's Type 2"/>
    <s v="Senior Level"/>
    <s v="Low"/>
    <s v="Advanced"/>
    <s v="Needs Improvement"/>
    <x v="1"/>
    <n v="44"/>
    <s v="Needs Improvement"/>
    <x v="1"/>
    <s v="Interview Preparation"/>
    <s v="Improve interview preparation and communication"/>
  </r>
  <r>
    <n v="22"/>
    <n v="1"/>
    <n v="2"/>
    <n v="0"/>
    <n v="4"/>
    <n v="1.6298200635893401"/>
    <n v="59"/>
    <n v="59"/>
    <n v="81"/>
    <n v="2"/>
    <n v="0"/>
    <s v="C476"/>
    <s v="Female"/>
    <s v="Bachelor's Type 2"/>
    <s v="Entry Level"/>
    <s v="Average"/>
    <s v="Intermediate"/>
    <s v="Strong"/>
    <x v="1"/>
    <n v="54"/>
    <s v="Developing"/>
    <x v="0"/>
    <s v="Interview Preparation"/>
    <s v="Improve interview preparation and communication"/>
  </r>
  <r>
    <n v="47"/>
    <n v="1"/>
    <n v="3"/>
    <n v="10"/>
    <n v="3"/>
    <n v="33.224253076029697"/>
    <n v="60"/>
    <n v="45"/>
    <n v="45"/>
    <n v="3"/>
    <n v="0"/>
    <s v="C477"/>
    <s v="Female"/>
    <s v="Master's"/>
    <s v="Senior Level"/>
    <s v="Average"/>
    <s v="Beginner"/>
    <s v="Needs Improvement"/>
    <x v="1"/>
    <n v="54"/>
    <s v="Developing"/>
    <x v="2"/>
    <s v="Technical Skills"/>
    <s v="Strengthen technical skills and practical knowledge"/>
  </r>
  <r>
    <n v="20"/>
    <n v="0"/>
    <n v="4"/>
    <n v="8"/>
    <n v="3"/>
    <n v="10.1432263377436"/>
    <n v="19"/>
    <n v="53"/>
    <n v="82"/>
    <n v="3"/>
    <n v="1"/>
    <s v="C478"/>
    <s v="Male"/>
    <s v="PhD"/>
    <s v="Senior Level"/>
    <s v="Low"/>
    <s v="Intermediate"/>
    <s v="Strong"/>
    <x v="0"/>
    <n v="51"/>
    <s v="Developing"/>
    <x v="0"/>
    <s v="Interview Preparation"/>
    <s v="Improve interview preparation and communication"/>
  </r>
  <r>
    <n v="39"/>
    <n v="0"/>
    <n v="2"/>
    <n v="10"/>
    <n v="5"/>
    <n v="12.6202023107206"/>
    <n v="9"/>
    <n v="73"/>
    <n v="27"/>
    <n v="2"/>
    <n v="0"/>
    <s v="C479"/>
    <s v="Male"/>
    <s v="Bachelor's Type 2"/>
    <s v="Senior Level"/>
    <s v="Low"/>
    <s v="Intermediate"/>
    <s v="Needs Improvement"/>
    <x v="1"/>
    <n v="43"/>
    <s v="Needs Improvement"/>
    <x v="1"/>
    <s v="Interview Preparation"/>
    <s v="Improve interview preparation and communication"/>
  </r>
  <r>
    <n v="50"/>
    <n v="0"/>
    <n v="2"/>
    <n v="12"/>
    <n v="2"/>
    <n v="32.781599932001903"/>
    <n v="86"/>
    <n v="94"/>
    <n v="25"/>
    <n v="1"/>
    <n v="1"/>
    <s v="C480"/>
    <s v="Male"/>
    <s v="Bachelor's Type 2"/>
    <s v="Senior Level"/>
    <s v="Strong"/>
    <s v="Advanced"/>
    <s v="Needs Improvement"/>
    <x v="0"/>
    <n v="74"/>
    <s v="Developing"/>
    <x v="1"/>
    <s v="Personality &amp; Communication"/>
    <s v="Work on communication and personality development"/>
  </r>
  <r>
    <n v="48"/>
    <n v="1"/>
    <n v="3"/>
    <n v="2"/>
    <n v="3"/>
    <n v="50.6471732891453"/>
    <n v="33"/>
    <n v="36"/>
    <n v="9"/>
    <n v="1"/>
    <n v="0"/>
    <s v="C481"/>
    <s v="Female"/>
    <s v="Master's"/>
    <s v="Entry Level"/>
    <s v="Low"/>
    <s v="Beginner"/>
    <s v="Needs Improvement"/>
    <x v="1"/>
    <n v="28"/>
    <s v="Needs Improvement"/>
    <x v="1"/>
    <s v="Personality &amp; Communication"/>
    <s v="Work on communication and personality development"/>
  </r>
  <r>
    <n v="40"/>
    <n v="0"/>
    <n v="2"/>
    <n v="14"/>
    <n v="4"/>
    <n v="39.885874453627501"/>
    <n v="47"/>
    <n v="22"/>
    <n v="46"/>
    <n v="2"/>
    <n v="0"/>
    <s v="C482"/>
    <s v="Male"/>
    <s v="Bachelor's Type 2"/>
    <s v="Senior Level"/>
    <s v="Low"/>
    <s v="Beginner"/>
    <s v="Needs Improvement"/>
    <x v="1"/>
    <n v="46"/>
    <s v="Needs Improvement"/>
    <x v="2"/>
    <s v="Technical Skills"/>
    <s v="Strengthen technical skills and practical knowledge"/>
  </r>
  <r>
    <n v="42"/>
    <n v="1"/>
    <n v="1"/>
    <n v="12"/>
    <n v="3"/>
    <n v="12.2919816111696"/>
    <n v="32"/>
    <n v="26"/>
    <n v="3"/>
    <n v="3"/>
    <n v="0"/>
    <s v="C483"/>
    <s v="Female"/>
    <s v="Bachelor's Type 1"/>
    <s v="Senior Level"/>
    <s v="Low"/>
    <s v="Beginner"/>
    <s v="Needs Improvement"/>
    <x v="1"/>
    <n v="33"/>
    <s v="Needs Improvement"/>
    <x v="2"/>
    <s v="Personality &amp; Communication"/>
    <s v="Work on communication and personality development"/>
  </r>
  <r>
    <n v="20"/>
    <n v="1"/>
    <n v="3"/>
    <n v="4"/>
    <n v="1"/>
    <n v="9.8012377520566893"/>
    <n v="97"/>
    <n v="69"/>
    <n v="54"/>
    <n v="2"/>
    <n v="0"/>
    <s v="C484"/>
    <s v="Female"/>
    <s v="Master's"/>
    <s v="Mid Level"/>
    <s v="Strong"/>
    <s v="Intermediate"/>
    <s v="Good"/>
    <x v="1"/>
    <n v="68"/>
    <s v="Developing"/>
    <x v="2"/>
    <s v="Personality &amp; Communication"/>
    <s v="Work on communication and personality development"/>
  </r>
  <r>
    <n v="22"/>
    <n v="0"/>
    <n v="1"/>
    <n v="10"/>
    <n v="2"/>
    <n v="44.311643513383501"/>
    <n v="60"/>
    <n v="89"/>
    <n v="65"/>
    <n v="2"/>
    <n v="0"/>
    <s v="C485"/>
    <s v="Male"/>
    <s v="Bachelor's Type 1"/>
    <s v="Senior Level"/>
    <s v="Average"/>
    <s v="Advanced"/>
    <s v="Good"/>
    <x v="1"/>
    <n v="70"/>
    <s v="Developing"/>
    <x v="1"/>
    <s v="Interview Preparation"/>
    <s v="Improve interview preparation and communication"/>
  </r>
  <r>
    <n v="37"/>
    <n v="1"/>
    <n v="2"/>
    <n v="15"/>
    <n v="5"/>
    <n v="23.209197396075201"/>
    <n v="9"/>
    <n v="65"/>
    <n v="66"/>
    <n v="2"/>
    <n v="0"/>
    <s v="C486"/>
    <s v="Female"/>
    <s v="Bachelor's Type 2"/>
    <s v="Senior Level"/>
    <s v="Low"/>
    <s v="Intermediate"/>
    <s v="Good"/>
    <x v="1"/>
    <n v="53"/>
    <s v="Developing"/>
    <x v="0"/>
    <s v="Interview Preparation"/>
    <s v="Improve interview preparation and communication"/>
  </r>
  <r>
    <n v="44"/>
    <n v="0"/>
    <n v="2"/>
    <n v="9"/>
    <n v="1"/>
    <n v="7.85264014140777"/>
    <n v="53"/>
    <n v="60"/>
    <n v="6"/>
    <n v="2"/>
    <n v="0"/>
    <s v="C487"/>
    <s v="Male"/>
    <s v="Bachelor's Type 2"/>
    <s v="Senior Level"/>
    <s v="Average"/>
    <s v="Intermediate"/>
    <s v="Needs Improvement"/>
    <x v="1"/>
    <n v="47"/>
    <s v="Needs Improvement"/>
    <x v="1"/>
    <s v="Personality &amp; Communication"/>
    <s v="Work on communication and personality development"/>
  </r>
  <r>
    <n v="29"/>
    <n v="0"/>
    <n v="2"/>
    <n v="11"/>
    <n v="1"/>
    <n v="44.110571166096904"/>
    <n v="83"/>
    <n v="76"/>
    <n v="54"/>
    <n v="1"/>
    <n v="1"/>
    <s v="C488"/>
    <s v="Male"/>
    <s v="Bachelor's Type 2"/>
    <s v="Senior Level"/>
    <s v="Strong"/>
    <s v="Advanced"/>
    <s v="Good"/>
    <x v="0"/>
    <n v="72"/>
    <s v="Developing"/>
    <x v="2"/>
    <s v="Personality &amp; Communication"/>
    <s v="Work on communication and personality development"/>
  </r>
  <r>
    <n v="50"/>
    <n v="0"/>
    <n v="2"/>
    <n v="15"/>
    <n v="2"/>
    <n v="41.804617645713002"/>
    <n v="64"/>
    <n v="50"/>
    <n v="79"/>
    <n v="2"/>
    <n v="0"/>
    <s v="C489"/>
    <s v="Male"/>
    <s v="Bachelor's Type 2"/>
    <s v="Senior Level"/>
    <s v="Average"/>
    <s v="Intermediate"/>
    <s v="Strong"/>
    <x v="1"/>
    <n v="68"/>
    <s v="Developing"/>
    <x v="0"/>
    <s v="Technical Skills"/>
    <s v="Strengthen technical skills and practical knowledge"/>
  </r>
  <r>
    <n v="41"/>
    <n v="0"/>
    <n v="3"/>
    <n v="8"/>
    <n v="5"/>
    <n v="50.195318194858103"/>
    <n v="76"/>
    <n v="49"/>
    <n v="30"/>
    <n v="1"/>
    <n v="1"/>
    <s v="C490"/>
    <s v="Male"/>
    <s v="Master's"/>
    <s v="Senior Level"/>
    <s v="Strong"/>
    <s v="Beginner"/>
    <s v="Needs Improvement"/>
    <x v="0"/>
    <n v="55"/>
    <s v="Developing"/>
    <x v="2"/>
    <s v="Personality &amp; Communication"/>
    <s v="Work on communication and personality development"/>
  </r>
  <r>
    <n v="45"/>
    <n v="0"/>
    <n v="1"/>
    <n v="5"/>
    <n v="4"/>
    <n v="46.487184335634197"/>
    <n v="0"/>
    <n v="18"/>
    <n v="73"/>
    <n v="1"/>
    <n v="0"/>
    <s v="C491"/>
    <s v="Male"/>
    <s v="Bachelor's Type 1"/>
    <s v="Mid Level"/>
    <s v="Low"/>
    <s v="Beginner"/>
    <s v="Good"/>
    <x v="1"/>
    <n v="28"/>
    <s v="Needs Improvement"/>
    <x v="0"/>
    <s v="Interview Preparation"/>
    <s v="Improve interview preparation and communication"/>
  </r>
  <r>
    <n v="22"/>
    <n v="1"/>
    <n v="2"/>
    <n v="11"/>
    <n v="5"/>
    <n v="43.589516933026999"/>
    <n v="4"/>
    <n v="0"/>
    <n v="18"/>
    <n v="2"/>
    <n v="0"/>
    <s v="C492"/>
    <s v="Female"/>
    <s v="Bachelor's Type 2"/>
    <s v="Senior Level"/>
    <s v="Low"/>
    <s v="Beginner"/>
    <s v="Needs Improvement"/>
    <x v="1"/>
    <n v="18"/>
    <s v="Needs Improvement"/>
    <x v="0"/>
    <s v="Technical Skills"/>
    <s v="Strengthen technical skills and practical knowledge"/>
  </r>
  <r>
    <n v="27"/>
    <n v="1"/>
    <n v="3"/>
    <n v="8"/>
    <n v="3"/>
    <n v="3.6287198905501499"/>
    <n v="79"/>
    <n v="39"/>
    <n v="27"/>
    <n v="1"/>
    <n v="1"/>
    <s v="C493"/>
    <s v="Female"/>
    <s v="Master's"/>
    <s v="Senior Level"/>
    <s v="Strong"/>
    <s v="Beginner"/>
    <s v="Needs Improvement"/>
    <x v="0"/>
    <n v="53"/>
    <s v="Developing"/>
    <x v="2"/>
    <s v="Personality &amp; Communication"/>
    <s v="Work on communication and personality development"/>
  </r>
  <r>
    <n v="33"/>
    <n v="1"/>
    <n v="2"/>
    <n v="7"/>
    <n v="1"/>
    <n v="6.2207684749059"/>
    <n v="14"/>
    <n v="31"/>
    <n v="80"/>
    <n v="1"/>
    <n v="1"/>
    <s v="C494"/>
    <s v="Female"/>
    <s v="Bachelor's Type 2"/>
    <s v="Senior Level"/>
    <s v="Low"/>
    <s v="Beginner"/>
    <s v="Strong"/>
    <x v="0"/>
    <n v="39"/>
    <s v="Needs Improvement"/>
    <x v="0"/>
    <s v="Interview Preparation"/>
    <s v="Improve interview preparation and communication"/>
  </r>
  <r>
    <n v="43"/>
    <n v="0"/>
    <n v="1"/>
    <n v="7"/>
    <n v="3"/>
    <n v="29.4491597152061"/>
    <n v="27"/>
    <n v="21"/>
    <n v="27"/>
    <n v="1"/>
    <n v="0"/>
    <s v="C495"/>
    <s v="Male"/>
    <s v="Bachelor's Type 1"/>
    <s v="Senior Level"/>
    <s v="Low"/>
    <s v="Beginner"/>
    <s v="Needs Improvement"/>
    <x v="1"/>
    <n v="29"/>
    <s v="Needs Improvement"/>
    <x v="2"/>
    <s v="Technical Skills"/>
    <s v="Strengthen technical skills and practical knowledge"/>
  </r>
  <r>
    <n v="37"/>
    <n v="0"/>
    <n v="3"/>
    <n v="0"/>
    <n v="4"/>
    <n v="27.573962314090998"/>
    <n v="94"/>
    <n v="92"/>
    <n v="18"/>
    <n v="3"/>
    <n v="0"/>
    <s v="C496"/>
    <s v="Male"/>
    <s v="Master's"/>
    <s v="Entry Level"/>
    <s v="Strong"/>
    <s v="Advanced"/>
    <s v="Needs Improvement"/>
    <x v="1"/>
    <n v="63"/>
    <s v="Developing"/>
    <x v="2"/>
    <s v="Personality &amp; Communication"/>
    <s v="Work on communication and personality development"/>
  </r>
  <r>
    <n v="34"/>
    <n v="0"/>
    <n v="2"/>
    <n v="12"/>
    <n v="3"/>
    <n v="23.8981607244767"/>
    <n v="22"/>
    <n v="65"/>
    <n v="100"/>
    <n v="2"/>
    <n v="0"/>
    <s v="C497"/>
    <s v="Male"/>
    <s v="Bachelor's Type 2"/>
    <s v="Senior Level"/>
    <s v="Low"/>
    <s v="Intermediate"/>
    <s v="Strong"/>
    <x v="1"/>
    <n v="61"/>
    <s v="Developing"/>
    <x v="0"/>
    <s v="Interview Preparation"/>
    <s v="Improve interview preparation and communication"/>
  </r>
  <r>
    <n v="41"/>
    <n v="1"/>
    <n v="3"/>
    <n v="8"/>
    <n v="5"/>
    <n v="20.839466270729201"/>
    <n v="16"/>
    <n v="39"/>
    <n v="86"/>
    <n v="1"/>
    <n v="1"/>
    <s v="C498"/>
    <s v="Female"/>
    <s v="Master's"/>
    <s v="Senior Level"/>
    <s v="Low"/>
    <s v="Beginner"/>
    <s v="Strong"/>
    <x v="0"/>
    <n v="45"/>
    <s v="Needs Improvement"/>
    <x v="0"/>
    <s v="Interview Preparation"/>
    <s v="Improve interview preparation and communication"/>
  </r>
  <r>
    <n v="42"/>
    <n v="0"/>
    <n v="3"/>
    <n v="5"/>
    <n v="3"/>
    <n v="22.560524243216399"/>
    <n v="97"/>
    <n v="37"/>
    <n v="19"/>
    <n v="2"/>
    <n v="0"/>
    <s v="C499"/>
    <s v="Male"/>
    <s v="Master's"/>
    <s v="Mid Level"/>
    <s v="Strong"/>
    <s v="Beginner"/>
    <s v="Needs Improvement"/>
    <x v="1"/>
    <n v="53"/>
    <s v="Developing"/>
    <x v="2"/>
    <s v="Personality &amp; Communication"/>
    <s v="Work on communication and personality development"/>
  </r>
  <r>
    <n v="21"/>
    <n v="1"/>
    <n v="2"/>
    <n v="15"/>
    <n v="4"/>
    <n v="29.464896706739701"/>
    <n v="12"/>
    <n v="47"/>
    <n v="12"/>
    <n v="1"/>
    <n v="0"/>
    <s v="C500"/>
    <s v="Female"/>
    <s v="Bachelor's Type 2"/>
    <s v="Senior Level"/>
    <s v="Low"/>
    <s v="Beginner"/>
    <s v="Needs Improvement"/>
    <x v="1"/>
    <n v="38"/>
    <s v="Needs Improvement"/>
    <x v="1"/>
    <s v="Interview Preparation"/>
    <s v="Improve interview preparation and communication"/>
  </r>
  <r>
    <n v="50"/>
    <n v="1"/>
    <n v="2"/>
    <n v="8"/>
    <n v="4"/>
    <n v="1.1038258800040599"/>
    <n v="13"/>
    <n v="54"/>
    <n v="76"/>
    <n v="2"/>
    <n v="0"/>
    <s v="C501"/>
    <s v="Female"/>
    <s v="Bachelor's Type 2"/>
    <s v="Senior Level"/>
    <s v="Low"/>
    <s v="Intermediate"/>
    <s v="Strong"/>
    <x v="1"/>
    <n v="46"/>
    <s v="Needs Improvement"/>
    <x v="0"/>
    <s v="Interview Preparation"/>
    <s v="Improve interview preparation and communication"/>
  </r>
  <r>
    <n v="46"/>
    <n v="0"/>
    <n v="4"/>
    <n v="2"/>
    <n v="4"/>
    <n v="14.0354387066426"/>
    <n v="10"/>
    <n v="74"/>
    <n v="42"/>
    <n v="2"/>
    <n v="0"/>
    <s v="C502"/>
    <s v="Male"/>
    <s v="PhD"/>
    <s v="Entry Level"/>
    <s v="Low"/>
    <s v="Intermediate"/>
    <s v="Needs Improvement"/>
    <x v="1"/>
    <n v="41"/>
    <s v="Needs Improvement"/>
    <x v="1"/>
    <s v="Interview Preparation"/>
    <s v="Improve interview preparation and communication"/>
  </r>
  <r>
    <n v="29"/>
    <n v="0"/>
    <n v="1"/>
    <n v="11"/>
    <n v="5"/>
    <n v="26.913986034435499"/>
    <n v="27"/>
    <n v="80"/>
    <n v="10"/>
    <n v="3"/>
    <n v="0"/>
    <s v="C503"/>
    <s v="Male"/>
    <s v="Bachelor's Type 1"/>
    <s v="Senior Level"/>
    <s v="Low"/>
    <s v="Advanced"/>
    <s v="Needs Improvement"/>
    <x v="1"/>
    <n v="48"/>
    <s v="Needs Improvement"/>
    <x v="1"/>
    <s v="Personality &amp; Communication"/>
    <s v="Work on communication and personality development"/>
  </r>
  <r>
    <n v="21"/>
    <n v="1"/>
    <n v="3"/>
    <n v="2"/>
    <n v="4"/>
    <n v="37.110804933682303"/>
    <n v="41"/>
    <n v="54"/>
    <n v="47"/>
    <n v="2"/>
    <n v="0"/>
    <s v="C504"/>
    <s v="Female"/>
    <s v="Master's"/>
    <s v="Entry Level"/>
    <s v="Low"/>
    <s v="Intermediate"/>
    <s v="Needs Improvement"/>
    <x v="1"/>
    <n v="44"/>
    <s v="Needs Improvement"/>
    <x v="1"/>
    <s v="Interview Preparation"/>
    <s v="Improve interview preparation and communication"/>
  </r>
  <r>
    <n v="45"/>
    <n v="0"/>
    <n v="1"/>
    <n v="5"/>
    <n v="1"/>
    <n v="9.7078346197698107"/>
    <n v="95"/>
    <n v="50"/>
    <n v="14"/>
    <n v="3"/>
    <n v="0"/>
    <s v="C505"/>
    <s v="Male"/>
    <s v="Bachelor's Type 1"/>
    <s v="Mid Level"/>
    <s v="Strong"/>
    <s v="Intermediate"/>
    <s v="Needs Improvement"/>
    <x v="1"/>
    <n v="54"/>
    <s v="Developing"/>
    <x v="2"/>
    <s v="Personality &amp; Communication"/>
    <s v="Work on communication and personality development"/>
  </r>
  <r>
    <n v="36"/>
    <n v="1"/>
    <n v="2"/>
    <n v="8"/>
    <n v="4"/>
    <n v="28.3440586893716"/>
    <n v="98"/>
    <n v="59"/>
    <n v="16"/>
    <n v="3"/>
    <n v="0"/>
    <s v="C506"/>
    <s v="Female"/>
    <s v="Bachelor's Type 2"/>
    <s v="Senior Level"/>
    <s v="Strong"/>
    <s v="Intermediate"/>
    <s v="Needs Improvement"/>
    <x v="1"/>
    <n v="61"/>
    <s v="Developing"/>
    <x v="2"/>
    <s v="Personality &amp; Communication"/>
    <s v="Work on communication and personality development"/>
  </r>
  <r>
    <n v="27"/>
    <n v="0"/>
    <n v="2"/>
    <n v="6"/>
    <n v="3"/>
    <n v="36.722984194288998"/>
    <n v="60"/>
    <n v="7"/>
    <n v="53"/>
    <n v="3"/>
    <n v="0"/>
    <s v="C507"/>
    <s v="Male"/>
    <s v="Bachelor's Type 2"/>
    <s v="Mid Level"/>
    <s v="Average"/>
    <s v="Beginner"/>
    <s v="Good"/>
    <x v="1"/>
    <n v="39"/>
    <s v="Needs Improvement"/>
    <x v="2"/>
    <s v="Technical Skills"/>
    <s v="Strengthen technical skills and practical knowledge"/>
  </r>
  <r>
    <n v="20"/>
    <n v="0"/>
    <n v="4"/>
    <n v="13"/>
    <n v="3"/>
    <n v="23.231382895695202"/>
    <n v="63"/>
    <n v="85"/>
    <n v="49"/>
    <n v="2"/>
    <n v="0"/>
    <s v="C508"/>
    <s v="Male"/>
    <s v="PhD"/>
    <s v="Senior Level"/>
    <s v="Average"/>
    <s v="Advanced"/>
    <s v="Needs Improvement"/>
    <x v="1"/>
    <n v="72"/>
    <s v="Developing"/>
    <x v="1"/>
    <s v="Personality &amp; Communication"/>
    <s v="Work on communication and personality development"/>
  </r>
  <r>
    <n v="28"/>
    <n v="1"/>
    <n v="4"/>
    <n v="12"/>
    <n v="3"/>
    <n v="2.35405668350255"/>
    <n v="30"/>
    <n v="67"/>
    <n v="27"/>
    <n v="2"/>
    <n v="0"/>
    <s v="C509"/>
    <s v="Female"/>
    <s v="PhD"/>
    <s v="Senior Level"/>
    <s v="Low"/>
    <s v="Intermediate"/>
    <s v="Needs Improvement"/>
    <x v="1"/>
    <n v="52"/>
    <s v="Developing"/>
    <x v="1"/>
    <s v="Personality &amp; Communication"/>
    <s v="Work on communication and personality development"/>
  </r>
  <r>
    <n v="30"/>
    <n v="0"/>
    <n v="1"/>
    <n v="2"/>
    <n v="5"/>
    <n v="23.4634079232818"/>
    <n v="80"/>
    <n v="74"/>
    <n v="82"/>
    <n v="2"/>
    <n v="0"/>
    <s v="C510"/>
    <s v="Male"/>
    <s v="Bachelor's Type 1"/>
    <s v="Entry Level"/>
    <s v="Strong"/>
    <s v="Intermediate"/>
    <s v="Strong"/>
    <x v="1"/>
    <n v="67"/>
    <s v="Developing"/>
    <x v="0"/>
    <s v="Technical Skills"/>
    <s v="Strengthen technical skills and practical knowledge"/>
  </r>
  <r>
    <n v="41"/>
    <n v="1"/>
    <n v="1"/>
    <n v="2"/>
    <n v="3"/>
    <n v="15.822244387207601"/>
    <n v="72"/>
    <n v="71"/>
    <n v="3"/>
    <n v="1"/>
    <n v="1"/>
    <s v="C511"/>
    <s v="Female"/>
    <s v="Bachelor's Type 1"/>
    <s v="Entry Level"/>
    <s v="Average"/>
    <s v="Intermediate"/>
    <s v="Needs Improvement"/>
    <x v="0"/>
    <n v="48"/>
    <s v="Needs Improvement"/>
    <x v="2"/>
    <s v="Personality &amp; Communication"/>
    <s v="Work on communication and personality development"/>
  </r>
  <r>
    <n v="35"/>
    <n v="0"/>
    <n v="3"/>
    <n v="1"/>
    <n v="5"/>
    <n v="47.482480385066403"/>
    <n v="9"/>
    <n v="8"/>
    <n v="21"/>
    <n v="1"/>
    <n v="0"/>
    <s v="C512"/>
    <s v="Male"/>
    <s v="Master's"/>
    <s v="Entry Level"/>
    <s v="Low"/>
    <s v="Beginner"/>
    <s v="Needs Improvement"/>
    <x v="1"/>
    <n v="14"/>
    <s v="Needs Improvement"/>
    <x v="0"/>
    <s v="Technical Skills"/>
    <s v="Strengthen technical skills and practical knowledge"/>
  </r>
  <r>
    <n v="26"/>
    <n v="1"/>
    <n v="2"/>
    <n v="8"/>
    <n v="5"/>
    <n v="7.2306692839163604"/>
    <n v="7"/>
    <n v="89"/>
    <n v="85"/>
    <n v="2"/>
    <n v="0"/>
    <s v="C513"/>
    <s v="Female"/>
    <s v="Bachelor's Type 2"/>
    <s v="Senior Level"/>
    <s v="Low"/>
    <s v="Advanced"/>
    <s v="Strong"/>
    <x v="1"/>
    <n v="56"/>
    <s v="Developing"/>
    <x v="1"/>
    <s v="Interview Preparation"/>
    <s v="Improve interview preparation and communication"/>
  </r>
  <r>
    <n v="48"/>
    <n v="1"/>
    <n v="1"/>
    <n v="12"/>
    <n v="4"/>
    <n v="33.623797775361602"/>
    <n v="20"/>
    <n v="1"/>
    <n v="100"/>
    <n v="2"/>
    <n v="0"/>
    <s v="C514"/>
    <s v="Female"/>
    <s v="Bachelor's Type 1"/>
    <s v="Senior Level"/>
    <s v="Low"/>
    <s v="Beginner"/>
    <s v="Strong"/>
    <x v="1"/>
    <n v="41"/>
    <s v="Needs Improvement"/>
    <x v="0"/>
    <s v="Technical Skills"/>
    <s v="Strengthen technical skills and practical knowledge"/>
  </r>
  <r>
    <n v="29"/>
    <n v="0"/>
    <n v="2"/>
    <n v="14"/>
    <n v="1"/>
    <n v="3.63598831672505"/>
    <n v="76"/>
    <n v="79"/>
    <n v="38"/>
    <n v="3"/>
    <n v="0"/>
    <s v="C515"/>
    <s v="Male"/>
    <s v="Bachelor's Type 2"/>
    <s v="Senior Level"/>
    <s v="Strong"/>
    <s v="Advanced"/>
    <s v="Needs Improvement"/>
    <x v="1"/>
    <n v="71"/>
    <s v="Developing"/>
    <x v="1"/>
    <s v="Personality &amp; Communication"/>
    <s v="Work on communication and personality development"/>
  </r>
  <r>
    <n v="42"/>
    <n v="1"/>
    <n v="2"/>
    <n v="2"/>
    <n v="4"/>
    <n v="23.3085218906348"/>
    <n v="58"/>
    <n v="94"/>
    <n v="33"/>
    <n v="1"/>
    <n v="0"/>
    <s v="C516"/>
    <s v="Female"/>
    <s v="Bachelor's Type 2"/>
    <s v="Entry Level"/>
    <s v="Average"/>
    <s v="Advanced"/>
    <s v="Needs Improvement"/>
    <x v="1"/>
    <n v="57"/>
    <s v="Developing"/>
    <x v="1"/>
    <s v="Personality &amp; Communication"/>
    <s v="Work on communication and personality development"/>
  </r>
  <r>
    <n v="45"/>
    <n v="0"/>
    <n v="4"/>
    <n v="10"/>
    <n v="4"/>
    <n v="28.698974361004002"/>
    <n v="49"/>
    <n v="69"/>
    <n v="96"/>
    <n v="1"/>
    <n v="1"/>
    <s v="C517"/>
    <s v="Male"/>
    <s v="PhD"/>
    <s v="Senior Level"/>
    <s v="Low"/>
    <s v="Intermediate"/>
    <s v="Strong"/>
    <x v="0"/>
    <n v="70"/>
    <s v="Developing"/>
    <x v="0"/>
    <s v="Interview Preparation"/>
    <s v="Improve interview preparation and communication"/>
  </r>
  <r>
    <n v="22"/>
    <n v="0"/>
    <n v="2"/>
    <n v="4"/>
    <n v="5"/>
    <n v="15.8977465658432"/>
    <n v="68"/>
    <n v="84"/>
    <n v="43"/>
    <n v="2"/>
    <n v="0"/>
    <s v="C518"/>
    <s v="Male"/>
    <s v="Bachelor's Type 2"/>
    <s v="Mid Level"/>
    <s v="Average"/>
    <s v="Advanced"/>
    <s v="Needs Improvement"/>
    <x v="1"/>
    <n v="61"/>
    <s v="Developing"/>
    <x v="1"/>
    <s v="Personality &amp; Communication"/>
    <s v="Work on communication and personality development"/>
  </r>
  <r>
    <n v="37"/>
    <n v="0"/>
    <n v="2"/>
    <n v="13"/>
    <n v="5"/>
    <n v="23.753781776019199"/>
    <n v="69"/>
    <n v="89"/>
    <n v="41"/>
    <n v="2"/>
    <n v="0"/>
    <s v="C519"/>
    <s v="Male"/>
    <s v="Bachelor's Type 2"/>
    <s v="Senior Level"/>
    <s v="Average"/>
    <s v="Advanced"/>
    <s v="Needs Improvement"/>
    <x v="1"/>
    <n v="71"/>
    <s v="Developing"/>
    <x v="1"/>
    <s v="Personality &amp; Communication"/>
    <s v="Work on communication and personality development"/>
  </r>
  <r>
    <n v="44"/>
    <n v="1"/>
    <n v="2"/>
    <n v="13"/>
    <n v="3"/>
    <n v="9.1776897265093602"/>
    <n v="29"/>
    <n v="58"/>
    <n v="39"/>
    <n v="1"/>
    <n v="1"/>
    <s v="C520"/>
    <s v="Female"/>
    <s v="Bachelor's Type 2"/>
    <s v="Senior Level"/>
    <s v="Low"/>
    <s v="Intermediate"/>
    <s v="Needs Improvement"/>
    <x v="0"/>
    <n v="49"/>
    <s v="Needs Improvement"/>
    <x v="1"/>
    <s v="Interview Preparation"/>
    <s v="Improve interview preparation and communication"/>
  </r>
  <r>
    <n v="43"/>
    <n v="1"/>
    <n v="3"/>
    <n v="8"/>
    <n v="3"/>
    <n v="16.206192473401799"/>
    <n v="94"/>
    <n v="18"/>
    <n v="96"/>
    <n v="3"/>
    <n v="1"/>
    <s v="C521"/>
    <s v="Female"/>
    <s v="Master's"/>
    <s v="Senior Level"/>
    <s v="Strong"/>
    <s v="Beginner"/>
    <s v="Strong"/>
    <x v="0"/>
    <n v="65"/>
    <s v="Developing"/>
    <x v="0"/>
    <s v="Technical Skills"/>
    <s v="Strengthen technical skills and practical knowledge"/>
  </r>
  <r>
    <n v="32"/>
    <n v="0"/>
    <n v="2"/>
    <n v="7"/>
    <n v="4"/>
    <n v="32.055316245510099"/>
    <n v="16"/>
    <n v="27"/>
    <n v="11"/>
    <n v="2"/>
    <n v="0"/>
    <s v="C522"/>
    <s v="Male"/>
    <s v="Bachelor's Type 2"/>
    <s v="Senior Level"/>
    <s v="Low"/>
    <s v="Beginner"/>
    <s v="Needs Improvement"/>
    <x v="1"/>
    <n v="25"/>
    <s v="Needs Improvement"/>
    <x v="1"/>
    <s v="Personality &amp; Communication"/>
    <s v="Work on communication and personality development"/>
  </r>
  <r>
    <n v="47"/>
    <n v="0"/>
    <n v="2"/>
    <n v="1"/>
    <n v="2"/>
    <n v="16.0900027930577"/>
    <n v="74"/>
    <n v="71"/>
    <n v="1"/>
    <n v="2"/>
    <n v="0"/>
    <s v="C523"/>
    <s v="Male"/>
    <s v="Bachelor's Type 2"/>
    <s v="Entry Level"/>
    <s v="Average"/>
    <s v="Intermediate"/>
    <s v="Needs Improvement"/>
    <x v="1"/>
    <n v="47"/>
    <s v="Needs Improvement"/>
    <x v="2"/>
    <s v="Personality &amp; Communication"/>
    <s v="Work on communication and personality development"/>
  </r>
  <r>
    <n v="45"/>
    <n v="1"/>
    <n v="2"/>
    <n v="2"/>
    <n v="2"/>
    <n v="45.987153920443497"/>
    <n v="19"/>
    <n v="13"/>
    <n v="27"/>
    <n v="3"/>
    <n v="0"/>
    <s v="C524"/>
    <s v="Female"/>
    <s v="Bachelor's Type 2"/>
    <s v="Entry Level"/>
    <s v="Low"/>
    <s v="Beginner"/>
    <s v="Needs Improvement"/>
    <x v="1"/>
    <n v="20"/>
    <s v="Needs Improvement"/>
    <x v="0"/>
    <s v="Technical Skills"/>
    <s v="Strengthen technical skills and practical knowledge"/>
  </r>
  <r>
    <n v="26"/>
    <n v="0"/>
    <n v="3"/>
    <n v="15"/>
    <n v="3"/>
    <n v="32.420347882049398"/>
    <n v="47"/>
    <n v="23"/>
    <n v="73"/>
    <n v="2"/>
    <n v="0"/>
    <s v="C525"/>
    <s v="Male"/>
    <s v="Master's"/>
    <s v="Senior Level"/>
    <s v="Low"/>
    <s v="Beginner"/>
    <s v="Good"/>
    <x v="1"/>
    <n v="54"/>
    <s v="Developing"/>
    <x v="0"/>
    <s v="Technical Skills"/>
    <s v="Strengthen technical skills and practical knowledge"/>
  </r>
  <r>
    <n v="44"/>
    <n v="0"/>
    <n v="2"/>
    <n v="15"/>
    <n v="2"/>
    <n v="22.932450921799202"/>
    <n v="72"/>
    <n v="43"/>
    <n v="85"/>
    <n v="2"/>
    <n v="0"/>
    <s v="C526"/>
    <s v="Male"/>
    <s v="Bachelor's Type 2"/>
    <s v="Senior Level"/>
    <s v="Average"/>
    <s v="Beginner"/>
    <s v="Strong"/>
    <x v="1"/>
    <n v="69"/>
    <s v="Developing"/>
    <x v="0"/>
    <s v="Technical Skills"/>
    <s v="Strengthen technical skills and practical knowledge"/>
  </r>
  <r>
    <n v="23"/>
    <n v="1"/>
    <n v="1"/>
    <n v="1"/>
    <n v="3"/>
    <n v="2.9378467777091202"/>
    <n v="1"/>
    <n v="100"/>
    <n v="80"/>
    <n v="3"/>
    <n v="0"/>
    <s v="C527"/>
    <s v="Female"/>
    <s v="Bachelor's Type 1"/>
    <s v="Entry Level"/>
    <s v="Low"/>
    <s v="Advanced"/>
    <s v="Strong"/>
    <x v="1"/>
    <n v="50"/>
    <s v="Developing"/>
    <x v="1"/>
    <s v="Interview Preparation"/>
    <s v="Improve interview preparation and communication"/>
  </r>
  <r>
    <n v="32"/>
    <n v="0"/>
    <n v="2"/>
    <n v="15"/>
    <n v="5"/>
    <n v="25.977416760233499"/>
    <n v="36"/>
    <n v="55"/>
    <n v="89"/>
    <n v="1"/>
    <n v="1"/>
    <s v="C528"/>
    <s v="Male"/>
    <s v="Bachelor's Type 2"/>
    <s v="Senior Level"/>
    <s v="Low"/>
    <s v="Intermediate"/>
    <s v="Strong"/>
    <x v="0"/>
    <n v="63"/>
    <s v="Developing"/>
    <x v="0"/>
    <s v="Interview Preparation"/>
    <s v="Improve interview preparation and communication"/>
  </r>
  <r>
    <n v="39"/>
    <n v="1"/>
    <n v="2"/>
    <n v="7"/>
    <n v="4"/>
    <n v="39.2388121062544"/>
    <n v="0"/>
    <n v="89"/>
    <n v="66"/>
    <n v="2"/>
    <n v="0"/>
    <s v="C529"/>
    <s v="Female"/>
    <s v="Bachelor's Type 2"/>
    <s v="Senior Level"/>
    <s v="Low"/>
    <s v="Advanced"/>
    <s v="Good"/>
    <x v="1"/>
    <n v="49"/>
    <s v="Needs Improvement"/>
    <x v="1"/>
    <s v="Interview Preparation"/>
    <s v="Improve interview preparation and communication"/>
  </r>
  <r>
    <n v="20"/>
    <n v="0"/>
    <n v="1"/>
    <n v="5"/>
    <n v="1"/>
    <n v="14.277879900620601"/>
    <n v="3"/>
    <n v="94"/>
    <n v="70"/>
    <n v="1"/>
    <n v="1"/>
    <s v="C530"/>
    <s v="Male"/>
    <s v="Bachelor's Type 1"/>
    <s v="Mid Level"/>
    <s v="Low"/>
    <s v="Advanced"/>
    <s v="Good"/>
    <x v="0"/>
    <n v="51"/>
    <s v="Developing"/>
    <x v="1"/>
    <s v="Interview Preparation"/>
    <s v="Improve interview preparation and communication"/>
  </r>
  <r>
    <n v="27"/>
    <n v="1"/>
    <n v="3"/>
    <n v="5"/>
    <n v="4"/>
    <n v="41.338678482438297"/>
    <n v="99"/>
    <n v="50"/>
    <n v="71"/>
    <n v="1"/>
    <n v="1"/>
    <s v="C531"/>
    <s v="Female"/>
    <s v="Master's"/>
    <s v="Mid Level"/>
    <s v="Strong"/>
    <s v="Intermediate"/>
    <s v="Good"/>
    <x v="0"/>
    <n v="68"/>
    <s v="Developing"/>
    <x v="2"/>
    <s v="Technical Skills"/>
    <s v="Strengthen technical skills and practical knowledge"/>
  </r>
  <r>
    <n v="33"/>
    <n v="0"/>
    <n v="2"/>
    <n v="11"/>
    <n v="3"/>
    <n v="13.590338302544"/>
    <n v="53"/>
    <n v="31"/>
    <n v="83"/>
    <n v="3"/>
    <n v="0"/>
    <s v="C532"/>
    <s v="Male"/>
    <s v="Bachelor's Type 2"/>
    <s v="Senior Level"/>
    <s v="Average"/>
    <s v="Beginner"/>
    <s v="Strong"/>
    <x v="1"/>
    <n v="55"/>
    <s v="Developing"/>
    <x v="0"/>
    <s v="Technical Skills"/>
    <s v="Strengthen technical skills and practical knowledge"/>
  </r>
  <r>
    <n v="35"/>
    <n v="0"/>
    <n v="3"/>
    <n v="14"/>
    <n v="3"/>
    <n v="42.187319397540001"/>
    <n v="24"/>
    <n v="49"/>
    <n v="75"/>
    <n v="2"/>
    <n v="0"/>
    <s v="C533"/>
    <s v="Male"/>
    <s v="Master's"/>
    <s v="Senior Level"/>
    <s v="Low"/>
    <s v="Beginner"/>
    <s v="Strong"/>
    <x v="1"/>
    <n v="55"/>
    <s v="Developing"/>
    <x v="0"/>
    <s v="Interview Preparation"/>
    <s v="Improve interview preparation and communication"/>
  </r>
  <r>
    <n v="33"/>
    <n v="1"/>
    <n v="2"/>
    <n v="8"/>
    <n v="4"/>
    <n v="5.2634170805838698"/>
    <n v="2"/>
    <n v="40"/>
    <n v="98"/>
    <n v="2"/>
    <n v="0"/>
    <s v="C534"/>
    <s v="Female"/>
    <s v="Bachelor's Type 2"/>
    <s v="Senior Level"/>
    <s v="Low"/>
    <s v="Beginner"/>
    <s v="Strong"/>
    <x v="1"/>
    <n v="43"/>
    <s v="Needs Improvement"/>
    <x v="0"/>
    <s v="Interview Preparation"/>
    <s v="Improve interview preparation and communication"/>
  </r>
  <r>
    <n v="31"/>
    <n v="0"/>
    <n v="3"/>
    <n v="7"/>
    <n v="3"/>
    <n v="44.309185443451398"/>
    <n v="8"/>
    <n v="65"/>
    <n v="80"/>
    <n v="3"/>
    <n v="1"/>
    <s v="C535"/>
    <s v="Male"/>
    <s v="Master's"/>
    <s v="Senior Level"/>
    <s v="Low"/>
    <s v="Intermediate"/>
    <s v="Strong"/>
    <x v="0"/>
    <n v="49"/>
    <s v="Needs Improvement"/>
    <x v="0"/>
    <s v="Interview Preparation"/>
    <s v="Improve interview preparation and communication"/>
  </r>
  <r>
    <n v="38"/>
    <n v="1"/>
    <n v="1"/>
    <n v="3"/>
    <n v="2"/>
    <n v="25.959322546666499"/>
    <n v="85"/>
    <n v="24"/>
    <n v="91"/>
    <n v="3"/>
    <n v="0"/>
    <s v="C536"/>
    <s v="Female"/>
    <s v="Bachelor's Type 1"/>
    <s v="Mid Level"/>
    <s v="Strong"/>
    <s v="Beginner"/>
    <s v="Strong"/>
    <x v="1"/>
    <n v="56"/>
    <s v="Developing"/>
    <x v="0"/>
    <s v="Technical Skills"/>
    <s v="Strengthen technical skills and practical knowledge"/>
  </r>
  <r>
    <n v="42"/>
    <n v="0"/>
    <n v="2"/>
    <n v="14"/>
    <n v="2"/>
    <n v="15.826879481013099"/>
    <n v="86"/>
    <n v="60"/>
    <n v="9"/>
    <n v="3"/>
    <n v="0"/>
    <s v="C537"/>
    <s v="Male"/>
    <s v="Bachelor's Type 2"/>
    <s v="Senior Level"/>
    <s v="Strong"/>
    <s v="Intermediate"/>
    <s v="Needs Improvement"/>
    <x v="1"/>
    <n v="62"/>
    <s v="Developing"/>
    <x v="2"/>
    <s v="Personality &amp; Communication"/>
    <s v="Work on communication and personality development"/>
  </r>
  <r>
    <n v="34"/>
    <n v="1"/>
    <n v="4"/>
    <n v="11"/>
    <n v="3"/>
    <n v="14.255662520757401"/>
    <n v="75"/>
    <n v="65"/>
    <n v="85"/>
    <n v="2"/>
    <n v="1"/>
    <s v="C538"/>
    <s v="Female"/>
    <s v="PhD"/>
    <s v="Senior Level"/>
    <s v="Strong"/>
    <s v="Intermediate"/>
    <s v="Strong"/>
    <x v="0"/>
    <n v="75"/>
    <s v="Job Ready"/>
    <x v="0"/>
    <s v="Technical Skills"/>
    <s v="Strengthen technical skills and practical knowledge"/>
  </r>
  <r>
    <n v="47"/>
    <n v="1"/>
    <n v="3"/>
    <n v="3"/>
    <n v="3"/>
    <n v="22.600527946518099"/>
    <n v="73"/>
    <n v="41"/>
    <n v="56"/>
    <n v="2"/>
    <n v="0"/>
    <s v="C539"/>
    <s v="Female"/>
    <s v="Master's"/>
    <s v="Mid Level"/>
    <s v="Average"/>
    <s v="Beginner"/>
    <s v="Good"/>
    <x v="1"/>
    <n v="52"/>
    <s v="Developing"/>
    <x v="2"/>
    <s v="Technical Skills"/>
    <s v="Strengthen technical skills and practical knowledge"/>
  </r>
  <r>
    <n v="21"/>
    <n v="1"/>
    <n v="2"/>
    <n v="8"/>
    <n v="2"/>
    <n v="50.9524749051822"/>
    <n v="33"/>
    <n v="64"/>
    <n v="96"/>
    <n v="1"/>
    <n v="1"/>
    <s v="C540"/>
    <s v="Female"/>
    <s v="Bachelor's Type 2"/>
    <s v="Senior Level"/>
    <s v="Low"/>
    <s v="Intermediate"/>
    <s v="Strong"/>
    <x v="0"/>
    <n v="59"/>
    <s v="Developing"/>
    <x v="0"/>
    <s v="Interview Preparation"/>
    <s v="Improve interview preparation and communication"/>
  </r>
  <r>
    <n v="21"/>
    <n v="1"/>
    <n v="2"/>
    <n v="0"/>
    <n v="3"/>
    <n v="12.016369671879101"/>
    <n v="42"/>
    <n v="35"/>
    <n v="85"/>
    <n v="2"/>
    <n v="0"/>
    <s v="C541"/>
    <s v="Female"/>
    <s v="Bachelor's Type 2"/>
    <s v="Entry Level"/>
    <s v="Low"/>
    <s v="Beginner"/>
    <s v="Strong"/>
    <x v="1"/>
    <n v="43"/>
    <s v="Needs Improvement"/>
    <x v="0"/>
    <s v="Technical Skills"/>
    <s v="Strengthen technical skills and practical knowledge"/>
  </r>
  <r>
    <n v="42"/>
    <n v="0"/>
    <n v="3"/>
    <n v="12"/>
    <n v="3"/>
    <n v="6.16083244394998"/>
    <n v="73"/>
    <n v="75"/>
    <n v="36"/>
    <n v="2"/>
    <n v="1"/>
    <s v="C542"/>
    <s v="Male"/>
    <s v="Master's"/>
    <s v="Senior Level"/>
    <s v="Average"/>
    <s v="Advanced"/>
    <s v="Needs Improvement"/>
    <x v="0"/>
    <n v="67"/>
    <s v="Developing"/>
    <x v="1"/>
    <s v="Personality &amp; Communication"/>
    <s v="Work on communication and personality development"/>
  </r>
  <r>
    <n v="50"/>
    <n v="0"/>
    <n v="2"/>
    <n v="1"/>
    <n v="4"/>
    <n v="30.251758435932999"/>
    <n v="93"/>
    <n v="8"/>
    <n v="76"/>
    <n v="2"/>
    <n v="0"/>
    <s v="C543"/>
    <s v="Male"/>
    <s v="Bachelor's Type 2"/>
    <s v="Entry Level"/>
    <s v="Strong"/>
    <s v="Beginner"/>
    <s v="Strong"/>
    <x v="1"/>
    <n v="49"/>
    <s v="Needs Improvement"/>
    <x v="2"/>
    <s v="Technical Skills"/>
    <s v="Strengthen technical skills and practical knowledge"/>
  </r>
  <r>
    <n v="41"/>
    <n v="1"/>
    <n v="3"/>
    <n v="1"/>
    <n v="1"/>
    <n v="25.4271233220128"/>
    <n v="21"/>
    <n v="35"/>
    <n v="90"/>
    <n v="2"/>
    <n v="0"/>
    <s v="C544"/>
    <s v="Female"/>
    <s v="Master's"/>
    <s v="Entry Level"/>
    <s v="Low"/>
    <s v="Beginner"/>
    <s v="Strong"/>
    <x v="1"/>
    <n v="40"/>
    <s v="Needs Improvement"/>
    <x v="0"/>
    <s v="Interview Preparation"/>
    <s v="Improve interview preparation and communication"/>
  </r>
  <r>
    <n v="38"/>
    <n v="1"/>
    <n v="3"/>
    <n v="12"/>
    <n v="2"/>
    <n v="27.209813553165301"/>
    <n v="69"/>
    <n v="91"/>
    <n v="63"/>
    <n v="3"/>
    <n v="1"/>
    <s v="C545"/>
    <s v="Female"/>
    <s v="Master's"/>
    <s v="Senior Level"/>
    <s v="Average"/>
    <s v="Advanced"/>
    <s v="Good"/>
    <x v="0"/>
    <n v="76"/>
    <s v="Job Ready"/>
    <x v="1"/>
    <s v="Personality &amp; Communication"/>
    <s v="Work on communication and personality development"/>
  </r>
  <r>
    <n v="44"/>
    <n v="1"/>
    <n v="1"/>
    <n v="12"/>
    <n v="4"/>
    <n v="34.346770877860799"/>
    <n v="1"/>
    <n v="37"/>
    <n v="78"/>
    <n v="2"/>
    <n v="0"/>
    <s v="C546"/>
    <s v="Female"/>
    <s v="Bachelor's Type 1"/>
    <s v="Senior Level"/>
    <s v="Low"/>
    <s v="Beginner"/>
    <s v="Strong"/>
    <x v="1"/>
    <n v="42"/>
    <s v="Needs Improvement"/>
    <x v="0"/>
    <s v="Interview Preparation"/>
    <s v="Improve interview preparation and communication"/>
  </r>
  <r>
    <n v="45"/>
    <n v="0"/>
    <n v="1"/>
    <n v="5"/>
    <n v="1"/>
    <n v="14.357203493532401"/>
    <n v="93"/>
    <n v="32"/>
    <n v="85"/>
    <n v="2"/>
    <n v="0"/>
    <s v="C547"/>
    <s v="Male"/>
    <s v="Bachelor's Type 1"/>
    <s v="Mid Level"/>
    <s v="Strong"/>
    <s v="Beginner"/>
    <s v="Strong"/>
    <x v="1"/>
    <n v="62"/>
    <s v="Developing"/>
    <x v="2"/>
    <s v="Technical Skills"/>
    <s v="Strengthen technical skills and practical knowledge"/>
  </r>
  <r>
    <n v="50"/>
    <n v="0"/>
    <n v="2"/>
    <n v="14"/>
    <n v="3"/>
    <n v="46.533249769194398"/>
    <n v="65"/>
    <n v="41"/>
    <n v="93"/>
    <n v="2"/>
    <n v="0"/>
    <s v="C548"/>
    <s v="Male"/>
    <s v="Bachelor's Type 2"/>
    <s v="Senior Level"/>
    <s v="Average"/>
    <s v="Beginner"/>
    <s v="Strong"/>
    <x v="1"/>
    <n v="67"/>
    <s v="Developing"/>
    <x v="0"/>
    <s v="Technical Skills"/>
    <s v="Strengthen technical skills and practical knowledge"/>
  </r>
  <r>
    <n v="49"/>
    <n v="0"/>
    <n v="1"/>
    <n v="3"/>
    <n v="3"/>
    <n v="22.7836033061145"/>
    <n v="31"/>
    <n v="60"/>
    <n v="39"/>
    <n v="1"/>
    <n v="0"/>
    <s v="C549"/>
    <s v="Male"/>
    <s v="Bachelor's Type 1"/>
    <s v="Mid Level"/>
    <s v="Low"/>
    <s v="Intermediate"/>
    <s v="Needs Improvement"/>
    <x v="1"/>
    <n v="41"/>
    <s v="Needs Improvement"/>
    <x v="1"/>
    <s v="Interview Preparation"/>
    <s v="Improve interview preparation and communication"/>
  </r>
  <r>
    <n v="48"/>
    <n v="0"/>
    <n v="2"/>
    <n v="15"/>
    <n v="4"/>
    <n v="7.4543097571230801"/>
    <n v="15"/>
    <n v="45"/>
    <n v="100"/>
    <n v="1"/>
    <n v="1"/>
    <s v="C550"/>
    <s v="Male"/>
    <s v="Bachelor's Type 2"/>
    <s v="Senior Level"/>
    <s v="Low"/>
    <s v="Beginner"/>
    <s v="Strong"/>
    <x v="0"/>
    <n v="56"/>
    <s v="Developing"/>
    <x v="0"/>
    <s v="Interview Preparation"/>
    <s v="Improve interview preparation and communication"/>
  </r>
  <r>
    <n v="41"/>
    <n v="1"/>
    <n v="4"/>
    <n v="12"/>
    <n v="3"/>
    <n v="38.114937836697202"/>
    <n v="75"/>
    <n v="85"/>
    <n v="97"/>
    <n v="2"/>
    <n v="1"/>
    <s v="C551"/>
    <s v="Female"/>
    <s v="PhD"/>
    <s v="Senior Level"/>
    <s v="Strong"/>
    <s v="Advanced"/>
    <s v="Strong"/>
    <x v="0"/>
    <n v="84"/>
    <s v="Job Ready"/>
    <x v="0"/>
    <s v="Interview Preparation"/>
    <s v="Improve interview preparation and communication"/>
  </r>
  <r>
    <n v="45"/>
    <n v="1"/>
    <n v="2"/>
    <n v="10"/>
    <n v="5"/>
    <n v="33.155217630892501"/>
    <n v="0"/>
    <n v="88"/>
    <n v="59"/>
    <n v="1"/>
    <n v="1"/>
    <s v="C552"/>
    <s v="Female"/>
    <s v="Bachelor's Type 2"/>
    <s v="Senior Level"/>
    <s v="Low"/>
    <s v="Advanced"/>
    <s v="Good"/>
    <x v="0"/>
    <n v="51"/>
    <s v="Developing"/>
    <x v="1"/>
    <s v="Interview Preparation"/>
    <s v="Improve interview preparation and communication"/>
  </r>
  <r>
    <n v="45"/>
    <n v="1"/>
    <n v="3"/>
    <n v="9"/>
    <n v="4"/>
    <n v="16.787170124201801"/>
    <n v="71"/>
    <n v="60"/>
    <n v="97"/>
    <n v="2"/>
    <n v="1"/>
    <s v="C553"/>
    <s v="Female"/>
    <s v="Master's"/>
    <s v="Senior Level"/>
    <s v="Average"/>
    <s v="Intermediate"/>
    <s v="Strong"/>
    <x v="0"/>
    <n v="71"/>
    <s v="Developing"/>
    <x v="0"/>
    <s v="Technical Skills"/>
    <s v="Strengthen technical skills and practical knowledge"/>
  </r>
  <r>
    <n v="41"/>
    <n v="0"/>
    <n v="2"/>
    <n v="12"/>
    <n v="1"/>
    <n v="32.075936201702397"/>
    <n v="47"/>
    <n v="17"/>
    <n v="47"/>
    <n v="2"/>
    <n v="0"/>
    <s v="C554"/>
    <s v="Male"/>
    <s v="Bachelor's Type 2"/>
    <s v="Senior Level"/>
    <s v="Low"/>
    <s v="Beginner"/>
    <s v="Needs Improvement"/>
    <x v="1"/>
    <n v="43"/>
    <s v="Needs Improvement"/>
    <x v="2"/>
    <s v="Technical Skills"/>
    <s v="Strengthen technical skills and practical knowledge"/>
  </r>
  <r>
    <n v="36"/>
    <n v="0"/>
    <n v="2"/>
    <n v="2"/>
    <n v="4"/>
    <n v="11.993097818448801"/>
    <n v="49"/>
    <n v="69"/>
    <n v="98"/>
    <n v="1"/>
    <n v="1"/>
    <s v="C555"/>
    <s v="Male"/>
    <s v="Bachelor's Type 2"/>
    <s v="Entry Level"/>
    <s v="Low"/>
    <s v="Intermediate"/>
    <s v="Strong"/>
    <x v="0"/>
    <n v="60"/>
    <s v="Developing"/>
    <x v="0"/>
    <s v="Interview Preparation"/>
    <s v="Improve interview preparation and communication"/>
  </r>
  <r>
    <n v="39"/>
    <n v="0"/>
    <n v="1"/>
    <n v="2"/>
    <n v="2"/>
    <n v="23.241967967026401"/>
    <n v="12"/>
    <n v="81"/>
    <n v="18"/>
    <n v="1"/>
    <n v="0"/>
    <s v="C556"/>
    <s v="Male"/>
    <s v="Bachelor's Type 1"/>
    <s v="Entry Level"/>
    <s v="Low"/>
    <s v="Advanced"/>
    <s v="Needs Improvement"/>
    <x v="1"/>
    <n v="36"/>
    <s v="Needs Improvement"/>
    <x v="1"/>
    <s v="Interview Preparation"/>
    <s v="Improve interview preparation and communication"/>
  </r>
  <r>
    <n v="29"/>
    <n v="1"/>
    <n v="2"/>
    <n v="2"/>
    <n v="4"/>
    <n v="45.970626108366197"/>
    <n v="14"/>
    <n v="79"/>
    <n v="71"/>
    <n v="2"/>
    <n v="0"/>
    <s v="C557"/>
    <s v="Female"/>
    <s v="Bachelor's Type 2"/>
    <s v="Entry Level"/>
    <s v="Low"/>
    <s v="Advanced"/>
    <s v="Good"/>
    <x v="1"/>
    <n v="47"/>
    <s v="Needs Improvement"/>
    <x v="1"/>
    <s v="Interview Preparation"/>
    <s v="Improve interview preparation and communication"/>
  </r>
  <r>
    <n v="25"/>
    <n v="1"/>
    <n v="2"/>
    <n v="5"/>
    <n v="3"/>
    <n v="7.6767116580374699"/>
    <n v="52"/>
    <n v="14"/>
    <n v="32"/>
    <n v="2"/>
    <n v="0"/>
    <s v="C558"/>
    <s v="Female"/>
    <s v="Bachelor's Type 2"/>
    <s v="Mid Level"/>
    <s v="Average"/>
    <s v="Beginner"/>
    <s v="Needs Improvement"/>
    <x v="1"/>
    <n v="34"/>
    <s v="Needs Improvement"/>
    <x v="2"/>
    <s v="Technical Skills"/>
    <s v="Strengthen technical skills and practical knowledge"/>
  </r>
  <r>
    <n v="34"/>
    <n v="0"/>
    <n v="2"/>
    <n v="13"/>
    <n v="3"/>
    <n v="20.3348224993731"/>
    <n v="43"/>
    <n v="47"/>
    <n v="43"/>
    <n v="2"/>
    <n v="0"/>
    <s v="C559"/>
    <s v="Male"/>
    <s v="Bachelor's Type 2"/>
    <s v="Senior Level"/>
    <s v="Low"/>
    <s v="Beginner"/>
    <s v="Needs Improvement"/>
    <x v="1"/>
    <n v="51"/>
    <s v="Developing"/>
    <x v="1"/>
    <s v="Interview Preparation"/>
    <s v="Improve interview preparation and communication"/>
  </r>
  <r>
    <n v="41"/>
    <n v="1"/>
    <n v="3"/>
    <n v="15"/>
    <n v="5"/>
    <n v="42.057121236017302"/>
    <n v="7"/>
    <n v="71"/>
    <n v="91"/>
    <n v="2"/>
    <n v="1"/>
    <s v="C560"/>
    <s v="Female"/>
    <s v="Master's"/>
    <s v="Senior Level"/>
    <s v="Low"/>
    <s v="Intermediate"/>
    <s v="Strong"/>
    <x v="0"/>
    <n v="60"/>
    <s v="Developing"/>
    <x v="0"/>
    <s v="Interview Preparation"/>
    <s v="Improve interview preparation and communication"/>
  </r>
  <r>
    <n v="30"/>
    <n v="0"/>
    <n v="2"/>
    <n v="7"/>
    <n v="5"/>
    <n v="49.474544970308898"/>
    <n v="73"/>
    <n v="12"/>
    <n v="36"/>
    <n v="2"/>
    <n v="0"/>
    <s v="C561"/>
    <s v="Male"/>
    <s v="Bachelor's Type 2"/>
    <s v="Senior Level"/>
    <s v="Average"/>
    <s v="Beginner"/>
    <s v="Needs Improvement"/>
    <x v="1"/>
    <n v="42"/>
    <s v="Needs Improvement"/>
    <x v="2"/>
    <s v="Technical Skills"/>
    <s v="Strengthen technical skills and practical knowledge"/>
  </r>
  <r>
    <n v="47"/>
    <n v="0"/>
    <n v="2"/>
    <n v="10"/>
    <n v="5"/>
    <n v="23.696306821089699"/>
    <n v="45"/>
    <n v="42"/>
    <n v="88"/>
    <n v="3"/>
    <n v="0"/>
    <s v="C562"/>
    <s v="Male"/>
    <s v="Bachelor's Type 2"/>
    <s v="Senior Level"/>
    <s v="Low"/>
    <s v="Beginner"/>
    <s v="Strong"/>
    <x v="1"/>
    <n v="56"/>
    <s v="Developing"/>
    <x v="0"/>
    <s v="Technical Skills"/>
    <s v="Strengthen technical skills and practical knowledge"/>
  </r>
  <r>
    <n v="24"/>
    <n v="1"/>
    <n v="2"/>
    <n v="6"/>
    <n v="1"/>
    <n v="26.349981007167301"/>
    <n v="68"/>
    <n v="59"/>
    <n v="35"/>
    <n v="2"/>
    <n v="0"/>
    <s v="C563"/>
    <s v="Female"/>
    <s v="Bachelor's Type 2"/>
    <s v="Mid Level"/>
    <s v="Average"/>
    <s v="Intermediate"/>
    <s v="Needs Improvement"/>
    <x v="1"/>
    <n v="54"/>
    <s v="Developing"/>
    <x v="2"/>
    <s v="Personality &amp; Communication"/>
    <s v="Work on communication and personality development"/>
  </r>
  <r>
    <n v="20"/>
    <n v="0"/>
    <n v="1"/>
    <n v="13"/>
    <n v="5"/>
    <n v="29.608598089188401"/>
    <n v="18"/>
    <n v="56"/>
    <n v="80"/>
    <n v="3"/>
    <n v="0"/>
    <s v="C564"/>
    <s v="Male"/>
    <s v="Bachelor's Type 1"/>
    <s v="Senior Level"/>
    <s v="Low"/>
    <s v="Intermediate"/>
    <s v="Strong"/>
    <x v="1"/>
    <n v="54"/>
    <s v="Developing"/>
    <x v="0"/>
    <s v="Interview Preparation"/>
    <s v="Improve interview preparation and communication"/>
  </r>
  <r>
    <n v="27"/>
    <n v="1"/>
    <n v="2"/>
    <n v="3"/>
    <n v="1"/>
    <n v="47.617407081685499"/>
    <n v="37"/>
    <n v="70"/>
    <n v="87"/>
    <n v="1"/>
    <n v="1"/>
    <s v="C565"/>
    <s v="Female"/>
    <s v="Bachelor's Type 2"/>
    <s v="Mid Level"/>
    <s v="Low"/>
    <s v="Intermediate"/>
    <s v="Strong"/>
    <x v="0"/>
    <n v="55"/>
    <s v="Developing"/>
    <x v="0"/>
    <s v="Interview Preparation"/>
    <s v="Improve interview preparation and communication"/>
  </r>
  <r>
    <n v="40"/>
    <n v="0"/>
    <n v="1"/>
    <n v="10"/>
    <n v="5"/>
    <n v="43.910339548851397"/>
    <n v="10"/>
    <n v="16"/>
    <n v="20"/>
    <n v="2"/>
    <n v="0"/>
    <s v="C566"/>
    <s v="Male"/>
    <s v="Bachelor's Type 1"/>
    <s v="Senior Level"/>
    <s v="Low"/>
    <s v="Beginner"/>
    <s v="Needs Improvement"/>
    <x v="1"/>
    <n v="24"/>
    <s v="Needs Improvement"/>
    <x v="0"/>
    <s v="Interview Preparation"/>
    <s v="Improve interview preparation and communication"/>
  </r>
  <r>
    <n v="47"/>
    <n v="1"/>
    <n v="1"/>
    <n v="11"/>
    <n v="1"/>
    <n v="9.5300562310822095"/>
    <n v="42"/>
    <n v="49"/>
    <n v="1"/>
    <n v="2"/>
    <n v="0"/>
    <s v="C567"/>
    <s v="Female"/>
    <s v="Bachelor's Type 1"/>
    <s v="Senior Level"/>
    <s v="Low"/>
    <s v="Beginner"/>
    <s v="Needs Improvement"/>
    <x v="1"/>
    <n v="41"/>
    <s v="Needs Improvement"/>
    <x v="1"/>
    <s v="Personality &amp; Communication"/>
    <s v="Work on communication and personality development"/>
  </r>
  <r>
    <n v="31"/>
    <n v="1"/>
    <n v="1"/>
    <n v="3"/>
    <n v="4"/>
    <n v="22.837890892353698"/>
    <n v="19"/>
    <n v="31"/>
    <n v="30"/>
    <n v="1"/>
    <n v="0"/>
    <s v="C568"/>
    <s v="Female"/>
    <s v="Bachelor's Type 1"/>
    <s v="Mid Level"/>
    <s v="Low"/>
    <s v="Beginner"/>
    <s v="Needs Improvement"/>
    <x v="1"/>
    <n v="27"/>
    <s v="Needs Improvement"/>
    <x v="1"/>
    <s v="Interview Preparation"/>
    <s v="Improve interview preparation and communication"/>
  </r>
  <r>
    <n v="31"/>
    <n v="1"/>
    <n v="2"/>
    <n v="10"/>
    <n v="4"/>
    <n v="24.2000214098213"/>
    <n v="19"/>
    <n v="21"/>
    <n v="96"/>
    <n v="1"/>
    <n v="1"/>
    <s v="C569"/>
    <s v="Female"/>
    <s v="Bachelor's Type 2"/>
    <s v="Senior Level"/>
    <s v="Low"/>
    <s v="Beginner"/>
    <s v="Strong"/>
    <x v="0"/>
    <n v="44"/>
    <s v="Needs Improvement"/>
    <x v="0"/>
    <s v="Interview Preparation"/>
    <s v="Improve interview preparation and communication"/>
  </r>
  <r>
    <n v="24"/>
    <n v="0"/>
    <n v="3"/>
    <n v="9"/>
    <n v="3"/>
    <n v="40.4548055824378"/>
    <n v="20"/>
    <n v="54"/>
    <n v="29"/>
    <n v="2"/>
    <n v="0"/>
    <s v="C570"/>
    <s v="Male"/>
    <s v="Master's"/>
    <s v="Senior Level"/>
    <s v="Low"/>
    <s v="Intermediate"/>
    <s v="Needs Improvement"/>
    <x v="1"/>
    <n v="41"/>
    <s v="Needs Improvement"/>
    <x v="1"/>
    <s v="Interview Preparation"/>
    <s v="Improve interview preparation and communication"/>
  </r>
  <r>
    <n v="26"/>
    <n v="0"/>
    <n v="2"/>
    <n v="14"/>
    <n v="1"/>
    <n v="31.144644130271701"/>
    <n v="81"/>
    <n v="56"/>
    <n v="75"/>
    <n v="1"/>
    <n v="1"/>
    <s v="C571"/>
    <s v="Male"/>
    <s v="Bachelor's Type 2"/>
    <s v="Senior Level"/>
    <s v="Strong"/>
    <s v="Intermediate"/>
    <s v="Strong"/>
    <x v="0"/>
    <n v="73"/>
    <s v="Developing"/>
    <x v="2"/>
    <s v="Technical Skills"/>
    <s v="Strengthen technical skills and practical knowledge"/>
  </r>
  <r>
    <n v="23"/>
    <n v="1"/>
    <n v="2"/>
    <n v="10"/>
    <n v="2"/>
    <n v="33.7110231014506"/>
    <n v="56"/>
    <n v="12"/>
    <n v="43"/>
    <n v="1"/>
    <n v="0"/>
    <s v="C572"/>
    <s v="Female"/>
    <s v="Bachelor's Type 2"/>
    <s v="Senior Level"/>
    <s v="Average"/>
    <s v="Beginner"/>
    <s v="Needs Improvement"/>
    <x v="1"/>
    <n v="42"/>
    <s v="Needs Improvement"/>
    <x v="2"/>
    <s v="Technical Skills"/>
    <s v="Strengthen technical skills and practical knowledge"/>
  </r>
  <r>
    <n v="25"/>
    <n v="1"/>
    <n v="2"/>
    <n v="15"/>
    <n v="3"/>
    <n v="50.909995383280801"/>
    <n v="49"/>
    <n v="46"/>
    <n v="11"/>
    <n v="3"/>
    <n v="0"/>
    <s v="C573"/>
    <s v="Female"/>
    <s v="Bachelor's Type 2"/>
    <s v="Senior Level"/>
    <s v="Low"/>
    <s v="Beginner"/>
    <s v="Needs Improvement"/>
    <x v="1"/>
    <n v="48"/>
    <s v="Needs Improvement"/>
    <x v="2"/>
    <s v="Personality &amp; Communication"/>
    <s v="Work on communication and personality development"/>
  </r>
  <r>
    <n v="32"/>
    <n v="0"/>
    <n v="1"/>
    <n v="10"/>
    <n v="4"/>
    <n v="4.7480021735006499"/>
    <n v="73"/>
    <n v="86"/>
    <n v="50"/>
    <n v="3"/>
    <n v="0"/>
    <s v="C574"/>
    <s v="Male"/>
    <s v="Bachelor's Type 1"/>
    <s v="Senior Level"/>
    <s v="Average"/>
    <s v="Advanced"/>
    <s v="Good"/>
    <x v="1"/>
    <n v="70"/>
    <s v="Developing"/>
    <x v="1"/>
    <s v="Personality &amp; Communication"/>
    <s v="Work on communication and personality development"/>
  </r>
  <r>
    <n v="39"/>
    <n v="0"/>
    <n v="3"/>
    <n v="13"/>
    <n v="1"/>
    <n v="12.1504911766866"/>
    <n v="97"/>
    <n v="61"/>
    <n v="48"/>
    <n v="2"/>
    <n v="1"/>
    <s v="C575"/>
    <s v="Male"/>
    <s v="Master's"/>
    <s v="Senior Level"/>
    <s v="Strong"/>
    <s v="Intermediate"/>
    <s v="Needs Improvement"/>
    <x v="0"/>
    <n v="74"/>
    <s v="Developing"/>
    <x v="2"/>
    <s v="Personality &amp; Communication"/>
    <s v="Work on communication and personality development"/>
  </r>
  <r>
    <n v="49"/>
    <n v="0"/>
    <n v="2"/>
    <n v="10"/>
    <n v="5"/>
    <n v="21.394796868577298"/>
    <n v="25"/>
    <n v="53"/>
    <n v="23"/>
    <n v="2"/>
    <n v="0"/>
    <s v="C576"/>
    <s v="Male"/>
    <s v="Bachelor's Type 2"/>
    <s v="Senior Level"/>
    <s v="Low"/>
    <s v="Intermediate"/>
    <s v="Needs Improvement"/>
    <x v="1"/>
    <n v="41"/>
    <s v="Needs Improvement"/>
    <x v="1"/>
    <s v="Personality &amp; Communication"/>
    <s v="Work on communication and personality development"/>
  </r>
  <r>
    <n v="34"/>
    <n v="1"/>
    <n v="2"/>
    <n v="1"/>
    <n v="2"/>
    <n v="18.389120152444299"/>
    <n v="29"/>
    <n v="28"/>
    <n v="23"/>
    <n v="3"/>
    <n v="0"/>
    <s v="C577"/>
    <s v="Female"/>
    <s v="Bachelor's Type 2"/>
    <s v="Entry Level"/>
    <s v="Low"/>
    <s v="Beginner"/>
    <s v="Needs Improvement"/>
    <x v="1"/>
    <n v="25"/>
    <s v="Needs Improvement"/>
    <x v="2"/>
    <s v="Personality &amp; Communication"/>
    <s v="Work on communication and personality development"/>
  </r>
  <r>
    <n v="22"/>
    <n v="0"/>
    <n v="2"/>
    <n v="13"/>
    <n v="4"/>
    <n v="2.0822780673491699"/>
    <n v="72"/>
    <n v="21"/>
    <n v="59"/>
    <n v="2"/>
    <n v="0"/>
    <s v="C578"/>
    <s v="Male"/>
    <s v="Bachelor's Type 2"/>
    <s v="Senior Level"/>
    <s v="Average"/>
    <s v="Beginner"/>
    <s v="Good"/>
    <x v="1"/>
    <n v="55"/>
    <s v="Developing"/>
    <x v="2"/>
    <s v="Technical Skills"/>
    <s v="Strengthen technical skills and practical knowledge"/>
  </r>
  <r>
    <n v="42"/>
    <n v="0"/>
    <n v="1"/>
    <n v="15"/>
    <n v="3"/>
    <n v="5.5888803235587901"/>
    <n v="30"/>
    <n v="64"/>
    <n v="10"/>
    <n v="1"/>
    <n v="1"/>
    <s v="C579"/>
    <s v="Male"/>
    <s v="Bachelor's Type 1"/>
    <s v="Senior Level"/>
    <s v="Low"/>
    <s v="Intermediate"/>
    <s v="Needs Improvement"/>
    <x v="0"/>
    <n v="48"/>
    <s v="Needs Improvement"/>
    <x v="1"/>
    <s v="Personality &amp; Communication"/>
    <s v="Work on communication and personality development"/>
  </r>
  <r>
    <n v="27"/>
    <n v="1"/>
    <n v="2"/>
    <n v="0"/>
    <n v="1"/>
    <n v="35.047664570178803"/>
    <n v="41"/>
    <n v="28"/>
    <n v="12"/>
    <n v="3"/>
    <n v="0"/>
    <s v="C580"/>
    <s v="Female"/>
    <s v="Bachelor's Type 2"/>
    <s v="Entry Level"/>
    <s v="Low"/>
    <s v="Beginner"/>
    <s v="Needs Improvement"/>
    <x v="1"/>
    <n v="26"/>
    <s v="Needs Improvement"/>
    <x v="2"/>
    <s v="Personality &amp; Communication"/>
    <s v="Work on communication and personality development"/>
  </r>
  <r>
    <n v="39"/>
    <n v="0"/>
    <n v="2"/>
    <n v="8"/>
    <n v="2"/>
    <n v="44.966223168128003"/>
    <n v="67"/>
    <n v="47"/>
    <n v="90"/>
    <n v="2"/>
    <n v="0"/>
    <s v="C581"/>
    <s v="Male"/>
    <s v="Bachelor's Type 2"/>
    <s v="Senior Level"/>
    <s v="Average"/>
    <s v="Beginner"/>
    <s v="Strong"/>
    <x v="1"/>
    <n v="63"/>
    <s v="Developing"/>
    <x v="0"/>
    <s v="Technical Skills"/>
    <s v="Strengthen technical skills and practical knowledge"/>
  </r>
  <r>
    <n v="35"/>
    <n v="0"/>
    <n v="3"/>
    <n v="11"/>
    <n v="1"/>
    <n v="26.711350563298801"/>
    <n v="60"/>
    <n v="4"/>
    <n v="71"/>
    <n v="2"/>
    <n v="0"/>
    <s v="C582"/>
    <s v="Male"/>
    <s v="Master's"/>
    <s v="Senior Level"/>
    <s v="Average"/>
    <s v="Beginner"/>
    <s v="Good"/>
    <x v="1"/>
    <n v="48"/>
    <s v="Needs Improvement"/>
    <x v="0"/>
    <s v="Technical Skills"/>
    <s v="Strengthen technical skills and practical knowledge"/>
  </r>
  <r>
    <n v="32"/>
    <n v="0"/>
    <n v="1"/>
    <n v="14"/>
    <n v="5"/>
    <n v="27.959553975681601"/>
    <n v="60"/>
    <n v="34"/>
    <n v="73"/>
    <n v="2"/>
    <n v="0"/>
    <s v="C583"/>
    <s v="Male"/>
    <s v="Bachelor's Type 1"/>
    <s v="Senior Level"/>
    <s v="Average"/>
    <s v="Beginner"/>
    <s v="Good"/>
    <x v="1"/>
    <n v="59"/>
    <s v="Developing"/>
    <x v="0"/>
    <s v="Technical Skills"/>
    <s v="Strengthen technical skills and practical knowledge"/>
  </r>
  <r>
    <n v="37"/>
    <n v="1"/>
    <n v="2"/>
    <n v="11"/>
    <n v="3"/>
    <n v="13.7546716416189"/>
    <n v="69"/>
    <n v="73"/>
    <n v="71"/>
    <n v="2"/>
    <n v="0"/>
    <s v="C584"/>
    <s v="Female"/>
    <s v="Bachelor's Type 2"/>
    <s v="Senior Level"/>
    <s v="Average"/>
    <s v="Intermediate"/>
    <s v="Good"/>
    <x v="1"/>
    <n v="70"/>
    <s v="Developing"/>
    <x v="1"/>
    <s v="Interview Preparation"/>
    <s v="Improve interview preparation and communication"/>
  </r>
  <r>
    <n v="47"/>
    <n v="1"/>
    <n v="2"/>
    <n v="1"/>
    <n v="1"/>
    <n v="39.393818181685504"/>
    <n v="77"/>
    <n v="82"/>
    <n v="63"/>
    <n v="3"/>
    <n v="0"/>
    <s v="C585"/>
    <s v="Female"/>
    <s v="Bachelor's Type 2"/>
    <s v="Entry Level"/>
    <s v="Strong"/>
    <s v="Advanced"/>
    <s v="Good"/>
    <x v="1"/>
    <n v="64"/>
    <s v="Developing"/>
    <x v="1"/>
    <s v="Personality &amp; Communication"/>
    <s v="Work on communication and personality development"/>
  </r>
  <r>
    <n v="29"/>
    <n v="1"/>
    <n v="1"/>
    <n v="12"/>
    <n v="4"/>
    <n v="38.589729368362804"/>
    <n v="67"/>
    <n v="100"/>
    <n v="19"/>
    <n v="2"/>
    <n v="0"/>
    <s v="C586"/>
    <s v="Female"/>
    <s v="Bachelor's Type 1"/>
    <s v="Senior Level"/>
    <s v="Average"/>
    <s v="Advanced"/>
    <s v="Needs Improvement"/>
    <x v="1"/>
    <n v="68"/>
    <s v="Developing"/>
    <x v="1"/>
    <s v="Personality &amp; Communication"/>
    <s v="Work on communication and personality development"/>
  </r>
  <r>
    <n v="49"/>
    <n v="1"/>
    <n v="2"/>
    <n v="7"/>
    <n v="3"/>
    <n v="30.418284460882798"/>
    <n v="89"/>
    <n v="70"/>
    <n v="71"/>
    <n v="3"/>
    <n v="1"/>
    <s v="C587"/>
    <s v="Female"/>
    <s v="Bachelor's Type 2"/>
    <s v="Senior Level"/>
    <s v="Strong"/>
    <s v="Intermediate"/>
    <s v="Good"/>
    <x v="0"/>
    <n v="71"/>
    <s v="Developing"/>
    <x v="2"/>
    <s v="Technical Skills"/>
    <s v="Strengthen technical skills and practical knowledge"/>
  </r>
  <r>
    <n v="38"/>
    <n v="1"/>
    <n v="3"/>
    <n v="14"/>
    <n v="4"/>
    <n v="11.633214325567099"/>
    <n v="16"/>
    <n v="45"/>
    <n v="72"/>
    <n v="3"/>
    <n v="0"/>
    <s v="C588"/>
    <s v="Female"/>
    <s v="Master's"/>
    <s v="Senior Level"/>
    <s v="Low"/>
    <s v="Beginner"/>
    <s v="Good"/>
    <x v="1"/>
    <n v="50"/>
    <s v="Developing"/>
    <x v="0"/>
    <s v="Interview Preparation"/>
    <s v="Improve interview preparation and communication"/>
  </r>
  <r>
    <n v="36"/>
    <n v="1"/>
    <n v="3"/>
    <n v="15"/>
    <n v="1"/>
    <n v="5.85091091185447"/>
    <n v="18"/>
    <n v="34"/>
    <n v="70"/>
    <n v="2"/>
    <n v="0"/>
    <s v="C589"/>
    <s v="Female"/>
    <s v="Master's"/>
    <s v="Senior Level"/>
    <s v="Low"/>
    <s v="Beginner"/>
    <s v="Good"/>
    <x v="1"/>
    <n v="48"/>
    <s v="Needs Improvement"/>
    <x v="0"/>
    <s v="Interview Preparation"/>
    <s v="Improve interview preparation and communication"/>
  </r>
  <r>
    <n v="43"/>
    <n v="1"/>
    <n v="2"/>
    <n v="8"/>
    <n v="3"/>
    <n v="4.2119287928562903"/>
    <n v="50"/>
    <n v="44"/>
    <n v="77"/>
    <n v="2"/>
    <n v="0"/>
    <s v="C590"/>
    <s v="Female"/>
    <s v="Bachelor's Type 2"/>
    <s v="Senior Level"/>
    <s v="Average"/>
    <s v="Beginner"/>
    <s v="Strong"/>
    <x v="1"/>
    <n v="54"/>
    <s v="Developing"/>
    <x v="0"/>
    <s v="Technical Skills"/>
    <s v="Strengthen technical skills and practical knowledge"/>
  </r>
  <r>
    <n v="50"/>
    <n v="0"/>
    <n v="3"/>
    <n v="3"/>
    <n v="4"/>
    <n v="30.6348033321438"/>
    <n v="69"/>
    <n v="12"/>
    <n v="27"/>
    <n v="2"/>
    <n v="0"/>
    <s v="C591"/>
    <s v="Male"/>
    <s v="Master's"/>
    <s v="Mid Level"/>
    <s v="Average"/>
    <s v="Beginner"/>
    <s v="Needs Improvement"/>
    <x v="1"/>
    <n v="36"/>
    <s v="Needs Improvement"/>
    <x v="2"/>
    <s v="Technical Skills"/>
    <s v="Strengthen technical skills and practical knowledge"/>
  </r>
  <r>
    <n v="38"/>
    <n v="0"/>
    <n v="4"/>
    <n v="7"/>
    <n v="5"/>
    <n v="42.251765957140002"/>
    <n v="62"/>
    <n v="9"/>
    <n v="1"/>
    <n v="1"/>
    <n v="1"/>
    <s v="C592"/>
    <s v="Male"/>
    <s v="PhD"/>
    <s v="Senior Level"/>
    <s v="Average"/>
    <s v="Beginner"/>
    <s v="Needs Improvement"/>
    <x v="0"/>
    <n v="34"/>
    <s v="Needs Improvement"/>
    <x v="2"/>
    <s v="Personality &amp; Communication"/>
    <s v="Work on communication and personality development"/>
  </r>
  <r>
    <n v="47"/>
    <n v="1"/>
    <n v="3"/>
    <n v="8"/>
    <n v="5"/>
    <n v="43.916521589046198"/>
    <n v="92"/>
    <n v="65"/>
    <n v="42"/>
    <n v="1"/>
    <n v="1"/>
    <s v="C593"/>
    <s v="Female"/>
    <s v="Master's"/>
    <s v="Senior Level"/>
    <s v="Strong"/>
    <s v="Intermediate"/>
    <s v="Needs Improvement"/>
    <x v="0"/>
    <n v="67"/>
    <s v="Developing"/>
    <x v="2"/>
    <s v="Personality &amp; Communication"/>
    <s v="Work on communication and personality development"/>
  </r>
  <r>
    <n v="45"/>
    <n v="0"/>
    <n v="1"/>
    <n v="9"/>
    <n v="1"/>
    <n v="24.181103717172402"/>
    <n v="74"/>
    <n v="69"/>
    <n v="7"/>
    <n v="2"/>
    <n v="0"/>
    <s v="C594"/>
    <s v="Male"/>
    <s v="Bachelor's Type 1"/>
    <s v="Senior Level"/>
    <s v="Average"/>
    <s v="Intermediate"/>
    <s v="Needs Improvement"/>
    <x v="1"/>
    <n v="56"/>
    <s v="Developing"/>
    <x v="2"/>
    <s v="Personality &amp; Communication"/>
    <s v="Work on communication and personality development"/>
  </r>
  <r>
    <n v="42"/>
    <n v="0"/>
    <n v="3"/>
    <n v="9"/>
    <n v="3"/>
    <n v="40.213564965335799"/>
    <n v="79"/>
    <n v="71"/>
    <n v="12"/>
    <n v="2"/>
    <n v="1"/>
    <s v="C595"/>
    <s v="Male"/>
    <s v="Master's"/>
    <s v="Senior Level"/>
    <s v="Strong"/>
    <s v="Intermediate"/>
    <s v="Needs Improvement"/>
    <x v="0"/>
    <n v="60"/>
    <s v="Developing"/>
    <x v="2"/>
    <s v="Personality &amp; Communication"/>
    <s v="Work on communication and personality development"/>
  </r>
  <r>
    <n v="45"/>
    <n v="1"/>
    <n v="2"/>
    <n v="4"/>
    <n v="2"/>
    <n v="48.344009817051102"/>
    <n v="29"/>
    <n v="99"/>
    <n v="84"/>
    <n v="1"/>
    <n v="1"/>
    <s v="C596"/>
    <s v="Female"/>
    <s v="Bachelor's Type 2"/>
    <s v="Mid Level"/>
    <s v="Low"/>
    <s v="Advanced"/>
    <s v="Strong"/>
    <x v="0"/>
    <n v="62"/>
    <s v="Developing"/>
    <x v="1"/>
    <s v="Interview Preparation"/>
    <s v="Improve interview preparation and communication"/>
  </r>
  <r>
    <n v="24"/>
    <n v="0"/>
    <n v="4"/>
    <n v="15"/>
    <n v="3"/>
    <n v="14.7585056244034"/>
    <n v="24"/>
    <n v="24"/>
    <n v="91"/>
    <n v="1"/>
    <n v="1"/>
    <s v="C597"/>
    <s v="Male"/>
    <s v="PhD"/>
    <s v="Senior Level"/>
    <s v="Low"/>
    <s v="Beginner"/>
    <s v="Strong"/>
    <x v="0"/>
    <n v="53"/>
    <s v="Developing"/>
    <x v="0"/>
    <s v="Interview Preparation"/>
    <s v="Improve interview preparation and communication"/>
  </r>
  <r>
    <n v="45"/>
    <n v="0"/>
    <n v="2"/>
    <n v="12"/>
    <n v="5"/>
    <n v="20.898017319037798"/>
    <n v="74"/>
    <n v="43"/>
    <n v="34"/>
    <n v="3"/>
    <n v="0"/>
    <s v="C598"/>
    <s v="Male"/>
    <s v="Bachelor's Type 2"/>
    <s v="Senior Level"/>
    <s v="Average"/>
    <s v="Beginner"/>
    <s v="Needs Improvement"/>
    <x v="1"/>
    <n v="56"/>
    <s v="Developing"/>
    <x v="2"/>
    <s v="Personality &amp; Communication"/>
    <s v="Work on communication and personality development"/>
  </r>
  <r>
    <n v="40"/>
    <n v="0"/>
    <n v="1"/>
    <n v="13"/>
    <n v="4"/>
    <n v="47.573949629833997"/>
    <n v="70"/>
    <n v="59"/>
    <n v="22"/>
    <n v="2"/>
    <n v="0"/>
    <s v="C599"/>
    <s v="Male"/>
    <s v="Bachelor's Type 1"/>
    <s v="Senior Level"/>
    <s v="Average"/>
    <s v="Intermediate"/>
    <s v="Needs Improvement"/>
    <x v="1"/>
    <n v="59"/>
    <s v="Developing"/>
    <x v="2"/>
    <s v="Personality &amp; Communication"/>
    <s v="Work on communication and personality development"/>
  </r>
  <r>
    <n v="49"/>
    <n v="0"/>
    <n v="3"/>
    <n v="6"/>
    <n v="2"/>
    <n v="17.911548365864199"/>
    <n v="25"/>
    <n v="46"/>
    <n v="45"/>
    <n v="3"/>
    <n v="0"/>
    <s v="C600"/>
    <s v="Male"/>
    <s v="Master's"/>
    <s v="Mid Level"/>
    <s v="Low"/>
    <s v="Beginner"/>
    <s v="Needs Improvement"/>
    <x v="1"/>
    <n v="40"/>
    <s v="Needs Improvement"/>
    <x v="1"/>
    <s v="Interview Preparation"/>
    <s v="Improve interview preparation and communication"/>
  </r>
  <r>
    <n v="42"/>
    <n v="0"/>
    <n v="2"/>
    <n v="15"/>
    <n v="1"/>
    <n v="46.693814516089802"/>
    <n v="55"/>
    <n v="39"/>
    <n v="14"/>
    <n v="2"/>
    <n v="0"/>
    <s v="C601"/>
    <s v="Male"/>
    <s v="Bachelor's Type 2"/>
    <s v="Senior Level"/>
    <s v="Average"/>
    <s v="Beginner"/>
    <s v="Needs Improvement"/>
    <x v="1"/>
    <n v="49"/>
    <s v="Needs Improvement"/>
    <x v="2"/>
    <s v="Personality &amp; Communication"/>
    <s v="Work on communication and personality development"/>
  </r>
  <r>
    <n v="50"/>
    <n v="1"/>
    <n v="4"/>
    <n v="9"/>
    <n v="2"/>
    <n v="50.052243112723197"/>
    <n v="21"/>
    <n v="6"/>
    <n v="1"/>
    <n v="2"/>
    <n v="0"/>
    <s v="C602"/>
    <s v="Female"/>
    <s v="PhD"/>
    <s v="Senior Level"/>
    <s v="Low"/>
    <s v="Beginner"/>
    <s v="Needs Improvement"/>
    <x v="1"/>
    <n v="22"/>
    <s v="Needs Improvement"/>
    <x v="2"/>
    <s v="Personality &amp; Communication"/>
    <s v="Work on communication and personality development"/>
  </r>
  <r>
    <n v="28"/>
    <n v="1"/>
    <n v="4"/>
    <n v="3"/>
    <n v="1"/>
    <n v="34.090536428721201"/>
    <n v="88"/>
    <n v="45"/>
    <n v="60"/>
    <n v="1"/>
    <n v="1"/>
    <s v="C603"/>
    <s v="Female"/>
    <s v="PhD"/>
    <s v="Mid Level"/>
    <s v="Strong"/>
    <s v="Beginner"/>
    <s v="Good"/>
    <x v="0"/>
    <n v="60"/>
    <s v="Developing"/>
    <x v="2"/>
    <s v="Technical Skills"/>
    <s v="Strengthen technical skills and practical knowledge"/>
  </r>
  <r>
    <n v="31"/>
    <n v="1"/>
    <n v="2"/>
    <n v="0"/>
    <n v="2"/>
    <n v="41.844514475208399"/>
    <n v="18"/>
    <n v="22"/>
    <n v="75"/>
    <n v="2"/>
    <n v="0"/>
    <s v="C604"/>
    <s v="Female"/>
    <s v="Bachelor's Type 2"/>
    <s v="Entry Level"/>
    <s v="Low"/>
    <s v="Beginner"/>
    <s v="Strong"/>
    <x v="1"/>
    <n v="30"/>
    <s v="Needs Improvement"/>
    <x v="0"/>
    <s v="Interview Preparation"/>
    <s v="Improve interview preparation and communication"/>
  </r>
  <r>
    <n v="40"/>
    <n v="0"/>
    <n v="1"/>
    <n v="2"/>
    <n v="1"/>
    <n v="38.477278211054198"/>
    <n v="30"/>
    <n v="82"/>
    <n v="63"/>
    <n v="2"/>
    <n v="0"/>
    <s v="C605"/>
    <s v="Male"/>
    <s v="Bachelor's Type 1"/>
    <s v="Entry Level"/>
    <s v="Low"/>
    <s v="Advanced"/>
    <s v="Good"/>
    <x v="1"/>
    <n v="51"/>
    <s v="Developing"/>
    <x v="1"/>
    <s v="Interview Preparation"/>
    <s v="Improve interview preparation and communication"/>
  </r>
  <r>
    <n v="20"/>
    <n v="1"/>
    <n v="2"/>
    <n v="4"/>
    <n v="1"/>
    <n v="35.976712880776098"/>
    <n v="25"/>
    <n v="45"/>
    <n v="51"/>
    <n v="1"/>
    <n v="0"/>
    <s v="C606"/>
    <s v="Female"/>
    <s v="Bachelor's Type 2"/>
    <s v="Mid Level"/>
    <s v="Low"/>
    <s v="Beginner"/>
    <s v="Good"/>
    <x v="1"/>
    <n v="38"/>
    <s v="Needs Improvement"/>
    <x v="0"/>
    <s v="Interview Preparation"/>
    <s v="Improve interview preparation and communication"/>
  </r>
  <r>
    <n v="45"/>
    <n v="0"/>
    <n v="1"/>
    <n v="2"/>
    <n v="2"/>
    <n v="16.346553649061601"/>
    <n v="41"/>
    <n v="85"/>
    <n v="35"/>
    <n v="2"/>
    <n v="0"/>
    <s v="C607"/>
    <s v="Male"/>
    <s v="Bachelor's Type 1"/>
    <s v="Entry Level"/>
    <s v="Low"/>
    <s v="Advanced"/>
    <s v="Needs Improvement"/>
    <x v="1"/>
    <n v="49"/>
    <s v="Needs Improvement"/>
    <x v="1"/>
    <s v="Personality &amp; Communication"/>
    <s v="Work on communication and personality development"/>
  </r>
  <r>
    <n v="45"/>
    <n v="0"/>
    <n v="1"/>
    <n v="15"/>
    <n v="2"/>
    <n v="3.8547168953971802"/>
    <n v="40"/>
    <n v="12"/>
    <n v="66"/>
    <n v="2"/>
    <n v="0"/>
    <s v="C608"/>
    <s v="Male"/>
    <s v="Bachelor's Type 1"/>
    <s v="Senior Level"/>
    <s v="Low"/>
    <s v="Beginner"/>
    <s v="Good"/>
    <x v="1"/>
    <n v="46"/>
    <s v="Needs Improvement"/>
    <x v="0"/>
    <s v="Technical Skills"/>
    <s v="Strengthen technical skills and practical knowledge"/>
  </r>
  <r>
    <n v="20"/>
    <n v="0"/>
    <n v="3"/>
    <n v="11"/>
    <n v="1"/>
    <n v="18.152586625982501"/>
    <n v="99"/>
    <n v="20"/>
    <n v="68"/>
    <n v="2"/>
    <n v="1"/>
    <s v="C609"/>
    <s v="Male"/>
    <s v="Master's"/>
    <s v="Senior Level"/>
    <s v="Strong"/>
    <s v="Beginner"/>
    <s v="Good"/>
    <x v="0"/>
    <n v="64"/>
    <s v="Developing"/>
    <x v="2"/>
    <s v="Technical Skills"/>
    <s v="Strengthen technical skills and practical knowledge"/>
  </r>
  <r>
    <n v="34"/>
    <n v="0"/>
    <n v="2"/>
    <n v="12"/>
    <n v="5"/>
    <n v="34.346799260195297"/>
    <n v="22"/>
    <n v="0"/>
    <n v="66"/>
    <n v="2"/>
    <n v="0"/>
    <s v="C610"/>
    <s v="Male"/>
    <s v="Bachelor's Type 2"/>
    <s v="Senior Level"/>
    <s v="Low"/>
    <s v="Beginner"/>
    <s v="Good"/>
    <x v="1"/>
    <n v="34"/>
    <s v="Needs Improvement"/>
    <x v="0"/>
    <s v="Technical Skills"/>
    <s v="Strengthen technical skills and practical knowledge"/>
  </r>
  <r>
    <n v="21"/>
    <n v="1"/>
    <n v="2"/>
    <n v="10"/>
    <n v="2"/>
    <n v="6.12645991139006"/>
    <n v="46"/>
    <n v="18"/>
    <n v="46"/>
    <n v="2"/>
    <n v="0"/>
    <s v="C611"/>
    <s v="Female"/>
    <s v="Bachelor's Type 2"/>
    <s v="Senior Level"/>
    <s v="Low"/>
    <s v="Beginner"/>
    <s v="Needs Improvement"/>
    <x v="1"/>
    <n v="41"/>
    <s v="Needs Improvement"/>
    <x v="2"/>
    <s v="Technical Skills"/>
    <s v="Strengthen technical skills and practical knowledge"/>
  </r>
  <r>
    <n v="49"/>
    <n v="1"/>
    <n v="4"/>
    <n v="6"/>
    <n v="3"/>
    <n v="1.5958991489120999"/>
    <n v="12"/>
    <n v="59"/>
    <n v="82"/>
    <n v="2"/>
    <n v="1"/>
    <s v="C612"/>
    <s v="Female"/>
    <s v="PhD"/>
    <s v="Mid Level"/>
    <s v="Low"/>
    <s v="Intermediate"/>
    <s v="Strong"/>
    <x v="0"/>
    <n v="49"/>
    <s v="Needs Improvement"/>
    <x v="0"/>
    <s v="Interview Preparation"/>
    <s v="Improve interview preparation and communication"/>
  </r>
  <r>
    <n v="41"/>
    <n v="0"/>
    <n v="2"/>
    <n v="11"/>
    <n v="4"/>
    <n v="7.9846186301469304"/>
    <n v="88"/>
    <n v="32"/>
    <n v="1"/>
    <n v="3"/>
    <n v="0"/>
    <s v="C613"/>
    <s v="Male"/>
    <s v="Bachelor's Type 2"/>
    <s v="Senior Level"/>
    <s v="Strong"/>
    <s v="Beginner"/>
    <s v="Needs Improvement"/>
    <x v="1"/>
    <n v="50"/>
    <s v="Developing"/>
    <x v="2"/>
    <s v="Personality &amp; Communication"/>
    <s v="Work on communication and personality development"/>
  </r>
  <r>
    <n v="35"/>
    <n v="1"/>
    <n v="2"/>
    <n v="8"/>
    <n v="1"/>
    <n v="36.7867963205397"/>
    <n v="65"/>
    <n v="3"/>
    <n v="43"/>
    <n v="3"/>
    <n v="0"/>
    <s v="C614"/>
    <s v="Female"/>
    <s v="Bachelor's Type 2"/>
    <s v="Senior Level"/>
    <s v="Average"/>
    <s v="Beginner"/>
    <s v="Needs Improvement"/>
    <x v="1"/>
    <n v="40"/>
    <s v="Needs Improvement"/>
    <x v="2"/>
    <s v="Technical Skills"/>
    <s v="Strengthen technical skills and practical knowledge"/>
  </r>
  <r>
    <n v="44"/>
    <n v="0"/>
    <n v="4"/>
    <n v="14"/>
    <n v="1"/>
    <n v="49.639685082822197"/>
    <n v="65"/>
    <n v="2"/>
    <n v="100"/>
    <n v="3"/>
    <n v="0"/>
    <s v="C615"/>
    <s v="Male"/>
    <s v="PhD"/>
    <s v="Senior Level"/>
    <s v="Average"/>
    <s v="Beginner"/>
    <s v="Strong"/>
    <x v="1"/>
    <n v="59"/>
    <s v="Developing"/>
    <x v="0"/>
    <s v="Technical Skills"/>
    <s v="Strengthen technical skills and practical knowledge"/>
  </r>
  <r>
    <n v="27"/>
    <n v="1"/>
    <n v="1"/>
    <n v="11"/>
    <n v="4"/>
    <n v="50.153234980740997"/>
    <n v="15"/>
    <n v="90"/>
    <n v="63"/>
    <n v="2"/>
    <n v="0"/>
    <s v="C616"/>
    <s v="Female"/>
    <s v="Bachelor's Type 1"/>
    <s v="Senior Level"/>
    <s v="Low"/>
    <s v="Advanced"/>
    <s v="Good"/>
    <x v="1"/>
    <n v="58"/>
    <s v="Developing"/>
    <x v="1"/>
    <s v="Interview Preparation"/>
    <s v="Improve interview preparation and communication"/>
  </r>
  <r>
    <n v="32"/>
    <n v="1"/>
    <n v="3"/>
    <n v="5"/>
    <n v="5"/>
    <n v="25.6989574570093"/>
    <n v="72"/>
    <n v="51"/>
    <n v="80"/>
    <n v="2"/>
    <n v="1"/>
    <s v="C617"/>
    <s v="Female"/>
    <s v="Master's"/>
    <s v="Mid Level"/>
    <s v="Average"/>
    <s v="Intermediate"/>
    <s v="Strong"/>
    <x v="0"/>
    <n v="62"/>
    <s v="Developing"/>
    <x v="0"/>
    <s v="Technical Skills"/>
    <s v="Strengthen technical skills and practical knowledge"/>
  </r>
  <r>
    <n v="40"/>
    <n v="0"/>
    <n v="4"/>
    <n v="12"/>
    <n v="4"/>
    <n v="44.467615049617301"/>
    <n v="27"/>
    <n v="98"/>
    <n v="77"/>
    <n v="2"/>
    <n v="1"/>
    <s v="C618"/>
    <s v="Male"/>
    <s v="PhD"/>
    <s v="Senior Level"/>
    <s v="Low"/>
    <s v="Advanced"/>
    <s v="Strong"/>
    <x v="0"/>
    <n v="70"/>
    <s v="Developing"/>
    <x v="1"/>
    <s v="Interview Preparation"/>
    <s v="Improve interview preparation and communication"/>
  </r>
  <r>
    <n v="20"/>
    <n v="1"/>
    <n v="4"/>
    <n v="9"/>
    <n v="2"/>
    <n v="37.841322787575201"/>
    <n v="76"/>
    <n v="27"/>
    <n v="27"/>
    <n v="1"/>
    <n v="1"/>
    <s v="C619"/>
    <s v="Female"/>
    <s v="PhD"/>
    <s v="Senior Level"/>
    <s v="Strong"/>
    <s v="Beginner"/>
    <s v="Needs Improvement"/>
    <x v="0"/>
    <n v="50"/>
    <s v="Developing"/>
    <x v="2"/>
    <s v="Technical Skills"/>
    <s v="Strengthen technical skills and practical knowledge"/>
  </r>
  <r>
    <n v="35"/>
    <n v="0"/>
    <n v="2"/>
    <n v="0"/>
    <n v="4"/>
    <n v="26.052011849230102"/>
    <n v="34"/>
    <n v="69"/>
    <n v="90"/>
    <n v="3"/>
    <n v="0"/>
    <s v="C620"/>
    <s v="Male"/>
    <s v="Bachelor's Type 2"/>
    <s v="Entry Level"/>
    <s v="Low"/>
    <s v="Intermediate"/>
    <s v="Strong"/>
    <x v="1"/>
    <n v="51"/>
    <s v="Developing"/>
    <x v="0"/>
    <s v="Interview Preparation"/>
    <s v="Improve interview preparation and communication"/>
  </r>
  <r>
    <n v="48"/>
    <n v="1"/>
    <n v="2"/>
    <n v="15"/>
    <n v="1"/>
    <n v="29.638026647754302"/>
    <n v="40"/>
    <n v="69"/>
    <n v="53"/>
    <n v="2"/>
    <n v="0"/>
    <s v="C621"/>
    <s v="Female"/>
    <s v="Bachelor's Type 2"/>
    <s v="Senior Level"/>
    <s v="Low"/>
    <s v="Intermediate"/>
    <s v="Good"/>
    <x v="1"/>
    <n v="61"/>
    <s v="Developing"/>
    <x v="1"/>
    <s v="Interview Preparation"/>
    <s v="Improve interview preparation and communication"/>
  </r>
  <r>
    <n v="26"/>
    <n v="0"/>
    <n v="2"/>
    <n v="6"/>
    <n v="4"/>
    <n v="7.8613573308435498"/>
    <n v="76"/>
    <n v="54"/>
    <n v="73"/>
    <n v="1"/>
    <n v="1"/>
    <s v="C622"/>
    <s v="Male"/>
    <s v="Bachelor's Type 2"/>
    <s v="Mid Level"/>
    <s v="Strong"/>
    <s v="Intermediate"/>
    <s v="Good"/>
    <x v="0"/>
    <n v="62"/>
    <s v="Developing"/>
    <x v="2"/>
    <s v="Technical Skills"/>
    <s v="Strengthen technical skills and practical knowledge"/>
  </r>
  <r>
    <n v="50"/>
    <n v="0"/>
    <n v="3"/>
    <n v="14"/>
    <n v="3"/>
    <n v="47.8830730308296"/>
    <n v="30"/>
    <n v="56"/>
    <n v="66"/>
    <n v="1"/>
    <n v="1"/>
    <s v="C623"/>
    <s v="Male"/>
    <s v="Master's"/>
    <s v="Senior Level"/>
    <s v="Low"/>
    <s v="Intermediate"/>
    <s v="Good"/>
    <x v="0"/>
    <n v="57"/>
    <s v="Developing"/>
    <x v="0"/>
    <s v="Interview Preparation"/>
    <s v="Improve interview preparation and communication"/>
  </r>
  <r>
    <n v="24"/>
    <n v="1"/>
    <n v="3"/>
    <n v="2"/>
    <n v="2"/>
    <n v="18.596488536588801"/>
    <n v="84"/>
    <n v="86"/>
    <n v="35"/>
    <n v="3"/>
    <n v="0"/>
    <s v="C624"/>
    <s v="Female"/>
    <s v="Master's"/>
    <s v="Entry Level"/>
    <s v="Strong"/>
    <s v="Advanced"/>
    <s v="Needs Improvement"/>
    <x v="1"/>
    <n v="64"/>
    <s v="Developing"/>
    <x v="1"/>
    <s v="Personality &amp; Communication"/>
    <s v="Work on communication and personality development"/>
  </r>
  <r>
    <n v="41"/>
    <n v="1"/>
    <n v="2"/>
    <n v="4"/>
    <n v="4"/>
    <n v="23.307462822858401"/>
    <n v="31"/>
    <n v="96"/>
    <n v="62"/>
    <n v="1"/>
    <n v="1"/>
    <s v="C625"/>
    <s v="Female"/>
    <s v="Bachelor's Type 2"/>
    <s v="Mid Level"/>
    <s v="Low"/>
    <s v="Advanced"/>
    <s v="Good"/>
    <x v="0"/>
    <n v="57"/>
    <s v="Developing"/>
    <x v="1"/>
    <s v="Interview Preparation"/>
    <s v="Improve interview preparation and communication"/>
  </r>
  <r>
    <n v="48"/>
    <n v="0"/>
    <n v="2"/>
    <n v="15"/>
    <n v="1"/>
    <n v="34.583011549894898"/>
    <n v="53"/>
    <n v="15"/>
    <n v="24"/>
    <n v="1"/>
    <n v="0"/>
    <s v="C626"/>
    <s v="Male"/>
    <s v="Bachelor's Type 2"/>
    <s v="Senior Level"/>
    <s v="Average"/>
    <s v="Beginner"/>
    <s v="Needs Improvement"/>
    <x v="1"/>
    <n v="43"/>
    <s v="Needs Improvement"/>
    <x v="2"/>
    <s v="Technical Skills"/>
    <s v="Strengthen technical skills and practical knowledge"/>
  </r>
  <r>
    <n v="42"/>
    <n v="1"/>
    <n v="1"/>
    <n v="9"/>
    <n v="2"/>
    <n v="17.6951235763276"/>
    <n v="97"/>
    <n v="23"/>
    <n v="85"/>
    <n v="2"/>
    <n v="0"/>
    <s v="C627"/>
    <s v="Female"/>
    <s v="Bachelor's Type 1"/>
    <s v="Senior Level"/>
    <s v="Strong"/>
    <s v="Beginner"/>
    <s v="Strong"/>
    <x v="1"/>
    <n v="65"/>
    <s v="Developing"/>
    <x v="2"/>
    <s v="Technical Skills"/>
    <s v="Strengthen technical skills and practical knowledge"/>
  </r>
  <r>
    <n v="22"/>
    <n v="1"/>
    <n v="1"/>
    <n v="3"/>
    <n v="1"/>
    <n v="13.712958049446501"/>
    <n v="71"/>
    <n v="68"/>
    <n v="47"/>
    <n v="1"/>
    <n v="1"/>
    <s v="C628"/>
    <s v="Female"/>
    <s v="Bachelor's Type 1"/>
    <s v="Mid Level"/>
    <s v="Average"/>
    <s v="Intermediate"/>
    <s v="Needs Improvement"/>
    <x v="0"/>
    <n v="57"/>
    <s v="Developing"/>
    <x v="2"/>
    <s v="Personality &amp; Communication"/>
    <s v="Work on communication and personality development"/>
  </r>
  <r>
    <n v="31"/>
    <n v="0"/>
    <n v="3"/>
    <n v="9"/>
    <n v="5"/>
    <n v="32.552469663510998"/>
    <n v="58"/>
    <n v="40"/>
    <n v="38"/>
    <n v="3"/>
    <n v="0"/>
    <s v="C629"/>
    <s v="Male"/>
    <s v="Master's"/>
    <s v="Senior Level"/>
    <s v="Average"/>
    <s v="Beginner"/>
    <s v="Needs Improvement"/>
    <x v="1"/>
    <n v="50"/>
    <s v="Developing"/>
    <x v="2"/>
    <s v="Personality &amp; Communication"/>
    <s v="Work on communication and personality development"/>
  </r>
  <r>
    <n v="45"/>
    <n v="0"/>
    <n v="2"/>
    <n v="4"/>
    <n v="3"/>
    <n v="2.2492041140924699"/>
    <n v="40"/>
    <n v="76"/>
    <n v="46"/>
    <n v="2"/>
    <n v="0"/>
    <s v="C630"/>
    <s v="Male"/>
    <s v="Bachelor's Type 2"/>
    <s v="Mid Level"/>
    <s v="Low"/>
    <s v="Advanced"/>
    <s v="Needs Improvement"/>
    <x v="1"/>
    <n v="51"/>
    <s v="Developing"/>
    <x v="1"/>
    <s v="Interview Preparation"/>
    <s v="Improve interview preparation and communication"/>
  </r>
  <r>
    <n v="35"/>
    <n v="1"/>
    <n v="4"/>
    <n v="4"/>
    <n v="5"/>
    <n v="37.036255601333899"/>
    <n v="65"/>
    <n v="46"/>
    <n v="93"/>
    <n v="2"/>
    <n v="0"/>
    <s v="C631"/>
    <s v="Female"/>
    <s v="PhD"/>
    <s v="Mid Level"/>
    <s v="Average"/>
    <s v="Beginner"/>
    <s v="Strong"/>
    <x v="1"/>
    <n v="61"/>
    <s v="Developing"/>
    <x v="0"/>
    <s v="Technical Skills"/>
    <s v="Strengthen technical skills and practical knowledge"/>
  </r>
  <r>
    <n v="38"/>
    <n v="0"/>
    <n v="3"/>
    <n v="5"/>
    <n v="3"/>
    <n v="26.701168493825399"/>
    <n v="95"/>
    <n v="75"/>
    <n v="20"/>
    <n v="3"/>
    <n v="0"/>
    <s v="C632"/>
    <s v="Male"/>
    <s v="Master's"/>
    <s v="Mid Level"/>
    <s v="Strong"/>
    <s v="Advanced"/>
    <s v="Needs Improvement"/>
    <x v="1"/>
    <n v="64"/>
    <s v="Developing"/>
    <x v="2"/>
    <s v="Personality &amp; Communication"/>
    <s v="Work on communication and personality development"/>
  </r>
  <r>
    <n v="24"/>
    <n v="0"/>
    <n v="1"/>
    <n v="13"/>
    <n v="4"/>
    <n v="31.287686526046699"/>
    <n v="53"/>
    <n v="68"/>
    <n v="29"/>
    <n v="2"/>
    <n v="0"/>
    <s v="C633"/>
    <s v="Male"/>
    <s v="Bachelor's Type 1"/>
    <s v="Senior Level"/>
    <s v="Average"/>
    <s v="Intermediate"/>
    <s v="Needs Improvement"/>
    <x v="1"/>
    <n v="58"/>
    <s v="Developing"/>
    <x v="1"/>
    <s v="Personality &amp; Communication"/>
    <s v="Work on communication and personality development"/>
  </r>
  <r>
    <n v="41"/>
    <n v="0"/>
    <n v="2"/>
    <n v="9"/>
    <n v="2"/>
    <n v="32.5940079623442"/>
    <n v="39"/>
    <n v="100"/>
    <n v="91"/>
    <n v="2"/>
    <n v="0"/>
    <s v="C634"/>
    <s v="Male"/>
    <s v="Bachelor's Type 2"/>
    <s v="Senior Level"/>
    <s v="Low"/>
    <s v="Advanced"/>
    <s v="Strong"/>
    <x v="1"/>
    <n v="71"/>
    <s v="Developing"/>
    <x v="1"/>
    <s v="Interview Preparation"/>
    <s v="Improve interview preparation and communication"/>
  </r>
  <r>
    <n v="44"/>
    <n v="1"/>
    <n v="2"/>
    <n v="11"/>
    <n v="4"/>
    <n v="27.352507824628098"/>
    <n v="27"/>
    <n v="30"/>
    <n v="30"/>
    <n v="2"/>
    <n v="0"/>
    <s v="C635"/>
    <s v="Female"/>
    <s v="Bachelor's Type 2"/>
    <s v="Senior Level"/>
    <s v="Low"/>
    <s v="Beginner"/>
    <s v="Needs Improvement"/>
    <x v="1"/>
    <n v="37"/>
    <s v="Needs Improvement"/>
    <x v="1"/>
    <s v="Interview Preparation"/>
    <s v="Improve interview preparation and communication"/>
  </r>
  <r>
    <n v="48"/>
    <n v="1"/>
    <n v="2"/>
    <n v="9"/>
    <n v="3"/>
    <n v="30.126688872036699"/>
    <n v="36"/>
    <n v="91"/>
    <n v="25"/>
    <n v="2"/>
    <n v="0"/>
    <s v="C636"/>
    <s v="Female"/>
    <s v="Bachelor's Type 2"/>
    <s v="Senior Level"/>
    <s v="Low"/>
    <s v="Advanced"/>
    <s v="Needs Improvement"/>
    <x v="1"/>
    <n v="55"/>
    <s v="Developing"/>
    <x v="1"/>
    <s v="Personality &amp; Communication"/>
    <s v="Work on communication and personality development"/>
  </r>
  <r>
    <n v="33"/>
    <n v="0"/>
    <n v="3"/>
    <n v="12"/>
    <n v="3"/>
    <n v="35.189410044493698"/>
    <n v="64"/>
    <n v="91"/>
    <n v="21"/>
    <n v="2"/>
    <n v="0"/>
    <s v="C637"/>
    <s v="Male"/>
    <s v="Master's"/>
    <s v="Senior Level"/>
    <s v="Average"/>
    <s v="Advanced"/>
    <s v="Needs Improvement"/>
    <x v="1"/>
    <n v="66"/>
    <s v="Developing"/>
    <x v="1"/>
    <s v="Personality &amp; Communication"/>
    <s v="Work on communication and personality development"/>
  </r>
  <r>
    <n v="47"/>
    <n v="1"/>
    <n v="3"/>
    <n v="12"/>
    <n v="3"/>
    <n v="38.655942358983701"/>
    <n v="73"/>
    <n v="29"/>
    <n v="20"/>
    <n v="2"/>
    <n v="0"/>
    <s v="C638"/>
    <s v="Female"/>
    <s v="Master's"/>
    <s v="Senior Level"/>
    <s v="Average"/>
    <s v="Beginner"/>
    <s v="Needs Improvement"/>
    <x v="1"/>
    <n v="50"/>
    <s v="Developing"/>
    <x v="2"/>
    <s v="Personality &amp; Communication"/>
    <s v="Work on communication and personality development"/>
  </r>
  <r>
    <n v="24"/>
    <n v="0"/>
    <n v="3"/>
    <n v="10"/>
    <n v="1"/>
    <n v="37.372619564306"/>
    <n v="54"/>
    <n v="17"/>
    <n v="0"/>
    <n v="3"/>
    <n v="0"/>
    <s v="C639"/>
    <s v="Male"/>
    <s v="Master's"/>
    <s v="Senior Level"/>
    <s v="Average"/>
    <s v="Beginner"/>
    <s v="Needs Improvement"/>
    <x v="1"/>
    <n v="35"/>
    <s v="Needs Improvement"/>
    <x v="2"/>
    <s v="Personality &amp; Communication"/>
    <s v="Work on communication and personality development"/>
  </r>
  <r>
    <n v="34"/>
    <n v="1"/>
    <n v="2"/>
    <n v="5"/>
    <n v="2"/>
    <n v="44.480822886612998"/>
    <n v="3"/>
    <n v="43"/>
    <n v="36"/>
    <n v="2"/>
    <n v="0"/>
    <s v="C640"/>
    <s v="Female"/>
    <s v="Bachelor's Type 2"/>
    <s v="Mid Level"/>
    <s v="Low"/>
    <s v="Beginner"/>
    <s v="Needs Improvement"/>
    <x v="1"/>
    <n v="29"/>
    <s v="Needs Improvement"/>
    <x v="1"/>
    <s v="Interview Preparation"/>
    <s v="Improve interview preparation and communication"/>
  </r>
  <r>
    <n v="36"/>
    <n v="0"/>
    <n v="1"/>
    <n v="15"/>
    <n v="4"/>
    <n v="10.472171658370099"/>
    <n v="98"/>
    <n v="26"/>
    <n v="76"/>
    <n v="3"/>
    <n v="0"/>
    <s v="C641"/>
    <s v="Male"/>
    <s v="Bachelor's Type 1"/>
    <s v="Senior Level"/>
    <s v="Strong"/>
    <s v="Beginner"/>
    <s v="Strong"/>
    <x v="1"/>
    <n v="70"/>
    <s v="Developing"/>
    <x v="2"/>
    <s v="Technical Skills"/>
    <s v="Strengthen technical skills and practical knowledge"/>
  </r>
  <r>
    <n v="49"/>
    <n v="0"/>
    <n v="3"/>
    <n v="7"/>
    <n v="4"/>
    <n v="21.0573984745898"/>
    <n v="9"/>
    <n v="98"/>
    <n v="84"/>
    <n v="2"/>
    <n v="1"/>
    <s v="C642"/>
    <s v="Male"/>
    <s v="Master's"/>
    <s v="Senior Level"/>
    <s v="Low"/>
    <s v="Advanced"/>
    <s v="Strong"/>
    <x v="0"/>
    <n v="60"/>
    <s v="Developing"/>
    <x v="1"/>
    <s v="Interview Preparation"/>
    <s v="Improve interview preparation and communication"/>
  </r>
  <r>
    <n v="33"/>
    <n v="1"/>
    <n v="1"/>
    <n v="7"/>
    <n v="5"/>
    <n v="48.389803300722797"/>
    <n v="46"/>
    <n v="25"/>
    <n v="45"/>
    <n v="2"/>
    <n v="0"/>
    <s v="C643"/>
    <s v="Female"/>
    <s v="Bachelor's Type 1"/>
    <s v="Senior Level"/>
    <s v="Low"/>
    <s v="Beginner"/>
    <s v="Needs Improvement"/>
    <x v="1"/>
    <n v="40"/>
    <s v="Needs Improvement"/>
    <x v="2"/>
    <s v="Technical Skills"/>
    <s v="Strengthen technical skills and practical knowledge"/>
  </r>
  <r>
    <n v="49"/>
    <n v="0"/>
    <n v="2"/>
    <n v="10"/>
    <n v="3"/>
    <n v="20.8295287193164"/>
    <n v="74"/>
    <n v="59"/>
    <n v="8"/>
    <n v="3"/>
    <n v="0"/>
    <s v="C644"/>
    <s v="Male"/>
    <s v="Bachelor's Type 2"/>
    <s v="Senior Level"/>
    <s v="Average"/>
    <s v="Intermediate"/>
    <s v="Needs Improvement"/>
    <x v="1"/>
    <n v="54"/>
    <s v="Developing"/>
    <x v="2"/>
    <s v="Personality &amp; Communication"/>
    <s v="Work on communication and personality development"/>
  </r>
  <r>
    <n v="39"/>
    <n v="1"/>
    <n v="1"/>
    <n v="8"/>
    <n v="3"/>
    <n v="7.2435038452961296"/>
    <n v="13"/>
    <n v="17"/>
    <n v="16"/>
    <n v="1"/>
    <n v="0"/>
    <s v="C645"/>
    <s v="Female"/>
    <s v="Bachelor's Type 1"/>
    <s v="Senior Level"/>
    <s v="Low"/>
    <s v="Beginner"/>
    <s v="Needs Improvement"/>
    <x v="1"/>
    <n v="23"/>
    <s v="Needs Improvement"/>
    <x v="1"/>
    <s v="Interview Preparation"/>
    <s v="Improve interview preparation and communication"/>
  </r>
  <r>
    <n v="24"/>
    <n v="1"/>
    <n v="2"/>
    <n v="7"/>
    <n v="3"/>
    <n v="27.272256318108901"/>
    <n v="37"/>
    <n v="96"/>
    <n v="46"/>
    <n v="2"/>
    <n v="0"/>
    <s v="C646"/>
    <s v="Female"/>
    <s v="Bachelor's Type 2"/>
    <s v="Senior Level"/>
    <s v="Low"/>
    <s v="Advanced"/>
    <s v="Needs Improvement"/>
    <x v="1"/>
    <n v="59"/>
    <s v="Developing"/>
    <x v="1"/>
    <s v="Interview Preparation"/>
    <s v="Improve interview preparation and communication"/>
  </r>
  <r>
    <n v="31"/>
    <n v="0"/>
    <n v="1"/>
    <n v="12"/>
    <n v="4"/>
    <n v="6.4745486277230997"/>
    <n v="11"/>
    <n v="88"/>
    <n v="84"/>
    <n v="2"/>
    <n v="0"/>
    <s v="C647"/>
    <s v="Male"/>
    <s v="Bachelor's Type 1"/>
    <s v="Senior Level"/>
    <s v="Low"/>
    <s v="Advanced"/>
    <s v="Strong"/>
    <x v="1"/>
    <n v="61"/>
    <s v="Developing"/>
    <x v="1"/>
    <s v="Interview Preparation"/>
    <s v="Improve interview preparation and communication"/>
  </r>
  <r>
    <n v="35"/>
    <n v="0"/>
    <n v="2"/>
    <n v="10"/>
    <n v="5"/>
    <n v="11.1426619363932"/>
    <n v="44"/>
    <n v="55"/>
    <n v="94"/>
    <n v="2"/>
    <n v="0"/>
    <s v="C648"/>
    <s v="Male"/>
    <s v="Bachelor's Type 2"/>
    <s v="Senior Level"/>
    <s v="Low"/>
    <s v="Intermediate"/>
    <s v="Strong"/>
    <x v="1"/>
    <n v="61"/>
    <s v="Developing"/>
    <x v="0"/>
    <s v="Interview Preparation"/>
    <s v="Improve interview preparation and communication"/>
  </r>
  <r>
    <n v="45"/>
    <n v="1"/>
    <n v="4"/>
    <n v="1"/>
    <n v="1"/>
    <n v="50.915937828547797"/>
    <n v="16"/>
    <n v="30"/>
    <n v="58"/>
    <n v="1"/>
    <n v="0"/>
    <s v="C649"/>
    <s v="Female"/>
    <s v="PhD"/>
    <s v="Entry Level"/>
    <s v="Low"/>
    <s v="Beginner"/>
    <s v="Good"/>
    <x v="1"/>
    <n v="31"/>
    <s v="Needs Improvement"/>
    <x v="0"/>
    <s v="Interview Preparation"/>
    <s v="Improve interview preparation and communication"/>
  </r>
  <r>
    <n v="45"/>
    <n v="0"/>
    <n v="1"/>
    <n v="13"/>
    <n v="2"/>
    <n v="28.0681319198066"/>
    <n v="79"/>
    <n v="100"/>
    <n v="53"/>
    <n v="2"/>
    <n v="0"/>
    <s v="C650"/>
    <s v="Male"/>
    <s v="Bachelor's Type 1"/>
    <s v="Senior Level"/>
    <s v="Strong"/>
    <s v="Advanced"/>
    <s v="Good"/>
    <x v="1"/>
    <n v="80"/>
    <s v="Job Ready"/>
    <x v="1"/>
    <s v="Personality &amp; Communication"/>
    <s v="Work on communication and personality development"/>
  </r>
  <r>
    <n v="35"/>
    <n v="0"/>
    <n v="1"/>
    <n v="13"/>
    <n v="1"/>
    <n v="15.202919452021399"/>
    <n v="34"/>
    <n v="58"/>
    <n v="85"/>
    <n v="2"/>
    <n v="0"/>
    <s v="C651"/>
    <s v="Male"/>
    <s v="Bachelor's Type 1"/>
    <s v="Senior Level"/>
    <s v="Low"/>
    <s v="Intermediate"/>
    <s v="Strong"/>
    <x v="1"/>
    <n v="60"/>
    <s v="Developing"/>
    <x v="0"/>
    <s v="Interview Preparation"/>
    <s v="Improve interview preparation and communication"/>
  </r>
  <r>
    <n v="40"/>
    <n v="0"/>
    <n v="2"/>
    <n v="11"/>
    <n v="4"/>
    <n v="50.738747728695301"/>
    <n v="65"/>
    <n v="1"/>
    <n v="11"/>
    <n v="2"/>
    <n v="0"/>
    <s v="C652"/>
    <s v="Male"/>
    <s v="Bachelor's Type 2"/>
    <s v="Senior Level"/>
    <s v="Average"/>
    <s v="Beginner"/>
    <s v="Needs Improvement"/>
    <x v="1"/>
    <n v="36"/>
    <s v="Needs Improvement"/>
    <x v="2"/>
    <s v="Technical Skills"/>
    <s v="Strengthen technical skills and practical knowledge"/>
  </r>
  <r>
    <n v="26"/>
    <n v="0"/>
    <n v="3"/>
    <n v="9"/>
    <n v="3"/>
    <n v="49.327945927757099"/>
    <n v="74"/>
    <n v="96"/>
    <n v="63"/>
    <n v="3"/>
    <n v="1"/>
    <s v="C653"/>
    <s v="Male"/>
    <s v="Master's"/>
    <s v="Senior Level"/>
    <s v="Average"/>
    <s v="Advanced"/>
    <s v="Good"/>
    <x v="0"/>
    <n v="76"/>
    <s v="Job Ready"/>
    <x v="1"/>
    <s v="Personality &amp; Communication"/>
    <s v="Work on communication and personality development"/>
  </r>
  <r>
    <n v="23"/>
    <n v="0"/>
    <n v="2"/>
    <n v="11"/>
    <n v="2"/>
    <n v="23.036952054213099"/>
    <n v="40"/>
    <n v="38"/>
    <n v="5"/>
    <n v="3"/>
    <n v="0"/>
    <s v="C654"/>
    <s v="Male"/>
    <s v="Bachelor's Type 2"/>
    <s v="Senior Level"/>
    <s v="Low"/>
    <s v="Beginner"/>
    <s v="Needs Improvement"/>
    <x v="1"/>
    <n v="38"/>
    <s v="Needs Improvement"/>
    <x v="2"/>
    <s v="Personality &amp; Communication"/>
    <s v="Work on communication and personality development"/>
  </r>
  <r>
    <n v="20"/>
    <n v="1"/>
    <n v="2"/>
    <n v="10"/>
    <n v="4"/>
    <n v="14.020155439395401"/>
    <n v="66"/>
    <n v="60"/>
    <n v="52"/>
    <n v="2"/>
    <n v="0"/>
    <s v="C655"/>
    <s v="Female"/>
    <s v="Bachelor's Type 2"/>
    <s v="Senior Level"/>
    <s v="Average"/>
    <s v="Intermediate"/>
    <s v="Good"/>
    <x v="1"/>
    <n v="61"/>
    <s v="Developing"/>
    <x v="2"/>
    <s v="Personality &amp; Communication"/>
    <s v="Work on communication and personality development"/>
  </r>
  <r>
    <n v="49"/>
    <n v="1"/>
    <n v="1"/>
    <n v="14"/>
    <n v="4"/>
    <n v="42.9199819046095"/>
    <n v="28"/>
    <n v="62"/>
    <n v="15"/>
    <n v="3"/>
    <n v="0"/>
    <s v="C656"/>
    <s v="Female"/>
    <s v="Bachelor's Type 1"/>
    <s v="Senior Level"/>
    <s v="Low"/>
    <s v="Intermediate"/>
    <s v="Needs Improvement"/>
    <x v="1"/>
    <n v="47"/>
    <s v="Needs Improvement"/>
    <x v="1"/>
    <s v="Personality &amp; Communication"/>
    <s v="Work on communication and personality development"/>
  </r>
  <r>
    <n v="49"/>
    <n v="0"/>
    <n v="3"/>
    <n v="15"/>
    <n v="4"/>
    <n v="36.781035848589198"/>
    <n v="17"/>
    <n v="95"/>
    <n v="89"/>
    <n v="2"/>
    <n v="1"/>
    <s v="C657"/>
    <s v="Male"/>
    <s v="Master's"/>
    <s v="Senior Level"/>
    <s v="Low"/>
    <s v="Advanced"/>
    <s v="Strong"/>
    <x v="0"/>
    <n v="70"/>
    <s v="Developing"/>
    <x v="1"/>
    <s v="Interview Preparation"/>
    <s v="Improve interview preparation and communication"/>
  </r>
  <r>
    <n v="24"/>
    <n v="0"/>
    <n v="2"/>
    <n v="0"/>
    <n v="2"/>
    <n v="35.347071750175502"/>
    <n v="19"/>
    <n v="17"/>
    <n v="4"/>
    <n v="2"/>
    <n v="0"/>
    <s v="C658"/>
    <s v="Male"/>
    <s v="Bachelor's Type 2"/>
    <s v="Entry Level"/>
    <s v="Low"/>
    <s v="Beginner"/>
    <s v="Needs Improvement"/>
    <x v="1"/>
    <n v="14"/>
    <s v="Needs Improvement"/>
    <x v="2"/>
    <s v="Personality &amp; Communication"/>
    <s v="Work on communication and personality development"/>
  </r>
  <r>
    <n v="42"/>
    <n v="0"/>
    <n v="3"/>
    <n v="9"/>
    <n v="2"/>
    <n v="45.655687066123598"/>
    <n v="13"/>
    <n v="16"/>
    <n v="72"/>
    <n v="2"/>
    <n v="0"/>
    <s v="C659"/>
    <s v="Male"/>
    <s v="Master's"/>
    <s v="Senior Level"/>
    <s v="Low"/>
    <s v="Beginner"/>
    <s v="Good"/>
    <x v="1"/>
    <n v="36"/>
    <s v="Needs Improvement"/>
    <x v="0"/>
    <s v="Interview Preparation"/>
    <s v="Improve interview preparation and communication"/>
  </r>
  <r>
    <n v="45"/>
    <n v="1"/>
    <n v="4"/>
    <n v="1"/>
    <n v="5"/>
    <n v="35.470856693566198"/>
    <n v="33"/>
    <n v="97"/>
    <n v="45"/>
    <n v="2"/>
    <n v="0"/>
    <s v="C660"/>
    <s v="Female"/>
    <s v="PhD"/>
    <s v="Entry Level"/>
    <s v="Low"/>
    <s v="Advanced"/>
    <s v="Needs Improvement"/>
    <x v="1"/>
    <n v="54"/>
    <s v="Developing"/>
    <x v="1"/>
    <s v="Interview Preparation"/>
    <s v="Improve interview preparation and communication"/>
  </r>
  <r>
    <n v="29"/>
    <n v="0"/>
    <n v="2"/>
    <n v="1"/>
    <n v="5"/>
    <n v="15.1898971520774"/>
    <n v="48"/>
    <n v="38"/>
    <n v="13"/>
    <n v="1"/>
    <n v="0"/>
    <s v="C661"/>
    <s v="Male"/>
    <s v="Bachelor's Type 2"/>
    <s v="Entry Level"/>
    <s v="Low"/>
    <s v="Beginner"/>
    <s v="Needs Improvement"/>
    <x v="1"/>
    <n v="32"/>
    <s v="Needs Improvement"/>
    <x v="2"/>
    <s v="Personality &amp; Communication"/>
    <s v="Work on communication and personality development"/>
  </r>
  <r>
    <n v="41"/>
    <n v="1"/>
    <n v="3"/>
    <n v="11"/>
    <n v="1"/>
    <n v="35.6931580937866"/>
    <n v="53"/>
    <n v="70"/>
    <n v="43"/>
    <n v="2"/>
    <n v="0"/>
    <s v="C662"/>
    <s v="Female"/>
    <s v="Master's"/>
    <s v="Senior Level"/>
    <s v="Average"/>
    <s v="Intermediate"/>
    <s v="Needs Improvement"/>
    <x v="1"/>
    <n v="60"/>
    <s v="Developing"/>
    <x v="1"/>
    <s v="Personality &amp; Communication"/>
    <s v="Work on communication and personality development"/>
  </r>
  <r>
    <n v="24"/>
    <n v="1"/>
    <n v="1"/>
    <n v="2"/>
    <n v="2"/>
    <n v="16.2906755641831"/>
    <n v="30"/>
    <n v="53"/>
    <n v="62"/>
    <n v="2"/>
    <n v="0"/>
    <s v="C663"/>
    <s v="Female"/>
    <s v="Bachelor's Type 1"/>
    <s v="Entry Level"/>
    <s v="Low"/>
    <s v="Intermediate"/>
    <s v="Good"/>
    <x v="1"/>
    <n v="42"/>
    <s v="Needs Improvement"/>
    <x v="0"/>
    <s v="Interview Preparation"/>
    <s v="Improve interview preparation and communication"/>
  </r>
  <r>
    <n v="23"/>
    <n v="1"/>
    <n v="3"/>
    <n v="9"/>
    <n v="2"/>
    <n v="38.961948982849698"/>
    <n v="57"/>
    <n v="98"/>
    <n v="93"/>
    <n v="2"/>
    <n v="1"/>
    <s v="C664"/>
    <s v="Female"/>
    <s v="Master's"/>
    <s v="Senior Level"/>
    <s v="Average"/>
    <s v="Advanced"/>
    <s v="Strong"/>
    <x v="0"/>
    <n v="78"/>
    <s v="Job Ready"/>
    <x v="1"/>
    <s v="Interview Preparation"/>
    <s v="Improve interview preparation and communication"/>
  </r>
  <r>
    <n v="21"/>
    <n v="0"/>
    <n v="2"/>
    <n v="6"/>
    <n v="2"/>
    <n v="31.987392724578299"/>
    <n v="41"/>
    <n v="93"/>
    <n v="51"/>
    <n v="3"/>
    <n v="0"/>
    <s v="C665"/>
    <s v="Male"/>
    <s v="Bachelor's Type 2"/>
    <s v="Mid Level"/>
    <s v="Low"/>
    <s v="Advanced"/>
    <s v="Good"/>
    <x v="1"/>
    <n v="59"/>
    <s v="Developing"/>
    <x v="1"/>
    <s v="Interview Preparation"/>
    <s v="Improve interview preparation and communication"/>
  </r>
  <r>
    <n v="39"/>
    <n v="1"/>
    <n v="3"/>
    <n v="1"/>
    <n v="5"/>
    <n v="4.87057759923752"/>
    <n v="57"/>
    <n v="75"/>
    <n v="25"/>
    <n v="2"/>
    <n v="0"/>
    <s v="C666"/>
    <s v="Female"/>
    <s v="Master's"/>
    <s v="Entry Level"/>
    <s v="Average"/>
    <s v="Advanced"/>
    <s v="Needs Improvement"/>
    <x v="1"/>
    <n v="49"/>
    <s v="Needs Improvement"/>
    <x v="1"/>
    <s v="Personality &amp; Communication"/>
    <s v="Work on communication and personality development"/>
  </r>
  <r>
    <n v="50"/>
    <n v="0"/>
    <n v="1"/>
    <n v="13"/>
    <n v="4"/>
    <n v="26.641768121757099"/>
    <n v="81"/>
    <n v="34"/>
    <n v="52"/>
    <n v="1"/>
    <n v="1"/>
    <s v="C667"/>
    <s v="Male"/>
    <s v="Bachelor's Type 1"/>
    <s v="Senior Level"/>
    <s v="Strong"/>
    <s v="Beginner"/>
    <s v="Good"/>
    <x v="0"/>
    <n v="60"/>
    <s v="Developing"/>
    <x v="2"/>
    <s v="Technical Skills"/>
    <s v="Strengthen technical skills and practical knowledge"/>
  </r>
  <r>
    <n v="29"/>
    <n v="1"/>
    <n v="1"/>
    <n v="15"/>
    <n v="3"/>
    <n v="18.165048459786998"/>
    <n v="29"/>
    <n v="10"/>
    <n v="28"/>
    <n v="2"/>
    <n v="0"/>
    <s v="C668"/>
    <s v="Female"/>
    <s v="Bachelor's Type 1"/>
    <s v="Senior Level"/>
    <s v="Low"/>
    <s v="Beginner"/>
    <s v="Needs Improvement"/>
    <x v="1"/>
    <n v="35"/>
    <s v="Needs Improvement"/>
    <x v="2"/>
    <s v="Technical Skills"/>
    <s v="Strengthen technical skills and practical knowledge"/>
  </r>
  <r>
    <n v="45"/>
    <n v="0"/>
    <n v="2"/>
    <n v="0"/>
    <n v="5"/>
    <n v="17.4285316366147"/>
    <n v="24"/>
    <n v="60"/>
    <n v="18"/>
    <n v="2"/>
    <n v="0"/>
    <s v="C669"/>
    <s v="Male"/>
    <s v="Bachelor's Type 2"/>
    <s v="Entry Level"/>
    <s v="Low"/>
    <s v="Intermediate"/>
    <s v="Needs Improvement"/>
    <x v="1"/>
    <n v="31"/>
    <s v="Needs Improvement"/>
    <x v="1"/>
    <s v="Personality &amp; Communication"/>
    <s v="Work on communication and personality development"/>
  </r>
  <r>
    <n v="38"/>
    <n v="1"/>
    <n v="2"/>
    <n v="15"/>
    <n v="2"/>
    <n v="31.112815118862802"/>
    <n v="62"/>
    <n v="43"/>
    <n v="46"/>
    <n v="2"/>
    <n v="0"/>
    <s v="C670"/>
    <s v="Female"/>
    <s v="Bachelor's Type 2"/>
    <s v="Senior Level"/>
    <s v="Average"/>
    <s v="Beginner"/>
    <s v="Needs Improvement"/>
    <x v="1"/>
    <n v="58"/>
    <s v="Developing"/>
    <x v="2"/>
    <s v="Technical Skills"/>
    <s v="Strengthen technical skills and practical knowledge"/>
  </r>
  <r>
    <n v="45"/>
    <n v="0"/>
    <n v="2"/>
    <n v="13"/>
    <n v="5"/>
    <n v="17.116241223471199"/>
    <n v="18"/>
    <n v="67"/>
    <n v="7"/>
    <n v="1"/>
    <n v="1"/>
    <s v="C671"/>
    <s v="Male"/>
    <s v="Bachelor's Type 2"/>
    <s v="Senior Level"/>
    <s v="Low"/>
    <s v="Intermediate"/>
    <s v="Needs Improvement"/>
    <x v="0"/>
    <n v="42"/>
    <s v="Needs Improvement"/>
    <x v="1"/>
    <s v="Personality &amp; Communication"/>
    <s v="Work on communication and personality development"/>
  </r>
  <r>
    <n v="20"/>
    <n v="1"/>
    <n v="2"/>
    <n v="5"/>
    <n v="1"/>
    <n v="39.844687410243601"/>
    <n v="71"/>
    <n v="24"/>
    <n v="22"/>
    <n v="2"/>
    <n v="0"/>
    <s v="C672"/>
    <s v="Female"/>
    <s v="Bachelor's Type 2"/>
    <s v="Mid Level"/>
    <s v="Average"/>
    <s v="Beginner"/>
    <s v="Needs Improvement"/>
    <x v="1"/>
    <n v="40"/>
    <s v="Needs Improvement"/>
    <x v="2"/>
    <s v="Personality &amp; Communication"/>
    <s v="Work on communication and personality development"/>
  </r>
  <r>
    <n v="43"/>
    <n v="0"/>
    <n v="1"/>
    <n v="8"/>
    <n v="2"/>
    <n v="4.5395718005587202"/>
    <n v="91"/>
    <n v="47"/>
    <n v="34"/>
    <n v="3"/>
    <n v="0"/>
    <s v="C673"/>
    <s v="Male"/>
    <s v="Bachelor's Type 1"/>
    <s v="Senior Level"/>
    <s v="Strong"/>
    <s v="Beginner"/>
    <s v="Needs Improvement"/>
    <x v="1"/>
    <n v="59"/>
    <s v="Developing"/>
    <x v="2"/>
    <s v="Personality &amp; Communication"/>
    <s v="Work on communication and personality development"/>
  </r>
  <r>
    <n v="24"/>
    <n v="0"/>
    <n v="2"/>
    <n v="14"/>
    <n v="1"/>
    <n v="34.019412619791197"/>
    <n v="7"/>
    <n v="31"/>
    <n v="94"/>
    <n v="2"/>
    <n v="0"/>
    <s v="C674"/>
    <s v="Male"/>
    <s v="Bachelor's Type 2"/>
    <s v="Senior Level"/>
    <s v="Low"/>
    <s v="Beginner"/>
    <s v="Strong"/>
    <x v="1"/>
    <n v="47"/>
    <s v="Needs Improvement"/>
    <x v="0"/>
    <s v="Interview Preparation"/>
    <s v="Improve interview preparation and communication"/>
  </r>
  <r>
    <n v="32"/>
    <n v="0"/>
    <n v="3"/>
    <n v="2"/>
    <n v="2"/>
    <n v="41.459740182837002"/>
    <n v="94"/>
    <n v="83"/>
    <n v="52"/>
    <n v="3"/>
    <n v="0"/>
    <s v="C675"/>
    <s v="Male"/>
    <s v="Master's"/>
    <s v="Entry Level"/>
    <s v="Strong"/>
    <s v="Advanced"/>
    <s v="Good"/>
    <x v="1"/>
    <n v="69"/>
    <s v="Developing"/>
    <x v="2"/>
    <s v="Personality &amp; Communication"/>
    <s v="Work on communication and personality development"/>
  </r>
  <r>
    <n v="23"/>
    <n v="0"/>
    <n v="2"/>
    <n v="5"/>
    <n v="5"/>
    <n v="34.641584496021501"/>
    <n v="2"/>
    <n v="94"/>
    <n v="98"/>
    <n v="3"/>
    <n v="0"/>
    <s v="C676"/>
    <s v="Male"/>
    <s v="Bachelor's Type 2"/>
    <s v="Mid Level"/>
    <s v="Low"/>
    <s v="Advanced"/>
    <s v="Strong"/>
    <x v="1"/>
    <n v="56"/>
    <s v="Developing"/>
    <x v="0"/>
    <s v="Interview Preparation"/>
    <s v="Improve interview preparation and communication"/>
  </r>
  <r>
    <n v="35"/>
    <n v="1"/>
    <n v="1"/>
    <n v="2"/>
    <n v="4"/>
    <n v="25.8614597509997"/>
    <n v="66"/>
    <n v="3"/>
    <n v="95"/>
    <n v="1"/>
    <n v="0"/>
    <s v="C677"/>
    <s v="Female"/>
    <s v="Bachelor's Type 1"/>
    <s v="Entry Level"/>
    <s v="Average"/>
    <s v="Beginner"/>
    <s v="Strong"/>
    <x v="1"/>
    <n v="44"/>
    <s v="Needs Improvement"/>
    <x v="0"/>
    <s v="Technical Skills"/>
    <s v="Strengthen technical skills and practical knowledge"/>
  </r>
  <r>
    <n v="43"/>
    <n v="1"/>
    <n v="2"/>
    <n v="13"/>
    <n v="3"/>
    <n v="48.515350686809001"/>
    <n v="85"/>
    <n v="37"/>
    <n v="57"/>
    <n v="2"/>
    <n v="0"/>
    <s v="C678"/>
    <s v="Female"/>
    <s v="Bachelor's Type 2"/>
    <s v="Senior Level"/>
    <s v="Strong"/>
    <s v="Beginner"/>
    <s v="Good"/>
    <x v="1"/>
    <n v="64"/>
    <s v="Developing"/>
    <x v="2"/>
    <s v="Technical Skills"/>
    <s v="Strengthen technical skills and practical knowledge"/>
  </r>
  <r>
    <n v="35"/>
    <n v="0"/>
    <n v="1"/>
    <n v="12"/>
    <n v="1"/>
    <n v="15.996924489903099"/>
    <n v="80"/>
    <n v="62"/>
    <n v="4"/>
    <n v="2"/>
    <n v="0"/>
    <s v="C679"/>
    <s v="Male"/>
    <s v="Bachelor's Type 1"/>
    <s v="Senior Level"/>
    <s v="Strong"/>
    <s v="Intermediate"/>
    <s v="Needs Improvement"/>
    <x v="1"/>
    <n v="58"/>
    <s v="Developing"/>
    <x v="2"/>
    <s v="Personality &amp; Communication"/>
    <s v="Work on communication and personality development"/>
  </r>
  <r>
    <n v="42"/>
    <n v="1"/>
    <n v="4"/>
    <n v="0"/>
    <n v="5"/>
    <n v="1.95839437624888"/>
    <n v="99"/>
    <n v="46"/>
    <n v="15"/>
    <n v="1"/>
    <n v="1"/>
    <s v="C680"/>
    <s v="Female"/>
    <s v="PhD"/>
    <s v="Entry Level"/>
    <s v="Strong"/>
    <s v="Beginner"/>
    <s v="Needs Improvement"/>
    <x v="0"/>
    <n v="52"/>
    <s v="Developing"/>
    <x v="2"/>
    <s v="Personality &amp; Communication"/>
    <s v="Work on communication and personality development"/>
  </r>
  <r>
    <n v="21"/>
    <n v="0"/>
    <n v="1"/>
    <n v="13"/>
    <n v="4"/>
    <n v="22.599468573172"/>
    <n v="16"/>
    <n v="0"/>
    <n v="16"/>
    <n v="2"/>
    <n v="0"/>
    <s v="C681"/>
    <s v="Male"/>
    <s v="Bachelor's Type 1"/>
    <s v="Senior Level"/>
    <s v="Low"/>
    <s v="Beginner"/>
    <s v="Needs Improvement"/>
    <x v="1"/>
    <n v="24"/>
    <s v="Needs Improvement"/>
    <x v="2"/>
    <s v="Technical Skills"/>
    <s v="Strengthen technical skills and practical knowledge"/>
  </r>
  <r>
    <n v="36"/>
    <n v="0"/>
    <n v="3"/>
    <n v="12"/>
    <n v="5"/>
    <n v="2.65059679501636"/>
    <n v="13"/>
    <n v="2"/>
    <n v="31"/>
    <n v="2"/>
    <n v="0"/>
    <s v="C682"/>
    <s v="Male"/>
    <s v="Master's"/>
    <s v="Senior Level"/>
    <s v="Low"/>
    <s v="Beginner"/>
    <s v="Needs Improvement"/>
    <x v="1"/>
    <n v="26"/>
    <s v="Needs Improvement"/>
    <x v="0"/>
    <s v="Technical Skills"/>
    <s v="Strengthen technical skills and practical knowledge"/>
  </r>
  <r>
    <n v="47"/>
    <n v="1"/>
    <n v="4"/>
    <n v="15"/>
    <n v="1"/>
    <n v="48.696837626320402"/>
    <n v="8"/>
    <n v="100"/>
    <n v="95"/>
    <n v="1"/>
    <n v="1"/>
    <s v="C683"/>
    <s v="Female"/>
    <s v="PhD"/>
    <s v="Senior Level"/>
    <s v="Low"/>
    <s v="Advanced"/>
    <s v="Strong"/>
    <x v="0"/>
    <n v="71"/>
    <s v="Developing"/>
    <x v="1"/>
    <s v="Interview Preparation"/>
    <s v="Improve interview preparation and communication"/>
  </r>
  <r>
    <n v="46"/>
    <n v="0"/>
    <n v="3"/>
    <n v="11"/>
    <n v="3"/>
    <n v="11.495902287402499"/>
    <n v="61"/>
    <n v="85"/>
    <n v="51"/>
    <n v="3"/>
    <n v="0"/>
    <s v="C684"/>
    <s v="Male"/>
    <s v="Master's"/>
    <s v="Senior Level"/>
    <s v="Average"/>
    <s v="Advanced"/>
    <s v="Good"/>
    <x v="1"/>
    <n v="69"/>
    <s v="Developing"/>
    <x v="1"/>
    <s v="Personality &amp; Communication"/>
    <s v="Work on communication and personality development"/>
  </r>
  <r>
    <n v="39"/>
    <n v="0"/>
    <n v="2"/>
    <n v="4"/>
    <n v="5"/>
    <n v="40.446351197443903"/>
    <n v="93"/>
    <n v="61"/>
    <n v="19"/>
    <n v="2"/>
    <n v="0"/>
    <s v="C685"/>
    <s v="Male"/>
    <s v="Bachelor's Type 2"/>
    <s v="Mid Level"/>
    <s v="Strong"/>
    <s v="Intermediate"/>
    <s v="Needs Improvement"/>
    <x v="1"/>
    <n v="57"/>
    <s v="Developing"/>
    <x v="2"/>
    <s v="Personality &amp; Communication"/>
    <s v="Work on communication and personality development"/>
  </r>
  <r>
    <n v="43"/>
    <n v="1"/>
    <n v="3"/>
    <n v="9"/>
    <n v="2"/>
    <n v="39.728604158718198"/>
    <n v="20"/>
    <n v="63"/>
    <n v="65"/>
    <n v="3"/>
    <n v="1"/>
    <s v="C686"/>
    <s v="Female"/>
    <s v="Master's"/>
    <s v="Senior Level"/>
    <s v="Low"/>
    <s v="Intermediate"/>
    <s v="Good"/>
    <x v="0"/>
    <n v="51"/>
    <s v="Developing"/>
    <x v="0"/>
    <s v="Interview Preparation"/>
    <s v="Improve interview preparation and communication"/>
  </r>
  <r>
    <n v="31"/>
    <n v="0"/>
    <n v="4"/>
    <n v="13"/>
    <n v="4"/>
    <n v="11.8864449841466"/>
    <n v="75"/>
    <n v="16"/>
    <n v="83"/>
    <n v="2"/>
    <n v="1"/>
    <s v="C687"/>
    <s v="Male"/>
    <s v="PhD"/>
    <s v="Senior Level"/>
    <s v="Strong"/>
    <s v="Beginner"/>
    <s v="Strong"/>
    <x v="0"/>
    <n v="62"/>
    <s v="Developing"/>
    <x v="0"/>
    <s v="Technical Skills"/>
    <s v="Strengthen technical skills and practical knowledge"/>
  </r>
  <r>
    <n v="37"/>
    <n v="0"/>
    <n v="2"/>
    <n v="12"/>
    <n v="5"/>
    <n v="32.061326524008301"/>
    <n v="36"/>
    <n v="77"/>
    <n v="81"/>
    <n v="3"/>
    <n v="0"/>
    <s v="C688"/>
    <s v="Male"/>
    <s v="Bachelor's Type 2"/>
    <s v="Senior Level"/>
    <s v="Low"/>
    <s v="Advanced"/>
    <s v="Strong"/>
    <x v="1"/>
    <n v="65"/>
    <s v="Developing"/>
    <x v="0"/>
    <s v="Interview Preparation"/>
    <s v="Improve interview preparation and communication"/>
  </r>
  <r>
    <n v="22"/>
    <n v="0"/>
    <n v="2"/>
    <n v="10"/>
    <n v="4"/>
    <n v="3.4039484243225102"/>
    <n v="95"/>
    <n v="61"/>
    <n v="0"/>
    <n v="2"/>
    <n v="0"/>
    <s v="C689"/>
    <s v="Male"/>
    <s v="Bachelor's Type 2"/>
    <s v="Senior Level"/>
    <s v="Strong"/>
    <s v="Intermediate"/>
    <s v="Needs Improvement"/>
    <x v="1"/>
    <n v="59"/>
    <s v="Developing"/>
    <x v="2"/>
    <s v="Personality &amp; Communication"/>
    <s v="Work on communication and personality development"/>
  </r>
  <r>
    <n v="47"/>
    <n v="0"/>
    <n v="2"/>
    <n v="3"/>
    <n v="2"/>
    <n v="25.178729285193299"/>
    <n v="10"/>
    <n v="34"/>
    <n v="57"/>
    <n v="1"/>
    <n v="0"/>
    <s v="C690"/>
    <s v="Male"/>
    <s v="Bachelor's Type 2"/>
    <s v="Mid Level"/>
    <s v="Low"/>
    <s v="Beginner"/>
    <s v="Good"/>
    <x v="1"/>
    <n v="30"/>
    <s v="Needs Improvement"/>
    <x v="0"/>
    <s v="Interview Preparation"/>
    <s v="Improve interview preparation and communication"/>
  </r>
  <r>
    <n v="20"/>
    <n v="1"/>
    <n v="2"/>
    <n v="6"/>
    <n v="3"/>
    <n v="1.73235636362433"/>
    <n v="19"/>
    <n v="12"/>
    <n v="92"/>
    <n v="2"/>
    <n v="0"/>
    <s v="C691"/>
    <s v="Female"/>
    <s v="Bachelor's Type 2"/>
    <s v="Mid Level"/>
    <s v="Low"/>
    <s v="Beginner"/>
    <s v="Strong"/>
    <x v="1"/>
    <n v="36"/>
    <s v="Needs Improvement"/>
    <x v="0"/>
    <s v="Technical Skills"/>
    <s v="Strengthen technical skills and practical knowledge"/>
  </r>
  <r>
    <n v="20"/>
    <n v="1"/>
    <n v="2"/>
    <n v="5"/>
    <n v="3"/>
    <n v="47.057194009042"/>
    <n v="34"/>
    <n v="34"/>
    <n v="92"/>
    <n v="2"/>
    <n v="0"/>
    <s v="C692"/>
    <s v="Female"/>
    <s v="Bachelor's Type 2"/>
    <s v="Mid Level"/>
    <s v="Low"/>
    <s v="Beginner"/>
    <s v="Strong"/>
    <x v="1"/>
    <n v="46"/>
    <s v="Needs Improvement"/>
    <x v="0"/>
    <s v="Interview Preparation"/>
    <s v="Improve interview preparation and communication"/>
  </r>
  <r>
    <n v="48"/>
    <n v="1"/>
    <n v="2"/>
    <n v="9"/>
    <n v="2"/>
    <n v="49.804301209978497"/>
    <n v="52"/>
    <n v="42"/>
    <n v="82"/>
    <n v="2"/>
    <n v="0"/>
    <s v="C693"/>
    <s v="Female"/>
    <s v="Bachelor's Type 2"/>
    <s v="Senior Level"/>
    <s v="Average"/>
    <s v="Beginner"/>
    <s v="Strong"/>
    <x v="1"/>
    <n v="56"/>
    <s v="Developing"/>
    <x v="0"/>
    <s v="Technical Skills"/>
    <s v="Strengthen technical skills and practical knowledge"/>
  </r>
  <r>
    <n v="38"/>
    <n v="0"/>
    <n v="2"/>
    <n v="6"/>
    <n v="4"/>
    <n v="12.114138331929199"/>
    <n v="46"/>
    <n v="1"/>
    <n v="43"/>
    <n v="2"/>
    <n v="0"/>
    <s v="C694"/>
    <s v="Male"/>
    <s v="Bachelor's Type 2"/>
    <s v="Mid Level"/>
    <s v="Low"/>
    <s v="Beginner"/>
    <s v="Needs Improvement"/>
    <x v="1"/>
    <n v="31"/>
    <s v="Needs Improvement"/>
    <x v="2"/>
    <s v="Technical Skills"/>
    <s v="Strengthen technical skills and practical knowledge"/>
  </r>
  <r>
    <n v="30"/>
    <n v="0"/>
    <n v="1"/>
    <n v="4"/>
    <n v="5"/>
    <n v="11.4053017298186"/>
    <n v="74"/>
    <n v="55"/>
    <n v="5"/>
    <n v="1"/>
    <n v="1"/>
    <s v="C695"/>
    <s v="Male"/>
    <s v="Bachelor's Type 1"/>
    <s v="Mid Level"/>
    <s v="Average"/>
    <s v="Intermediate"/>
    <s v="Needs Improvement"/>
    <x v="0"/>
    <n v="46"/>
    <s v="Needs Improvement"/>
    <x v="2"/>
    <s v="Personality &amp; Communication"/>
    <s v="Work on communication and personality development"/>
  </r>
  <r>
    <n v="24"/>
    <n v="1"/>
    <n v="1"/>
    <n v="14"/>
    <n v="2"/>
    <n v="38.686008828106402"/>
    <n v="51"/>
    <n v="76"/>
    <n v="49"/>
    <n v="2"/>
    <n v="0"/>
    <s v="C696"/>
    <s v="Female"/>
    <s v="Bachelor's Type 1"/>
    <s v="Senior Level"/>
    <s v="Average"/>
    <s v="Advanced"/>
    <s v="Needs Improvement"/>
    <x v="1"/>
    <n v="64"/>
    <s v="Developing"/>
    <x v="1"/>
    <s v="Personality &amp; Communication"/>
    <s v="Work on communication and personality development"/>
  </r>
  <r>
    <n v="31"/>
    <n v="0"/>
    <n v="2"/>
    <n v="14"/>
    <n v="1"/>
    <n v="13.668969941466701"/>
    <n v="7"/>
    <n v="50"/>
    <n v="71"/>
    <n v="2"/>
    <n v="0"/>
    <s v="C697"/>
    <s v="Male"/>
    <s v="Bachelor's Type 2"/>
    <s v="Senior Level"/>
    <s v="Low"/>
    <s v="Intermediate"/>
    <s v="Good"/>
    <x v="1"/>
    <n v="48"/>
    <s v="Needs Improvement"/>
    <x v="0"/>
    <s v="Interview Preparation"/>
    <s v="Improve interview preparation and communication"/>
  </r>
  <r>
    <n v="22"/>
    <n v="0"/>
    <n v="1"/>
    <n v="3"/>
    <n v="4"/>
    <n v="45.753827958092202"/>
    <n v="3"/>
    <n v="53"/>
    <n v="87"/>
    <n v="2"/>
    <n v="0"/>
    <s v="C698"/>
    <s v="Male"/>
    <s v="Bachelor's Type 1"/>
    <s v="Mid Level"/>
    <s v="Low"/>
    <s v="Intermediate"/>
    <s v="Strong"/>
    <x v="1"/>
    <n v="40"/>
    <s v="Needs Improvement"/>
    <x v="0"/>
    <s v="Interview Preparation"/>
    <s v="Improve interview preparation and communication"/>
  </r>
  <r>
    <n v="20"/>
    <n v="0"/>
    <n v="2"/>
    <n v="15"/>
    <n v="3"/>
    <n v="29.696456806149101"/>
    <n v="26"/>
    <n v="15"/>
    <n v="19"/>
    <n v="2"/>
    <n v="0"/>
    <s v="C699"/>
    <s v="Male"/>
    <s v="Bachelor's Type 2"/>
    <s v="Senior Level"/>
    <s v="Low"/>
    <s v="Beginner"/>
    <s v="Needs Improvement"/>
    <x v="1"/>
    <n v="34"/>
    <s v="Needs Improvement"/>
    <x v="2"/>
    <s v="Technical Skills"/>
    <s v="Strengthen technical skills and practical knowledge"/>
  </r>
  <r>
    <n v="20"/>
    <n v="0"/>
    <n v="2"/>
    <n v="6"/>
    <n v="2"/>
    <n v="18.5388811505156"/>
    <n v="43"/>
    <n v="17"/>
    <n v="13"/>
    <n v="3"/>
    <n v="0"/>
    <s v="C700"/>
    <s v="Male"/>
    <s v="Bachelor's Type 2"/>
    <s v="Mid Level"/>
    <s v="Low"/>
    <s v="Beginner"/>
    <s v="Needs Improvement"/>
    <x v="1"/>
    <n v="29"/>
    <s v="Needs Improvement"/>
    <x v="2"/>
    <s v="Personality &amp; Communication"/>
    <s v="Work on communication and personality development"/>
  </r>
  <r>
    <n v="27"/>
    <n v="1"/>
    <n v="3"/>
    <n v="6"/>
    <n v="3"/>
    <n v="42.634687317470998"/>
    <n v="39"/>
    <n v="6"/>
    <n v="4"/>
    <n v="2"/>
    <n v="0"/>
    <s v="C701"/>
    <s v="Female"/>
    <s v="Master's"/>
    <s v="Mid Level"/>
    <s v="Low"/>
    <s v="Beginner"/>
    <s v="Needs Improvement"/>
    <x v="1"/>
    <n v="24"/>
    <s v="Needs Improvement"/>
    <x v="2"/>
    <s v="Personality &amp; Communication"/>
    <s v="Work on communication and personality development"/>
  </r>
  <r>
    <n v="29"/>
    <n v="1"/>
    <n v="1"/>
    <n v="5"/>
    <n v="4"/>
    <n v="25.6703350206697"/>
    <n v="46"/>
    <n v="44"/>
    <n v="40"/>
    <n v="2"/>
    <n v="0"/>
    <s v="C702"/>
    <s v="Female"/>
    <s v="Bachelor's Type 1"/>
    <s v="Mid Level"/>
    <s v="Low"/>
    <s v="Beginner"/>
    <s v="Needs Improvement"/>
    <x v="1"/>
    <n v="43"/>
    <s v="Needs Improvement"/>
    <x v="2"/>
    <s v="Personality &amp; Communication"/>
    <s v="Work on communication and personality development"/>
  </r>
  <r>
    <n v="30"/>
    <n v="1"/>
    <n v="2"/>
    <n v="7"/>
    <n v="3"/>
    <n v="46.581645685423702"/>
    <n v="93"/>
    <n v="35"/>
    <n v="39"/>
    <n v="3"/>
    <n v="0"/>
    <s v="C703"/>
    <s v="Female"/>
    <s v="Bachelor's Type 2"/>
    <s v="Senior Level"/>
    <s v="Strong"/>
    <s v="Beginner"/>
    <s v="Needs Improvement"/>
    <x v="1"/>
    <n v="56"/>
    <s v="Developing"/>
    <x v="2"/>
    <s v="Technical Skills"/>
    <s v="Strengthen technical skills and practical knowledge"/>
  </r>
  <r>
    <n v="31"/>
    <n v="0"/>
    <n v="3"/>
    <n v="3"/>
    <n v="2"/>
    <n v="47.400711836469"/>
    <n v="43"/>
    <n v="40"/>
    <n v="33"/>
    <n v="2"/>
    <n v="0"/>
    <s v="C704"/>
    <s v="Male"/>
    <s v="Master's"/>
    <s v="Mid Level"/>
    <s v="Low"/>
    <s v="Beginner"/>
    <s v="Needs Improvement"/>
    <x v="1"/>
    <n v="38"/>
    <s v="Needs Improvement"/>
    <x v="2"/>
    <s v="Personality &amp; Communication"/>
    <s v="Work on communication and personality development"/>
  </r>
  <r>
    <n v="48"/>
    <n v="1"/>
    <n v="2"/>
    <n v="9"/>
    <n v="4"/>
    <n v="9.2710076064204596"/>
    <n v="47"/>
    <n v="93"/>
    <n v="79"/>
    <n v="1"/>
    <n v="1"/>
    <s v="C705"/>
    <s v="Female"/>
    <s v="Bachelor's Type 2"/>
    <s v="Senior Level"/>
    <s v="Low"/>
    <s v="Advanced"/>
    <s v="Strong"/>
    <x v="0"/>
    <n v="69"/>
    <s v="Developing"/>
    <x v="1"/>
    <s v="Interview Preparation"/>
    <s v="Improve interview preparation and communication"/>
  </r>
  <r>
    <n v="32"/>
    <n v="1"/>
    <n v="1"/>
    <n v="4"/>
    <n v="1"/>
    <n v="1.1161703065965101"/>
    <n v="90"/>
    <n v="41"/>
    <n v="44"/>
    <n v="1"/>
    <n v="0"/>
    <s v="C706"/>
    <s v="Female"/>
    <s v="Bachelor's Type 1"/>
    <s v="Mid Level"/>
    <s v="Strong"/>
    <s v="Beginner"/>
    <s v="Needs Improvement"/>
    <x v="1"/>
    <n v="55"/>
    <s v="Developing"/>
    <x v="2"/>
    <s v="Technical Skills"/>
    <s v="Strengthen technical skills and practical knowledge"/>
  </r>
  <r>
    <n v="31"/>
    <n v="0"/>
    <n v="3"/>
    <n v="3"/>
    <n v="2"/>
    <n v="50.196547007120103"/>
    <n v="84"/>
    <n v="6"/>
    <n v="70"/>
    <n v="2"/>
    <n v="0"/>
    <s v="C707"/>
    <s v="Male"/>
    <s v="Master's"/>
    <s v="Mid Level"/>
    <s v="Strong"/>
    <s v="Beginner"/>
    <s v="Good"/>
    <x v="1"/>
    <n v="48"/>
    <s v="Needs Improvement"/>
    <x v="2"/>
    <s v="Technical Skills"/>
    <s v="Strengthen technical skills and practical knowledge"/>
  </r>
  <r>
    <n v="50"/>
    <n v="0"/>
    <n v="3"/>
    <n v="11"/>
    <n v="5"/>
    <n v="46.3068768063739"/>
    <n v="51"/>
    <n v="14"/>
    <n v="79"/>
    <n v="1"/>
    <n v="1"/>
    <s v="C708"/>
    <s v="Male"/>
    <s v="Master's"/>
    <s v="Senior Level"/>
    <s v="Average"/>
    <s v="Beginner"/>
    <s v="Strong"/>
    <x v="0"/>
    <n v="50"/>
    <s v="Developing"/>
    <x v="0"/>
    <s v="Technical Skills"/>
    <s v="Strengthen technical skills and practical knowledge"/>
  </r>
  <r>
    <n v="33"/>
    <n v="1"/>
    <n v="2"/>
    <n v="0"/>
    <n v="2"/>
    <n v="3.7722617851920699"/>
    <n v="83"/>
    <n v="59"/>
    <n v="70"/>
    <n v="2"/>
    <n v="0"/>
    <s v="C709"/>
    <s v="Female"/>
    <s v="Bachelor's Type 2"/>
    <s v="Entry Level"/>
    <s v="Strong"/>
    <s v="Intermediate"/>
    <s v="Good"/>
    <x v="1"/>
    <n v="59"/>
    <s v="Developing"/>
    <x v="2"/>
    <s v="Technical Skills"/>
    <s v="Strengthen technical skills and practical knowledge"/>
  </r>
  <r>
    <n v="21"/>
    <n v="1"/>
    <n v="2"/>
    <n v="11"/>
    <n v="4"/>
    <n v="42.651713197053397"/>
    <n v="67"/>
    <n v="39"/>
    <n v="26"/>
    <n v="1"/>
    <n v="0"/>
    <s v="C710"/>
    <s v="Female"/>
    <s v="Bachelor's Type 2"/>
    <s v="Senior Level"/>
    <s v="Average"/>
    <s v="Beginner"/>
    <s v="Needs Improvement"/>
    <x v="1"/>
    <n v="51"/>
    <s v="Developing"/>
    <x v="2"/>
    <s v="Personality &amp; Communication"/>
    <s v="Work on communication and personality development"/>
  </r>
  <r>
    <n v="48"/>
    <n v="1"/>
    <n v="4"/>
    <n v="7"/>
    <n v="2"/>
    <n v="23.890246627960298"/>
    <n v="10"/>
    <n v="82"/>
    <n v="77"/>
    <n v="1"/>
    <n v="1"/>
    <s v="C711"/>
    <s v="Female"/>
    <s v="PhD"/>
    <s v="Senior Level"/>
    <s v="Low"/>
    <s v="Advanced"/>
    <s v="Strong"/>
    <x v="0"/>
    <n v="55"/>
    <s v="Developing"/>
    <x v="1"/>
    <s v="Interview Preparation"/>
    <s v="Improve interview preparation and communication"/>
  </r>
  <r>
    <n v="38"/>
    <n v="1"/>
    <n v="2"/>
    <n v="0"/>
    <n v="1"/>
    <n v="13.948080251248699"/>
    <n v="76"/>
    <n v="36"/>
    <n v="77"/>
    <n v="2"/>
    <n v="0"/>
    <s v="C712"/>
    <s v="Female"/>
    <s v="Bachelor's Type 2"/>
    <s v="Entry Level"/>
    <s v="Strong"/>
    <s v="Beginner"/>
    <s v="Strong"/>
    <x v="1"/>
    <n v="52"/>
    <s v="Developing"/>
    <x v="0"/>
    <s v="Technical Skills"/>
    <s v="Strengthen technical skills and practical knowledge"/>
  </r>
  <r>
    <n v="37"/>
    <n v="0"/>
    <n v="2"/>
    <n v="4"/>
    <n v="1"/>
    <n v="44.937326183846402"/>
    <n v="72"/>
    <n v="65"/>
    <n v="43"/>
    <n v="3"/>
    <n v="0"/>
    <s v="C713"/>
    <s v="Male"/>
    <s v="Bachelor's Type 2"/>
    <s v="Mid Level"/>
    <s v="Average"/>
    <s v="Intermediate"/>
    <s v="Needs Improvement"/>
    <x v="1"/>
    <n v="56"/>
    <s v="Developing"/>
    <x v="2"/>
    <s v="Personality &amp; Communication"/>
    <s v="Work on communication and personality development"/>
  </r>
  <r>
    <n v="22"/>
    <n v="1"/>
    <n v="3"/>
    <n v="14"/>
    <n v="5"/>
    <n v="10.8333616195153"/>
    <n v="3"/>
    <n v="54"/>
    <n v="32"/>
    <n v="2"/>
    <n v="0"/>
    <s v="C714"/>
    <s v="Female"/>
    <s v="Master's"/>
    <s v="Senior Level"/>
    <s v="Low"/>
    <s v="Intermediate"/>
    <s v="Needs Improvement"/>
    <x v="1"/>
    <n v="41"/>
    <s v="Needs Improvement"/>
    <x v="1"/>
    <s v="Interview Preparation"/>
    <s v="Improve interview preparation and communication"/>
  </r>
  <r>
    <n v="42"/>
    <n v="1"/>
    <n v="2"/>
    <n v="5"/>
    <n v="3"/>
    <n v="48.3649999710033"/>
    <n v="75"/>
    <n v="76"/>
    <n v="32"/>
    <n v="3"/>
    <n v="0"/>
    <s v="C715"/>
    <s v="Female"/>
    <s v="Bachelor's Type 2"/>
    <s v="Mid Level"/>
    <s v="Strong"/>
    <s v="Advanced"/>
    <s v="Needs Improvement"/>
    <x v="1"/>
    <n v="59"/>
    <s v="Developing"/>
    <x v="1"/>
    <s v="Personality &amp; Communication"/>
    <s v="Work on communication and personality development"/>
  </r>
  <r>
    <n v="36"/>
    <n v="0"/>
    <n v="2"/>
    <n v="5"/>
    <n v="4"/>
    <n v="11.281074384967001"/>
    <n v="72"/>
    <n v="94"/>
    <n v="43"/>
    <n v="3"/>
    <n v="0"/>
    <s v="C716"/>
    <s v="Male"/>
    <s v="Bachelor's Type 2"/>
    <s v="Mid Level"/>
    <s v="Average"/>
    <s v="Advanced"/>
    <s v="Needs Improvement"/>
    <x v="1"/>
    <n v="66"/>
    <s v="Developing"/>
    <x v="1"/>
    <s v="Personality &amp; Communication"/>
    <s v="Work on communication and personality development"/>
  </r>
  <r>
    <n v="45"/>
    <n v="1"/>
    <n v="2"/>
    <n v="12"/>
    <n v="4"/>
    <n v="31.684159386437099"/>
    <n v="76"/>
    <n v="79"/>
    <n v="19"/>
    <n v="1"/>
    <n v="1"/>
    <s v="C717"/>
    <s v="Female"/>
    <s v="Bachelor's Type 2"/>
    <s v="Senior Level"/>
    <s v="Strong"/>
    <s v="Advanced"/>
    <s v="Needs Improvement"/>
    <x v="0"/>
    <n v="65"/>
    <s v="Developing"/>
    <x v="1"/>
    <s v="Personality &amp; Communication"/>
    <s v="Work on communication and personality development"/>
  </r>
  <r>
    <n v="27"/>
    <n v="0"/>
    <n v="3"/>
    <n v="4"/>
    <n v="3"/>
    <n v="12.1543167264487"/>
    <n v="47"/>
    <n v="55"/>
    <n v="35"/>
    <n v="2"/>
    <n v="0"/>
    <s v="C718"/>
    <s v="Male"/>
    <s v="Master's"/>
    <s v="Mid Level"/>
    <s v="Low"/>
    <s v="Intermediate"/>
    <s v="Needs Improvement"/>
    <x v="1"/>
    <n v="45"/>
    <s v="Needs Improvement"/>
    <x v="1"/>
    <s v="Personality &amp; Communication"/>
    <s v="Work on communication and personality development"/>
  </r>
  <r>
    <n v="48"/>
    <n v="0"/>
    <n v="2"/>
    <n v="15"/>
    <n v="1"/>
    <n v="28.283433248431699"/>
    <n v="25"/>
    <n v="43"/>
    <n v="6"/>
    <n v="2"/>
    <n v="0"/>
    <s v="C719"/>
    <s v="Male"/>
    <s v="Bachelor's Type 2"/>
    <s v="Senior Level"/>
    <s v="Low"/>
    <s v="Beginner"/>
    <s v="Needs Improvement"/>
    <x v="1"/>
    <n v="39"/>
    <s v="Needs Improvement"/>
    <x v="1"/>
    <s v="Personality &amp; Communication"/>
    <s v="Work on communication and personality development"/>
  </r>
  <r>
    <n v="45"/>
    <n v="0"/>
    <n v="2"/>
    <n v="2"/>
    <n v="1"/>
    <n v="35.198756495757003"/>
    <n v="76"/>
    <n v="56"/>
    <n v="31"/>
    <n v="3"/>
    <n v="0"/>
    <s v="C720"/>
    <s v="Male"/>
    <s v="Bachelor's Type 2"/>
    <s v="Entry Level"/>
    <s v="Strong"/>
    <s v="Intermediate"/>
    <s v="Needs Improvement"/>
    <x v="1"/>
    <n v="50"/>
    <s v="Developing"/>
    <x v="2"/>
    <s v="Personality &amp; Communication"/>
    <s v="Work on communication and personality development"/>
  </r>
  <r>
    <n v="29"/>
    <n v="1"/>
    <n v="2"/>
    <n v="14"/>
    <n v="2"/>
    <n v="10.5113965410068"/>
    <n v="38"/>
    <n v="5"/>
    <n v="66"/>
    <n v="2"/>
    <n v="0"/>
    <s v="C721"/>
    <s v="Female"/>
    <s v="Bachelor's Type 2"/>
    <s v="Senior Level"/>
    <s v="Low"/>
    <s v="Beginner"/>
    <s v="Good"/>
    <x v="1"/>
    <n v="43"/>
    <s v="Needs Improvement"/>
    <x v="0"/>
    <s v="Technical Skills"/>
    <s v="Strengthen technical skills and practical knowledge"/>
  </r>
  <r>
    <n v="45"/>
    <n v="1"/>
    <n v="2"/>
    <n v="4"/>
    <n v="5"/>
    <n v="27.0442891350339"/>
    <n v="91"/>
    <n v="91"/>
    <n v="38"/>
    <n v="3"/>
    <n v="0"/>
    <s v="C722"/>
    <s v="Female"/>
    <s v="Bachelor's Type 2"/>
    <s v="Mid Level"/>
    <s v="Strong"/>
    <s v="Advanced"/>
    <s v="Needs Improvement"/>
    <x v="1"/>
    <n v="69"/>
    <s v="Developing"/>
    <x v="2"/>
    <s v="Personality &amp; Communication"/>
    <s v="Work on communication and personality development"/>
  </r>
  <r>
    <n v="49"/>
    <n v="0"/>
    <n v="2"/>
    <n v="11"/>
    <n v="5"/>
    <n v="24.4529872195059"/>
    <n v="57"/>
    <n v="31"/>
    <n v="92"/>
    <n v="1"/>
    <n v="1"/>
    <s v="C723"/>
    <s v="Male"/>
    <s v="Bachelor's Type 2"/>
    <s v="Senior Level"/>
    <s v="Average"/>
    <s v="Beginner"/>
    <s v="Strong"/>
    <x v="0"/>
    <n v="58"/>
    <s v="Developing"/>
    <x v="0"/>
    <s v="Technical Skills"/>
    <s v="Strengthen technical skills and practical knowledge"/>
  </r>
  <r>
    <n v="21"/>
    <n v="1"/>
    <n v="3"/>
    <n v="7"/>
    <n v="5"/>
    <n v="4.5518710701670599"/>
    <n v="18"/>
    <n v="73"/>
    <n v="23"/>
    <n v="1"/>
    <n v="1"/>
    <s v="C724"/>
    <s v="Female"/>
    <s v="Master's"/>
    <s v="Senior Level"/>
    <s v="Low"/>
    <s v="Intermediate"/>
    <s v="Needs Improvement"/>
    <x v="0"/>
    <n v="43"/>
    <s v="Needs Improvement"/>
    <x v="1"/>
    <s v="Interview Preparation"/>
    <s v="Improve interview preparation and communication"/>
  </r>
  <r>
    <n v="38"/>
    <n v="1"/>
    <n v="2"/>
    <n v="13"/>
    <n v="2"/>
    <n v="41.915390883765099"/>
    <n v="87"/>
    <n v="17"/>
    <n v="85"/>
    <n v="2"/>
    <n v="0"/>
    <s v="C725"/>
    <s v="Female"/>
    <s v="Bachelor's Type 2"/>
    <s v="Senior Level"/>
    <s v="Strong"/>
    <s v="Beginner"/>
    <s v="Strong"/>
    <x v="1"/>
    <n v="64"/>
    <s v="Developing"/>
    <x v="2"/>
    <s v="Technical Skills"/>
    <s v="Strengthen technical skills and practical knowledge"/>
  </r>
  <r>
    <n v="28"/>
    <n v="0"/>
    <n v="1"/>
    <n v="1"/>
    <n v="5"/>
    <n v="17.784120032141999"/>
    <n v="82"/>
    <n v="67"/>
    <n v="69"/>
    <n v="2"/>
    <n v="0"/>
    <s v="C726"/>
    <s v="Male"/>
    <s v="Bachelor's Type 1"/>
    <s v="Entry Level"/>
    <s v="Strong"/>
    <s v="Intermediate"/>
    <s v="Good"/>
    <x v="1"/>
    <n v="62"/>
    <s v="Developing"/>
    <x v="2"/>
    <s v="Technical Skills"/>
    <s v="Strengthen technical skills and practical knowledge"/>
  </r>
  <r>
    <n v="26"/>
    <n v="0"/>
    <n v="3"/>
    <n v="15"/>
    <n v="3"/>
    <n v="29.729109877593899"/>
    <n v="76"/>
    <n v="72"/>
    <n v="87"/>
    <n v="1"/>
    <n v="1"/>
    <s v="C727"/>
    <s v="Male"/>
    <s v="Master's"/>
    <s v="Senior Level"/>
    <s v="Strong"/>
    <s v="Intermediate"/>
    <s v="Strong"/>
    <x v="0"/>
    <n v="81"/>
    <s v="Job Ready"/>
    <x v="0"/>
    <s v="Technical Skills"/>
    <s v="Strengthen technical skills and practical knowledge"/>
  </r>
  <r>
    <n v="23"/>
    <n v="1"/>
    <n v="1"/>
    <n v="5"/>
    <n v="2"/>
    <n v="26.7392117466567"/>
    <n v="76"/>
    <n v="6"/>
    <n v="86"/>
    <n v="2"/>
    <n v="0"/>
    <s v="C728"/>
    <s v="Female"/>
    <s v="Bachelor's Type 1"/>
    <s v="Mid Level"/>
    <s v="Strong"/>
    <s v="Beginner"/>
    <s v="Strong"/>
    <x v="1"/>
    <n v="49"/>
    <s v="Needs Improvement"/>
    <x v="0"/>
    <s v="Technical Skills"/>
    <s v="Strengthen technical skills and practical knowledge"/>
  </r>
  <r>
    <n v="45"/>
    <n v="0"/>
    <n v="4"/>
    <n v="8"/>
    <n v="3"/>
    <n v="26.663025228522098"/>
    <n v="57"/>
    <n v="7"/>
    <n v="53"/>
    <n v="1"/>
    <n v="1"/>
    <s v="C729"/>
    <s v="Male"/>
    <s v="PhD"/>
    <s v="Senior Level"/>
    <s v="Average"/>
    <s v="Beginner"/>
    <s v="Good"/>
    <x v="0"/>
    <n v="43"/>
    <s v="Needs Improvement"/>
    <x v="2"/>
    <s v="Technical Skills"/>
    <s v="Strengthen technical skills and practical knowledge"/>
  </r>
  <r>
    <n v="40"/>
    <n v="1"/>
    <n v="1"/>
    <n v="7"/>
    <n v="2"/>
    <n v="6.3611197104243704"/>
    <n v="27"/>
    <n v="63"/>
    <n v="37"/>
    <n v="2"/>
    <n v="0"/>
    <s v="C730"/>
    <s v="Female"/>
    <s v="Bachelor's Type 1"/>
    <s v="Senior Level"/>
    <s v="Low"/>
    <s v="Intermediate"/>
    <s v="Needs Improvement"/>
    <x v="1"/>
    <n v="44"/>
    <s v="Needs Improvement"/>
    <x v="1"/>
    <s v="Interview Preparation"/>
    <s v="Improve interview preparation and communication"/>
  </r>
  <r>
    <n v="37"/>
    <n v="1"/>
    <n v="2"/>
    <n v="13"/>
    <n v="5"/>
    <n v="22.174100462466601"/>
    <n v="65"/>
    <n v="6"/>
    <n v="73"/>
    <n v="3"/>
    <n v="0"/>
    <s v="C731"/>
    <s v="Female"/>
    <s v="Bachelor's Type 2"/>
    <s v="Senior Level"/>
    <s v="Average"/>
    <s v="Beginner"/>
    <s v="Good"/>
    <x v="1"/>
    <n v="51"/>
    <s v="Developing"/>
    <x v="0"/>
    <s v="Technical Skills"/>
    <s v="Strengthen technical skills and practical knowledge"/>
  </r>
  <r>
    <n v="32"/>
    <n v="1"/>
    <n v="1"/>
    <n v="10"/>
    <n v="3"/>
    <n v="23.6183379603285"/>
    <n v="9"/>
    <n v="40"/>
    <n v="79"/>
    <n v="3"/>
    <n v="0"/>
    <s v="C732"/>
    <s v="Female"/>
    <s v="Bachelor's Type 1"/>
    <s v="Senior Level"/>
    <s v="Low"/>
    <s v="Beginner"/>
    <s v="Strong"/>
    <x v="1"/>
    <n v="43"/>
    <s v="Needs Improvement"/>
    <x v="0"/>
    <s v="Interview Preparation"/>
    <s v="Improve interview preparation and communication"/>
  </r>
  <r>
    <n v="30"/>
    <n v="1"/>
    <n v="4"/>
    <n v="7"/>
    <n v="3"/>
    <n v="37.6821420182224"/>
    <n v="85"/>
    <n v="39"/>
    <n v="74"/>
    <n v="2"/>
    <n v="1"/>
    <s v="C733"/>
    <s v="Female"/>
    <s v="PhD"/>
    <s v="Senior Level"/>
    <s v="Strong"/>
    <s v="Beginner"/>
    <s v="Good"/>
    <x v="0"/>
    <n v="64"/>
    <s v="Developing"/>
    <x v="2"/>
    <s v="Technical Skills"/>
    <s v="Strengthen technical skills and practical knowledge"/>
  </r>
  <r>
    <n v="48"/>
    <n v="0"/>
    <n v="2"/>
    <n v="7"/>
    <n v="3"/>
    <n v="43.000941596034899"/>
    <n v="76"/>
    <n v="2"/>
    <n v="31"/>
    <n v="2"/>
    <n v="0"/>
    <s v="C734"/>
    <s v="Male"/>
    <s v="Bachelor's Type 2"/>
    <s v="Senior Level"/>
    <s v="Strong"/>
    <s v="Beginner"/>
    <s v="Needs Improvement"/>
    <x v="1"/>
    <n v="39"/>
    <s v="Needs Improvement"/>
    <x v="2"/>
    <s v="Technical Skills"/>
    <s v="Strengthen technical skills and practical knowledge"/>
  </r>
  <r>
    <n v="43"/>
    <n v="0"/>
    <n v="1"/>
    <n v="14"/>
    <n v="2"/>
    <n v="28.2491139050009"/>
    <n v="57"/>
    <n v="16"/>
    <n v="44"/>
    <n v="2"/>
    <n v="0"/>
    <s v="C735"/>
    <s v="Male"/>
    <s v="Bachelor's Type 1"/>
    <s v="Senior Level"/>
    <s v="Average"/>
    <s v="Beginner"/>
    <s v="Needs Improvement"/>
    <x v="1"/>
    <n v="47"/>
    <s v="Needs Improvement"/>
    <x v="2"/>
    <s v="Technical Skills"/>
    <s v="Strengthen technical skills and practical knowledge"/>
  </r>
  <r>
    <n v="23"/>
    <n v="0"/>
    <n v="2"/>
    <n v="12"/>
    <n v="4"/>
    <n v="5.3391477032495196"/>
    <n v="72"/>
    <n v="65"/>
    <n v="60"/>
    <n v="1"/>
    <n v="1"/>
    <s v="C736"/>
    <s v="Male"/>
    <s v="Bachelor's Type 2"/>
    <s v="Senior Level"/>
    <s v="Average"/>
    <s v="Intermediate"/>
    <s v="Good"/>
    <x v="0"/>
    <n v="68"/>
    <s v="Developing"/>
    <x v="2"/>
    <s v="Personality &amp; Communication"/>
    <s v="Work on communication and personality development"/>
  </r>
  <r>
    <n v="44"/>
    <n v="0"/>
    <n v="1"/>
    <n v="6"/>
    <n v="5"/>
    <n v="12.8424735298273"/>
    <n v="96"/>
    <n v="78"/>
    <n v="69"/>
    <n v="2"/>
    <n v="1"/>
    <s v="C737"/>
    <s v="Male"/>
    <s v="Bachelor's Type 1"/>
    <s v="Mid Level"/>
    <s v="Strong"/>
    <s v="Advanced"/>
    <s v="Good"/>
    <x v="0"/>
    <n v="75"/>
    <s v="Job Ready"/>
    <x v="2"/>
    <s v="Personality &amp; Communication"/>
    <s v="Work on communication and personality development"/>
  </r>
  <r>
    <n v="40"/>
    <n v="1"/>
    <n v="1"/>
    <n v="7"/>
    <n v="3"/>
    <n v="9.2467013426365501"/>
    <n v="13"/>
    <n v="92"/>
    <n v="87"/>
    <n v="1"/>
    <n v="1"/>
    <s v="C738"/>
    <s v="Female"/>
    <s v="Bachelor's Type 1"/>
    <s v="Senior Level"/>
    <s v="Low"/>
    <s v="Advanced"/>
    <s v="Strong"/>
    <x v="0"/>
    <n v="58"/>
    <s v="Developing"/>
    <x v="1"/>
    <s v="Interview Preparation"/>
    <s v="Improve interview preparation and communication"/>
  </r>
  <r>
    <n v="48"/>
    <n v="1"/>
    <n v="4"/>
    <n v="12"/>
    <n v="4"/>
    <n v="7.2307531594562304"/>
    <n v="83"/>
    <n v="51"/>
    <n v="96"/>
    <n v="3"/>
    <n v="1"/>
    <s v="C739"/>
    <s v="Female"/>
    <s v="PhD"/>
    <s v="Senior Level"/>
    <s v="Strong"/>
    <s v="Intermediate"/>
    <s v="Strong"/>
    <x v="0"/>
    <n v="76"/>
    <s v="Job Ready"/>
    <x v="0"/>
    <s v="Technical Skills"/>
    <s v="Strengthen technical skills and practical knowledge"/>
  </r>
  <r>
    <n v="44"/>
    <n v="0"/>
    <n v="2"/>
    <n v="5"/>
    <n v="5"/>
    <n v="19.294964930890298"/>
    <n v="14"/>
    <n v="21"/>
    <n v="52"/>
    <n v="3"/>
    <n v="0"/>
    <s v="C740"/>
    <s v="Male"/>
    <s v="Bachelor's Type 2"/>
    <s v="Mid Level"/>
    <s v="Low"/>
    <s v="Beginner"/>
    <s v="Good"/>
    <x v="1"/>
    <n v="28"/>
    <s v="Needs Improvement"/>
    <x v="0"/>
    <s v="Interview Preparation"/>
    <s v="Improve interview preparation and communication"/>
  </r>
  <r>
    <n v="23"/>
    <n v="1"/>
    <n v="3"/>
    <n v="1"/>
    <n v="5"/>
    <n v="12.4696751077191"/>
    <n v="95"/>
    <n v="3"/>
    <n v="50"/>
    <n v="2"/>
    <n v="0"/>
    <s v="C741"/>
    <s v="Female"/>
    <s v="Master's"/>
    <s v="Entry Level"/>
    <s v="Strong"/>
    <s v="Beginner"/>
    <s v="Good"/>
    <x v="1"/>
    <n v="44"/>
    <s v="Needs Improvement"/>
    <x v="2"/>
    <s v="Technical Skills"/>
    <s v="Strengthen technical skills and practical knowledge"/>
  </r>
  <r>
    <n v="29"/>
    <n v="1"/>
    <n v="2"/>
    <n v="1"/>
    <n v="3"/>
    <n v="11.915155590575599"/>
    <n v="32"/>
    <n v="5"/>
    <n v="75"/>
    <n v="2"/>
    <n v="0"/>
    <s v="C742"/>
    <s v="Female"/>
    <s v="Bachelor's Type 2"/>
    <s v="Entry Level"/>
    <s v="Low"/>
    <s v="Beginner"/>
    <s v="Strong"/>
    <x v="1"/>
    <n v="30"/>
    <s v="Needs Improvement"/>
    <x v="0"/>
    <s v="Technical Skills"/>
    <s v="Strengthen technical skills and practical knowledge"/>
  </r>
  <r>
    <n v="24"/>
    <n v="1"/>
    <n v="2"/>
    <n v="7"/>
    <n v="3"/>
    <n v="3.7346587288133799"/>
    <n v="16"/>
    <n v="37"/>
    <n v="55"/>
    <n v="1"/>
    <n v="0"/>
    <s v="C743"/>
    <s v="Female"/>
    <s v="Bachelor's Type 2"/>
    <s v="Senior Level"/>
    <s v="Low"/>
    <s v="Beginner"/>
    <s v="Good"/>
    <x v="1"/>
    <n v="36"/>
    <s v="Needs Improvement"/>
    <x v="0"/>
    <s v="Interview Preparation"/>
    <s v="Improve interview preparation and communication"/>
  </r>
  <r>
    <n v="28"/>
    <n v="0"/>
    <n v="1"/>
    <n v="10"/>
    <n v="2"/>
    <n v="1.8835022397716901"/>
    <n v="23"/>
    <n v="25"/>
    <n v="26"/>
    <n v="2"/>
    <n v="0"/>
    <s v="C744"/>
    <s v="Male"/>
    <s v="Bachelor's Type 1"/>
    <s v="Senior Level"/>
    <s v="Low"/>
    <s v="Beginner"/>
    <s v="Needs Improvement"/>
    <x v="1"/>
    <n v="32"/>
    <s v="Needs Improvement"/>
    <x v="0"/>
    <s v="Interview Preparation"/>
    <s v="Improve interview preparation and communication"/>
  </r>
  <r>
    <n v="43"/>
    <n v="0"/>
    <n v="2"/>
    <n v="0"/>
    <n v="4"/>
    <n v="6.1384121324890897"/>
    <n v="29"/>
    <n v="10"/>
    <n v="37"/>
    <n v="2"/>
    <n v="0"/>
    <s v="C745"/>
    <s v="Male"/>
    <s v="Bachelor's Type 2"/>
    <s v="Entry Level"/>
    <s v="Low"/>
    <s v="Beginner"/>
    <s v="Needs Improvement"/>
    <x v="1"/>
    <n v="22"/>
    <s v="Needs Improvement"/>
    <x v="0"/>
    <s v="Technical Skills"/>
    <s v="Strengthen technical skills and practical knowledge"/>
  </r>
  <r>
    <n v="22"/>
    <n v="0"/>
    <n v="3"/>
    <n v="5"/>
    <n v="4"/>
    <n v="9.6098739711816492"/>
    <n v="61"/>
    <n v="89"/>
    <n v="61"/>
    <n v="2"/>
    <n v="0"/>
    <s v="C746"/>
    <s v="Male"/>
    <s v="Master's"/>
    <s v="Mid Level"/>
    <s v="Average"/>
    <s v="Advanced"/>
    <s v="Good"/>
    <x v="1"/>
    <n v="66"/>
    <s v="Developing"/>
    <x v="1"/>
    <s v="Interview Preparation"/>
    <s v="Improve interview preparation and communication"/>
  </r>
  <r>
    <n v="36"/>
    <n v="1"/>
    <n v="4"/>
    <n v="12"/>
    <n v="3"/>
    <n v="22.5491864424101"/>
    <n v="12"/>
    <n v="16"/>
    <n v="17"/>
    <n v="1"/>
    <n v="1"/>
    <s v="C747"/>
    <s v="Female"/>
    <s v="PhD"/>
    <s v="Senior Level"/>
    <s v="Low"/>
    <s v="Beginner"/>
    <s v="Needs Improvement"/>
    <x v="0"/>
    <n v="29"/>
    <s v="Needs Improvement"/>
    <x v="0"/>
    <s v="Interview Preparation"/>
    <s v="Improve interview preparation and communication"/>
  </r>
  <r>
    <n v="22"/>
    <n v="0"/>
    <n v="2"/>
    <n v="15"/>
    <n v="5"/>
    <n v="26.526013064942202"/>
    <n v="61"/>
    <n v="87"/>
    <n v="63"/>
    <n v="3"/>
    <n v="0"/>
    <s v="C748"/>
    <s v="Male"/>
    <s v="Bachelor's Type 2"/>
    <s v="Senior Level"/>
    <s v="Average"/>
    <s v="Advanced"/>
    <s v="Good"/>
    <x v="1"/>
    <n v="75"/>
    <s v="Job Ready"/>
    <x v="1"/>
    <s v="Interview Preparation"/>
    <s v="Improve interview preparation and communication"/>
  </r>
  <r>
    <n v="35"/>
    <n v="0"/>
    <n v="2"/>
    <n v="5"/>
    <n v="3"/>
    <n v="8.02959590866827"/>
    <n v="46"/>
    <n v="91"/>
    <n v="76"/>
    <n v="2"/>
    <n v="0"/>
    <s v="C749"/>
    <s v="Male"/>
    <s v="Bachelor's Type 2"/>
    <s v="Mid Level"/>
    <s v="Low"/>
    <s v="Advanced"/>
    <s v="Strong"/>
    <x v="1"/>
    <n v="64"/>
    <s v="Developing"/>
    <x v="1"/>
    <s v="Interview Preparation"/>
    <s v="Improve interview preparation and communication"/>
  </r>
  <r>
    <n v="23"/>
    <n v="0"/>
    <n v="2"/>
    <n v="15"/>
    <n v="5"/>
    <n v="22.239167076209299"/>
    <n v="15"/>
    <n v="98"/>
    <n v="29"/>
    <n v="3"/>
    <n v="0"/>
    <s v="C750"/>
    <s v="Male"/>
    <s v="Bachelor's Type 2"/>
    <s v="Senior Level"/>
    <s v="Low"/>
    <s v="Advanced"/>
    <s v="Needs Improvement"/>
    <x v="1"/>
    <n v="57"/>
    <s v="Developing"/>
    <x v="1"/>
    <s v="Interview Preparation"/>
    <s v="Improve interview preparation and communication"/>
  </r>
  <r>
    <n v="37"/>
    <n v="0"/>
    <n v="4"/>
    <n v="10"/>
    <n v="5"/>
    <n v="18.087442116296302"/>
    <n v="65"/>
    <n v="30"/>
    <n v="48"/>
    <n v="3"/>
    <n v="0"/>
    <s v="C751"/>
    <s v="Male"/>
    <s v="PhD"/>
    <s v="Senior Level"/>
    <s v="Average"/>
    <s v="Beginner"/>
    <s v="Needs Improvement"/>
    <x v="1"/>
    <n v="53"/>
    <s v="Developing"/>
    <x v="2"/>
    <s v="Technical Skills"/>
    <s v="Strengthen technical skills and practical knowledge"/>
  </r>
  <r>
    <n v="36"/>
    <n v="0"/>
    <n v="2"/>
    <n v="3"/>
    <n v="3"/>
    <n v="10.171182174897799"/>
    <n v="80"/>
    <n v="76"/>
    <n v="40"/>
    <n v="3"/>
    <n v="0"/>
    <s v="C752"/>
    <s v="Male"/>
    <s v="Bachelor's Type 2"/>
    <s v="Mid Level"/>
    <s v="Strong"/>
    <s v="Advanced"/>
    <s v="Needs Improvement"/>
    <x v="1"/>
    <n v="60"/>
    <s v="Developing"/>
    <x v="2"/>
    <s v="Personality &amp; Communication"/>
    <s v="Work on communication and personality development"/>
  </r>
  <r>
    <n v="26"/>
    <n v="0"/>
    <n v="2"/>
    <n v="11"/>
    <n v="1"/>
    <n v="1.34203740741817"/>
    <n v="95"/>
    <n v="34"/>
    <n v="12"/>
    <n v="1"/>
    <n v="1"/>
    <s v="C753"/>
    <s v="Male"/>
    <s v="Bachelor's Type 2"/>
    <s v="Senior Level"/>
    <s v="Strong"/>
    <s v="Beginner"/>
    <s v="Needs Improvement"/>
    <x v="0"/>
    <n v="55"/>
    <s v="Developing"/>
    <x v="2"/>
    <s v="Personality &amp; Communication"/>
    <s v="Work on communication and personality development"/>
  </r>
  <r>
    <n v="43"/>
    <n v="1"/>
    <n v="3"/>
    <n v="10"/>
    <n v="4"/>
    <n v="24.350893326087"/>
    <n v="42"/>
    <n v="15"/>
    <n v="33"/>
    <n v="1"/>
    <n v="1"/>
    <s v="C754"/>
    <s v="Female"/>
    <s v="Master's"/>
    <s v="Senior Level"/>
    <s v="Low"/>
    <s v="Beginner"/>
    <s v="Needs Improvement"/>
    <x v="0"/>
    <n v="37"/>
    <s v="Needs Improvement"/>
    <x v="2"/>
    <s v="Technical Skills"/>
    <s v="Strengthen technical skills and practical knowledge"/>
  </r>
  <r>
    <n v="42"/>
    <n v="1"/>
    <n v="1"/>
    <n v="12"/>
    <n v="5"/>
    <n v="35.282587463259901"/>
    <n v="7"/>
    <n v="78"/>
    <n v="99"/>
    <n v="2"/>
    <n v="0"/>
    <s v="C755"/>
    <s v="Female"/>
    <s v="Bachelor's Type 1"/>
    <s v="Senior Level"/>
    <s v="Low"/>
    <s v="Advanced"/>
    <s v="Strong"/>
    <x v="1"/>
    <n v="60"/>
    <s v="Developing"/>
    <x v="0"/>
    <s v="Interview Preparation"/>
    <s v="Improve interview preparation and communication"/>
  </r>
  <r>
    <n v="49"/>
    <n v="0"/>
    <n v="1"/>
    <n v="14"/>
    <n v="5"/>
    <n v="12.3138667071903"/>
    <n v="2"/>
    <n v="17"/>
    <n v="93"/>
    <n v="1"/>
    <n v="1"/>
    <s v="C756"/>
    <s v="Male"/>
    <s v="Bachelor's Type 1"/>
    <s v="Senior Level"/>
    <s v="Low"/>
    <s v="Beginner"/>
    <s v="Strong"/>
    <x v="0"/>
    <n v="41"/>
    <s v="Needs Improvement"/>
    <x v="0"/>
    <s v="Interview Preparation"/>
    <s v="Improve interview preparation and communication"/>
  </r>
  <r>
    <n v="24"/>
    <n v="0"/>
    <n v="2"/>
    <n v="10"/>
    <n v="1"/>
    <n v="7.59034149483396"/>
    <n v="11"/>
    <n v="100"/>
    <n v="24"/>
    <n v="2"/>
    <n v="0"/>
    <s v="C757"/>
    <s v="Male"/>
    <s v="Bachelor's Type 2"/>
    <s v="Senior Level"/>
    <s v="Low"/>
    <s v="Advanced"/>
    <s v="Needs Improvement"/>
    <x v="1"/>
    <n v="51"/>
    <s v="Developing"/>
    <x v="1"/>
    <s v="Interview Preparation"/>
    <s v="Improve interview preparation and communication"/>
  </r>
  <r>
    <n v="31"/>
    <n v="1"/>
    <n v="4"/>
    <n v="15"/>
    <n v="2"/>
    <n v="45.352137222347999"/>
    <n v="83"/>
    <n v="61"/>
    <n v="65"/>
    <n v="2"/>
    <n v="1"/>
    <s v="C758"/>
    <s v="Female"/>
    <s v="PhD"/>
    <s v="Senior Level"/>
    <s v="Strong"/>
    <s v="Intermediate"/>
    <s v="Good"/>
    <x v="0"/>
    <n v="76"/>
    <s v="Job Ready"/>
    <x v="2"/>
    <s v="Technical Skills"/>
    <s v="Strengthen technical skills and practical knowledge"/>
  </r>
  <r>
    <n v="36"/>
    <n v="1"/>
    <n v="2"/>
    <n v="12"/>
    <n v="1"/>
    <n v="14.751238624389799"/>
    <n v="15"/>
    <n v="26"/>
    <n v="99"/>
    <n v="2"/>
    <n v="0"/>
    <s v="C759"/>
    <s v="Female"/>
    <s v="Bachelor's Type 2"/>
    <s v="Senior Level"/>
    <s v="Low"/>
    <s v="Beginner"/>
    <s v="Strong"/>
    <x v="1"/>
    <n v="47"/>
    <s v="Needs Improvement"/>
    <x v="0"/>
    <s v="Interview Preparation"/>
    <s v="Improve interview preparation and communication"/>
  </r>
  <r>
    <n v="42"/>
    <n v="0"/>
    <n v="2"/>
    <n v="9"/>
    <n v="1"/>
    <n v="12.180630989633199"/>
    <n v="77"/>
    <n v="34"/>
    <n v="17"/>
    <n v="1"/>
    <n v="1"/>
    <s v="C760"/>
    <s v="Male"/>
    <s v="Bachelor's Type 2"/>
    <s v="Senior Level"/>
    <s v="Strong"/>
    <s v="Beginner"/>
    <s v="Needs Improvement"/>
    <x v="0"/>
    <n v="48"/>
    <s v="Needs Improvement"/>
    <x v="2"/>
    <s v="Personality &amp; Communication"/>
    <s v="Work on communication and personality development"/>
  </r>
  <r>
    <n v="32"/>
    <n v="0"/>
    <n v="2"/>
    <n v="2"/>
    <n v="5"/>
    <n v="43.854846980495701"/>
    <n v="79"/>
    <n v="44"/>
    <n v="4"/>
    <n v="3"/>
    <n v="0"/>
    <s v="C761"/>
    <s v="Male"/>
    <s v="Bachelor's Type 2"/>
    <s v="Entry Level"/>
    <s v="Strong"/>
    <s v="Beginner"/>
    <s v="Needs Improvement"/>
    <x v="1"/>
    <n v="42"/>
    <s v="Needs Improvement"/>
    <x v="2"/>
    <s v="Personality &amp; Communication"/>
    <s v="Work on communication and personality development"/>
  </r>
  <r>
    <n v="42"/>
    <n v="0"/>
    <n v="2"/>
    <n v="12"/>
    <n v="4"/>
    <n v="41.855354958337998"/>
    <n v="58"/>
    <n v="34"/>
    <n v="18"/>
    <n v="1"/>
    <n v="0"/>
    <s v="C762"/>
    <s v="Male"/>
    <s v="Bachelor's Type 2"/>
    <s v="Senior Level"/>
    <s v="Average"/>
    <s v="Beginner"/>
    <s v="Needs Improvement"/>
    <x v="1"/>
    <n v="46"/>
    <s v="Needs Improvement"/>
    <x v="2"/>
    <s v="Personality &amp; Communication"/>
    <s v="Work on communication and personality development"/>
  </r>
  <r>
    <n v="44"/>
    <n v="0"/>
    <n v="2"/>
    <n v="10"/>
    <n v="1"/>
    <n v="23.417323526231598"/>
    <n v="48"/>
    <n v="27"/>
    <n v="41"/>
    <n v="2"/>
    <n v="0"/>
    <s v="C763"/>
    <s v="Male"/>
    <s v="Bachelor's Type 2"/>
    <s v="Senior Level"/>
    <s v="Low"/>
    <s v="Beginner"/>
    <s v="Needs Improvement"/>
    <x v="1"/>
    <n v="43"/>
    <s v="Needs Improvement"/>
    <x v="2"/>
    <s v="Technical Skills"/>
    <s v="Strengthen technical skills and practical knowledge"/>
  </r>
  <r>
    <n v="22"/>
    <n v="1"/>
    <n v="2"/>
    <n v="2"/>
    <n v="2"/>
    <n v="25.461943071388699"/>
    <n v="62"/>
    <n v="8"/>
    <n v="17"/>
    <n v="2"/>
    <n v="0"/>
    <s v="C764"/>
    <s v="Female"/>
    <s v="Bachelor's Type 2"/>
    <s v="Entry Level"/>
    <s v="Average"/>
    <s v="Beginner"/>
    <s v="Needs Improvement"/>
    <x v="1"/>
    <n v="29"/>
    <s v="Needs Improvement"/>
    <x v="2"/>
    <s v="Technical Skills"/>
    <s v="Strengthen technical skills and practical knowledge"/>
  </r>
  <r>
    <n v="28"/>
    <n v="0"/>
    <n v="2"/>
    <n v="14"/>
    <n v="3"/>
    <n v="11.887435241701001"/>
    <n v="61"/>
    <n v="75"/>
    <n v="31"/>
    <n v="2"/>
    <n v="0"/>
    <s v="C765"/>
    <s v="Male"/>
    <s v="Bachelor's Type 2"/>
    <s v="Senior Level"/>
    <s v="Average"/>
    <s v="Advanced"/>
    <s v="Needs Improvement"/>
    <x v="1"/>
    <n v="64"/>
    <s v="Developing"/>
    <x v="1"/>
    <s v="Personality &amp; Communication"/>
    <s v="Work on communication and personality development"/>
  </r>
  <r>
    <n v="49"/>
    <n v="0"/>
    <n v="2"/>
    <n v="14"/>
    <n v="1"/>
    <n v="4.9150835239778701"/>
    <n v="48"/>
    <n v="14"/>
    <n v="20"/>
    <n v="2"/>
    <n v="0"/>
    <s v="C766"/>
    <s v="Male"/>
    <s v="Bachelor's Type 2"/>
    <s v="Senior Level"/>
    <s v="Low"/>
    <s v="Beginner"/>
    <s v="Needs Improvement"/>
    <x v="1"/>
    <n v="39"/>
    <s v="Needs Improvement"/>
    <x v="2"/>
    <s v="Technical Skills"/>
    <s v="Strengthen technical skills and practical knowledge"/>
  </r>
  <r>
    <n v="36"/>
    <n v="0"/>
    <n v="2"/>
    <n v="15"/>
    <n v="1"/>
    <n v="29.671591267783"/>
    <n v="50"/>
    <n v="20"/>
    <n v="9"/>
    <n v="1"/>
    <n v="0"/>
    <s v="C767"/>
    <s v="Male"/>
    <s v="Bachelor's Type 2"/>
    <s v="Senior Level"/>
    <s v="Average"/>
    <s v="Beginner"/>
    <s v="Needs Improvement"/>
    <x v="1"/>
    <n v="40"/>
    <s v="Needs Improvement"/>
    <x v="2"/>
    <s v="Personality &amp; Communication"/>
    <s v="Work on communication and personality development"/>
  </r>
  <r>
    <n v="36"/>
    <n v="0"/>
    <n v="2"/>
    <n v="12"/>
    <n v="2"/>
    <n v="5.9172460795106501"/>
    <n v="32"/>
    <n v="51"/>
    <n v="36"/>
    <n v="2"/>
    <n v="0"/>
    <s v="C768"/>
    <s v="Male"/>
    <s v="Bachelor's Type 2"/>
    <s v="Senior Level"/>
    <s v="Low"/>
    <s v="Intermediate"/>
    <s v="Needs Improvement"/>
    <x v="1"/>
    <n v="47"/>
    <s v="Needs Improvement"/>
    <x v="1"/>
    <s v="Interview Preparation"/>
    <s v="Improve interview preparation and communication"/>
  </r>
  <r>
    <n v="49"/>
    <n v="1"/>
    <n v="3"/>
    <n v="12"/>
    <n v="4"/>
    <n v="23.4637273478324"/>
    <n v="29"/>
    <n v="34"/>
    <n v="48"/>
    <n v="1"/>
    <n v="1"/>
    <s v="C769"/>
    <s v="Female"/>
    <s v="Master's"/>
    <s v="Senior Level"/>
    <s v="Low"/>
    <s v="Beginner"/>
    <s v="Needs Improvement"/>
    <x v="0"/>
    <n v="44"/>
    <s v="Needs Improvement"/>
    <x v="0"/>
    <s v="Interview Preparation"/>
    <s v="Improve interview preparation and communication"/>
  </r>
  <r>
    <n v="39"/>
    <n v="1"/>
    <n v="1"/>
    <n v="0"/>
    <n v="1"/>
    <n v="48.024859925650503"/>
    <n v="58"/>
    <n v="96"/>
    <n v="85"/>
    <n v="1"/>
    <n v="1"/>
    <s v="C770"/>
    <s v="Female"/>
    <s v="Bachelor's Type 1"/>
    <s v="Entry Level"/>
    <s v="Average"/>
    <s v="Advanced"/>
    <s v="Strong"/>
    <x v="0"/>
    <n v="66"/>
    <s v="Developing"/>
    <x v="1"/>
    <s v="Interview Preparation"/>
    <s v="Improve interview preparation and communication"/>
  </r>
  <r>
    <n v="35"/>
    <n v="1"/>
    <n v="3"/>
    <n v="2"/>
    <n v="1"/>
    <n v="48.641719458529202"/>
    <n v="75"/>
    <n v="50"/>
    <n v="12"/>
    <n v="2"/>
    <n v="0"/>
    <s v="C771"/>
    <s v="Female"/>
    <s v="Master's"/>
    <s v="Entry Level"/>
    <s v="Strong"/>
    <s v="Intermediate"/>
    <s v="Needs Improvement"/>
    <x v="1"/>
    <n v="46"/>
    <s v="Needs Improvement"/>
    <x v="2"/>
    <s v="Personality &amp; Communication"/>
    <s v="Work on communication and personality development"/>
  </r>
  <r>
    <n v="44"/>
    <n v="0"/>
    <n v="3"/>
    <n v="3"/>
    <n v="4"/>
    <n v="12.9666143273679"/>
    <n v="14"/>
    <n v="82"/>
    <n v="54"/>
    <n v="2"/>
    <n v="0"/>
    <s v="C772"/>
    <s v="Male"/>
    <s v="Master's"/>
    <s v="Mid Level"/>
    <s v="Low"/>
    <s v="Advanced"/>
    <s v="Good"/>
    <x v="1"/>
    <n v="46"/>
    <s v="Needs Improvement"/>
    <x v="1"/>
    <s v="Interview Preparation"/>
    <s v="Improve interview preparation and communication"/>
  </r>
  <r>
    <n v="41"/>
    <n v="0"/>
    <n v="2"/>
    <n v="10"/>
    <n v="2"/>
    <n v="32.205671002282699"/>
    <n v="81"/>
    <n v="54"/>
    <n v="16"/>
    <n v="2"/>
    <n v="0"/>
    <s v="C773"/>
    <s v="Male"/>
    <s v="Bachelor's Type 2"/>
    <s v="Senior Level"/>
    <s v="Strong"/>
    <s v="Intermediate"/>
    <s v="Needs Improvement"/>
    <x v="1"/>
    <n v="56"/>
    <s v="Developing"/>
    <x v="2"/>
    <s v="Personality &amp; Communication"/>
    <s v="Work on communication and personality development"/>
  </r>
  <r>
    <n v="32"/>
    <n v="1"/>
    <n v="2"/>
    <n v="10"/>
    <n v="1"/>
    <n v="24.703813205392802"/>
    <n v="91"/>
    <n v="86"/>
    <n v="8"/>
    <n v="2"/>
    <n v="0"/>
    <s v="C774"/>
    <s v="Female"/>
    <s v="Bachelor's Type 2"/>
    <s v="Senior Level"/>
    <s v="Strong"/>
    <s v="Advanced"/>
    <s v="Needs Improvement"/>
    <x v="1"/>
    <n v="67"/>
    <s v="Developing"/>
    <x v="2"/>
    <s v="Personality &amp; Communication"/>
    <s v="Work on communication and personality development"/>
  </r>
  <r>
    <n v="46"/>
    <n v="0"/>
    <n v="2"/>
    <n v="4"/>
    <n v="4"/>
    <n v="44.784256379305297"/>
    <n v="22"/>
    <n v="76"/>
    <n v="87"/>
    <n v="3"/>
    <n v="0"/>
    <s v="C775"/>
    <s v="Male"/>
    <s v="Bachelor's Type 2"/>
    <s v="Mid Level"/>
    <s v="Low"/>
    <s v="Advanced"/>
    <s v="Strong"/>
    <x v="1"/>
    <n v="53"/>
    <s v="Developing"/>
    <x v="0"/>
    <s v="Interview Preparation"/>
    <s v="Improve interview preparation and communication"/>
  </r>
  <r>
    <n v="38"/>
    <n v="0"/>
    <n v="2"/>
    <n v="2"/>
    <n v="1"/>
    <n v="14.571543213802601"/>
    <n v="77"/>
    <n v="43"/>
    <n v="43"/>
    <n v="3"/>
    <n v="0"/>
    <s v="C776"/>
    <s v="Male"/>
    <s v="Bachelor's Type 2"/>
    <s v="Entry Level"/>
    <s v="Strong"/>
    <s v="Beginner"/>
    <s v="Needs Improvement"/>
    <x v="1"/>
    <n v="49"/>
    <s v="Needs Improvement"/>
    <x v="2"/>
    <s v="Technical Skills"/>
    <s v="Strengthen technical skills and practical knowledge"/>
  </r>
  <r>
    <n v="36"/>
    <n v="1"/>
    <n v="2"/>
    <n v="5"/>
    <n v="3"/>
    <n v="1.18512034162084"/>
    <n v="93"/>
    <n v="64"/>
    <n v="77"/>
    <n v="2"/>
    <n v="0"/>
    <s v="C777"/>
    <s v="Female"/>
    <s v="Bachelor's Type 2"/>
    <s v="Mid Level"/>
    <s v="Strong"/>
    <s v="Intermediate"/>
    <s v="Strong"/>
    <x v="1"/>
    <n v="70"/>
    <s v="Developing"/>
    <x v="2"/>
    <s v="Technical Skills"/>
    <s v="Strengthen technical skills and practical knowledge"/>
  </r>
  <r>
    <n v="23"/>
    <n v="1"/>
    <n v="1"/>
    <n v="10"/>
    <n v="5"/>
    <n v="9.1280602965707498"/>
    <n v="96"/>
    <n v="92"/>
    <n v="45"/>
    <n v="1"/>
    <n v="1"/>
    <s v="C778"/>
    <s v="Female"/>
    <s v="Bachelor's Type 1"/>
    <s v="Senior Level"/>
    <s v="Strong"/>
    <s v="Advanced"/>
    <s v="Needs Improvement"/>
    <x v="0"/>
    <n v="78"/>
    <s v="Job Ready"/>
    <x v="2"/>
    <s v="Personality &amp; Communication"/>
    <s v="Work on communication and personality development"/>
  </r>
  <r>
    <n v="31"/>
    <n v="1"/>
    <n v="2"/>
    <n v="13"/>
    <n v="3"/>
    <n v="18.476140058469898"/>
    <n v="44"/>
    <n v="87"/>
    <n v="7"/>
    <n v="2"/>
    <n v="0"/>
    <s v="C779"/>
    <s v="Female"/>
    <s v="Bachelor's Type 2"/>
    <s v="Senior Level"/>
    <s v="Low"/>
    <s v="Advanced"/>
    <s v="Needs Improvement"/>
    <x v="1"/>
    <n v="56"/>
    <s v="Developing"/>
    <x v="1"/>
    <s v="Personality &amp; Communication"/>
    <s v="Work on communication and personality development"/>
  </r>
  <r>
    <n v="48"/>
    <n v="1"/>
    <n v="3"/>
    <n v="14"/>
    <n v="1"/>
    <n v="16.786056488524402"/>
    <n v="61"/>
    <n v="79"/>
    <n v="36"/>
    <n v="1"/>
    <n v="1"/>
    <s v="C780"/>
    <s v="Female"/>
    <s v="Master's"/>
    <s v="Senior Level"/>
    <s v="Average"/>
    <s v="Advanced"/>
    <s v="Needs Improvement"/>
    <x v="0"/>
    <n v="67"/>
    <s v="Developing"/>
    <x v="1"/>
    <s v="Personality &amp; Communication"/>
    <s v="Work on communication and personality development"/>
  </r>
  <r>
    <n v="28"/>
    <n v="0"/>
    <n v="2"/>
    <n v="11"/>
    <n v="2"/>
    <n v="40.568145956144299"/>
    <n v="78"/>
    <n v="24"/>
    <n v="18"/>
    <n v="2"/>
    <n v="0"/>
    <s v="C781"/>
    <s v="Male"/>
    <s v="Bachelor's Type 2"/>
    <s v="Senior Level"/>
    <s v="Strong"/>
    <s v="Beginner"/>
    <s v="Needs Improvement"/>
    <x v="1"/>
    <n v="48"/>
    <s v="Needs Improvement"/>
    <x v="2"/>
    <s v="Personality &amp; Communication"/>
    <s v="Work on communication and personality development"/>
  </r>
  <r>
    <n v="38"/>
    <n v="0"/>
    <n v="3"/>
    <n v="15"/>
    <n v="5"/>
    <n v="35.028033306941801"/>
    <n v="70"/>
    <n v="86"/>
    <n v="62"/>
    <n v="2"/>
    <n v="1"/>
    <s v="C782"/>
    <s v="Male"/>
    <s v="Master's"/>
    <s v="Senior Level"/>
    <s v="Average"/>
    <s v="Advanced"/>
    <s v="Good"/>
    <x v="0"/>
    <n v="78"/>
    <s v="Job Ready"/>
    <x v="1"/>
    <s v="Personality &amp; Communication"/>
    <s v="Work on communication and personality development"/>
  </r>
  <r>
    <n v="31"/>
    <n v="1"/>
    <n v="2"/>
    <n v="4"/>
    <n v="3"/>
    <n v="15.977815980744801"/>
    <n v="14"/>
    <n v="91"/>
    <n v="91"/>
    <n v="2"/>
    <n v="0"/>
    <s v="C783"/>
    <s v="Female"/>
    <s v="Bachelor's Type 2"/>
    <s v="Mid Level"/>
    <s v="Low"/>
    <s v="Advanced"/>
    <s v="Strong"/>
    <x v="1"/>
    <n v="56"/>
    <s v="Developing"/>
    <x v="1"/>
    <s v="Interview Preparation"/>
    <s v="Improve interview preparation and communication"/>
  </r>
  <r>
    <n v="28"/>
    <n v="0"/>
    <n v="3"/>
    <n v="2"/>
    <n v="4"/>
    <n v="23.8871908583106"/>
    <n v="45"/>
    <n v="46"/>
    <n v="45"/>
    <n v="2"/>
    <n v="0"/>
    <s v="C784"/>
    <s v="Male"/>
    <s v="Master's"/>
    <s v="Entry Level"/>
    <s v="Low"/>
    <s v="Beginner"/>
    <s v="Needs Improvement"/>
    <x v="1"/>
    <n v="42"/>
    <s v="Needs Improvement"/>
    <x v="1"/>
    <s v="Interview Preparation"/>
    <s v="Improve interview preparation and communication"/>
  </r>
  <r>
    <n v="26"/>
    <n v="1"/>
    <n v="2"/>
    <n v="5"/>
    <n v="2"/>
    <n v="5.7779551979167598"/>
    <n v="63"/>
    <n v="79"/>
    <n v="93"/>
    <n v="1"/>
    <n v="1"/>
    <s v="C785"/>
    <s v="Female"/>
    <s v="Bachelor's Type 2"/>
    <s v="Mid Level"/>
    <s v="Average"/>
    <s v="Advanced"/>
    <s v="Strong"/>
    <x v="0"/>
    <n v="69"/>
    <s v="Developing"/>
    <x v="0"/>
    <s v="Interview Preparation"/>
    <s v="Improve interview preparation and communication"/>
  </r>
  <r>
    <n v="47"/>
    <n v="1"/>
    <n v="1"/>
    <n v="5"/>
    <n v="3"/>
    <n v="45.907322241004998"/>
    <n v="45"/>
    <n v="55"/>
    <n v="70"/>
    <n v="2"/>
    <n v="0"/>
    <s v="C786"/>
    <s v="Female"/>
    <s v="Bachelor's Type 1"/>
    <s v="Mid Level"/>
    <s v="Low"/>
    <s v="Intermediate"/>
    <s v="Good"/>
    <x v="1"/>
    <n v="52"/>
    <s v="Developing"/>
    <x v="0"/>
    <s v="Interview Preparation"/>
    <s v="Improve interview preparation and communication"/>
  </r>
  <r>
    <n v="33"/>
    <n v="0"/>
    <n v="2"/>
    <n v="14"/>
    <n v="4"/>
    <n v="47.771241222426703"/>
    <n v="55"/>
    <n v="37"/>
    <n v="25"/>
    <n v="2"/>
    <n v="0"/>
    <s v="C787"/>
    <s v="Male"/>
    <s v="Bachelor's Type 2"/>
    <s v="Senior Level"/>
    <s v="Average"/>
    <s v="Beginner"/>
    <s v="Needs Improvement"/>
    <x v="1"/>
    <n v="49"/>
    <s v="Needs Improvement"/>
    <x v="2"/>
    <s v="Personality &amp; Communication"/>
    <s v="Work on communication and personality development"/>
  </r>
  <r>
    <n v="50"/>
    <n v="1"/>
    <n v="1"/>
    <n v="13"/>
    <n v="1"/>
    <n v="49.990176769046897"/>
    <n v="43"/>
    <n v="10"/>
    <n v="45"/>
    <n v="2"/>
    <n v="0"/>
    <s v="C788"/>
    <s v="Female"/>
    <s v="Bachelor's Type 1"/>
    <s v="Senior Level"/>
    <s v="Low"/>
    <s v="Beginner"/>
    <s v="Needs Improvement"/>
    <x v="1"/>
    <n v="40"/>
    <s v="Needs Improvement"/>
    <x v="0"/>
    <s v="Technical Skills"/>
    <s v="Strengthen technical skills and practical knowledge"/>
  </r>
  <r>
    <n v="39"/>
    <n v="0"/>
    <n v="2"/>
    <n v="7"/>
    <n v="4"/>
    <n v="44.427641539291798"/>
    <n v="74"/>
    <n v="66"/>
    <n v="45"/>
    <n v="2"/>
    <n v="0"/>
    <s v="C789"/>
    <s v="Male"/>
    <s v="Bachelor's Type 2"/>
    <s v="Senior Level"/>
    <s v="Average"/>
    <s v="Intermediate"/>
    <s v="Needs Improvement"/>
    <x v="1"/>
    <n v="61"/>
    <s v="Developing"/>
    <x v="2"/>
    <s v="Personality &amp; Communication"/>
    <s v="Work on communication and personality development"/>
  </r>
  <r>
    <n v="38"/>
    <n v="0"/>
    <n v="4"/>
    <n v="1"/>
    <n v="3"/>
    <n v="9.6980443848112703"/>
    <n v="28"/>
    <n v="14"/>
    <n v="74"/>
    <n v="2"/>
    <n v="0"/>
    <s v="C790"/>
    <s v="Male"/>
    <s v="PhD"/>
    <s v="Entry Level"/>
    <s v="Low"/>
    <s v="Beginner"/>
    <s v="Good"/>
    <x v="1"/>
    <n v="33"/>
    <s v="Needs Improvement"/>
    <x v="0"/>
    <s v="Technical Skills"/>
    <s v="Strengthen technical skills and practical knowledge"/>
  </r>
  <r>
    <n v="45"/>
    <n v="0"/>
    <n v="1"/>
    <n v="0"/>
    <n v="3"/>
    <n v="3.30982416008144"/>
    <n v="94"/>
    <n v="0"/>
    <n v="13"/>
    <n v="2"/>
    <n v="0"/>
    <s v="C791"/>
    <s v="Male"/>
    <s v="Bachelor's Type 1"/>
    <s v="Entry Level"/>
    <s v="Strong"/>
    <s v="Beginner"/>
    <s v="Needs Improvement"/>
    <x v="1"/>
    <n v="33"/>
    <s v="Needs Improvement"/>
    <x v="2"/>
    <s v="Technical Skills"/>
    <s v="Strengthen technical skills and practical knowledge"/>
  </r>
  <r>
    <n v="34"/>
    <n v="0"/>
    <n v="2"/>
    <n v="15"/>
    <n v="1"/>
    <n v="29.979836370633699"/>
    <n v="61"/>
    <n v="6"/>
    <n v="84"/>
    <n v="2"/>
    <n v="0"/>
    <s v="C792"/>
    <s v="Male"/>
    <s v="Bachelor's Type 2"/>
    <s v="Senior Level"/>
    <s v="Average"/>
    <s v="Beginner"/>
    <s v="Strong"/>
    <x v="1"/>
    <n v="54"/>
    <s v="Developing"/>
    <x v="0"/>
    <s v="Technical Skills"/>
    <s v="Strengthen technical skills and practical knowledge"/>
  </r>
  <r>
    <n v="35"/>
    <n v="1"/>
    <n v="3"/>
    <n v="3"/>
    <n v="4"/>
    <n v="46.630251344155504"/>
    <n v="88"/>
    <n v="0"/>
    <n v="62"/>
    <n v="1"/>
    <n v="1"/>
    <s v="C793"/>
    <s v="Female"/>
    <s v="Master's"/>
    <s v="Mid Level"/>
    <s v="Strong"/>
    <s v="Beginner"/>
    <s v="Good"/>
    <x v="0"/>
    <n v="46"/>
    <s v="Needs Improvement"/>
    <x v="2"/>
    <s v="Technical Skills"/>
    <s v="Strengthen technical skills and practical knowledge"/>
  </r>
  <r>
    <n v="40"/>
    <n v="0"/>
    <n v="3"/>
    <n v="15"/>
    <n v="4"/>
    <n v="9.8675680829871393"/>
    <n v="51"/>
    <n v="48"/>
    <n v="71"/>
    <n v="1"/>
    <n v="1"/>
    <s v="C794"/>
    <s v="Male"/>
    <s v="Master's"/>
    <s v="Senior Level"/>
    <s v="Average"/>
    <s v="Beginner"/>
    <s v="Good"/>
    <x v="0"/>
    <n v="63"/>
    <s v="Developing"/>
    <x v="0"/>
    <s v="Technical Skills"/>
    <s v="Strengthen technical skills and practical knowledge"/>
  </r>
  <r>
    <n v="24"/>
    <n v="1"/>
    <n v="2"/>
    <n v="6"/>
    <n v="1"/>
    <n v="1.3521457312070899"/>
    <n v="53"/>
    <n v="95"/>
    <n v="2"/>
    <n v="2"/>
    <n v="0"/>
    <s v="C795"/>
    <s v="Female"/>
    <s v="Bachelor's Type 2"/>
    <s v="Mid Level"/>
    <s v="Average"/>
    <s v="Advanced"/>
    <s v="Needs Improvement"/>
    <x v="1"/>
    <n v="53"/>
    <s v="Developing"/>
    <x v="1"/>
    <s v="Personality &amp; Communication"/>
    <s v="Work on communication and personality development"/>
  </r>
  <r>
    <n v="22"/>
    <n v="1"/>
    <n v="2"/>
    <n v="14"/>
    <n v="4"/>
    <n v="41.274802301612198"/>
    <n v="87"/>
    <n v="72"/>
    <n v="27"/>
    <n v="1"/>
    <n v="1"/>
    <s v="C796"/>
    <s v="Female"/>
    <s v="Bachelor's Type 2"/>
    <s v="Senior Level"/>
    <s v="Strong"/>
    <s v="Intermediate"/>
    <s v="Needs Improvement"/>
    <x v="0"/>
    <n v="70"/>
    <s v="Developing"/>
    <x v="2"/>
    <s v="Personality &amp; Communication"/>
    <s v="Work on communication and personality development"/>
  </r>
  <r>
    <n v="31"/>
    <n v="1"/>
    <n v="2"/>
    <n v="15"/>
    <n v="1"/>
    <n v="4.8397842143367003"/>
    <n v="56"/>
    <n v="28"/>
    <n v="28"/>
    <n v="2"/>
    <n v="0"/>
    <s v="C797"/>
    <s v="Female"/>
    <s v="Bachelor's Type 2"/>
    <s v="Senior Level"/>
    <s v="Average"/>
    <s v="Beginner"/>
    <s v="Needs Improvement"/>
    <x v="1"/>
    <n v="48"/>
    <s v="Needs Improvement"/>
    <x v="2"/>
    <s v="Technical Skills"/>
    <s v="Strengthen technical skills and practical knowledge"/>
  </r>
  <r>
    <n v="44"/>
    <n v="1"/>
    <n v="2"/>
    <n v="10"/>
    <n v="2"/>
    <n v="21.6853015955015"/>
    <n v="82"/>
    <n v="25"/>
    <n v="86"/>
    <n v="2"/>
    <n v="0"/>
    <s v="C798"/>
    <s v="Female"/>
    <s v="Bachelor's Type 2"/>
    <s v="Senior Level"/>
    <s v="Strong"/>
    <s v="Beginner"/>
    <s v="Strong"/>
    <x v="1"/>
    <n v="62"/>
    <s v="Developing"/>
    <x v="0"/>
    <s v="Technical Skills"/>
    <s v="Strengthen technical skills and practical knowledge"/>
  </r>
  <r>
    <n v="39"/>
    <n v="0"/>
    <n v="3"/>
    <n v="9"/>
    <n v="3"/>
    <n v="34.944366859439199"/>
    <n v="65"/>
    <n v="86"/>
    <n v="17"/>
    <n v="3"/>
    <n v="0"/>
    <s v="C799"/>
    <s v="Male"/>
    <s v="Master's"/>
    <s v="Senior Level"/>
    <s v="Average"/>
    <s v="Advanced"/>
    <s v="Needs Improvement"/>
    <x v="1"/>
    <n v="61"/>
    <s v="Developing"/>
    <x v="1"/>
    <s v="Personality &amp; Communication"/>
    <s v="Work on communication and personality development"/>
  </r>
  <r>
    <n v="46"/>
    <n v="0"/>
    <n v="4"/>
    <n v="2"/>
    <n v="2"/>
    <n v="12.839879272809"/>
    <n v="21"/>
    <n v="44"/>
    <n v="34"/>
    <n v="3"/>
    <n v="0"/>
    <s v="C800"/>
    <s v="Male"/>
    <s v="PhD"/>
    <s v="Entry Level"/>
    <s v="Low"/>
    <s v="Beginner"/>
    <s v="Needs Improvement"/>
    <x v="1"/>
    <n v="33"/>
    <s v="Needs Improvement"/>
    <x v="1"/>
    <s v="Interview Preparation"/>
    <s v="Improve interview preparation and communication"/>
  </r>
  <r>
    <n v="40"/>
    <n v="1"/>
    <n v="3"/>
    <n v="2"/>
    <n v="5"/>
    <n v="5.1981281723363297"/>
    <n v="19"/>
    <n v="92"/>
    <n v="76"/>
    <n v="1"/>
    <n v="1"/>
    <s v="C801"/>
    <s v="Female"/>
    <s v="Master's"/>
    <s v="Entry Level"/>
    <s v="Low"/>
    <s v="Advanced"/>
    <s v="Strong"/>
    <x v="0"/>
    <n v="54"/>
    <s v="Developing"/>
    <x v="1"/>
    <s v="Interview Preparation"/>
    <s v="Improve interview preparation and communication"/>
  </r>
  <r>
    <n v="23"/>
    <n v="1"/>
    <n v="3"/>
    <n v="15"/>
    <n v="5"/>
    <n v="39.501061422791402"/>
    <n v="32"/>
    <n v="96"/>
    <n v="75"/>
    <n v="3"/>
    <n v="1"/>
    <s v="C802"/>
    <s v="Female"/>
    <s v="Master's"/>
    <s v="Senior Level"/>
    <s v="Low"/>
    <s v="Advanced"/>
    <s v="Strong"/>
    <x v="0"/>
    <n v="72"/>
    <s v="Developing"/>
    <x v="1"/>
    <s v="Interview Preparation"/>
    <s v="Improve interview preparation and communication"/>
  </r>
  <r>
    <n v="40"/>
    <n v="0"/>
    <n v="1"/>
    <n v="4"/>
    <n v="5"/>
    <n v="32.508754244351998"/>
    <n v="71"/>
    <n v="70"/>
    <n v="46"/>
    <n v="2"/>
    <n v="0"/>
    <s v="C803"/>
    <s v="Male"/>
    <s v="Bachelor's Type 1"/>
    <s v="Mid Level"/>
    <s v="Average"/>
    <s v="Intermediate"/>
    <s v="Needs Improvement"/>
    <x v="1"/>
    <n v="58"/>
    <s v="Developing"/>
    <x v="2"/>
    <s v="Personality &amp; Communication"/>
    <s v="Work on communication and personality development"/>
  </r>
  <r>
    <n v="42"/>
    <n v="1"/>
    <n v="3"/>
    <n v="4"/>
    <n v="1"/>
    <n v="50.424524224340203"/>
    <n v="24"/>
    <n v="11"/>
    <n v="4"/>
    <n v="2"/>
    <n v="0"/>
    <s v="C804"/>
    <s v="Female"/>
    <s v="Master's"/>
    <s v="Mid Level"/>
    <s v="Low"/>
    <s v="Beginner"/>
    <s v="Needs Improvement"/>
    <x v="1"/>
    <n v="19"/>
    <s v="Needs Improvement"/>
    <x v="2"/>
    <s v="Personality &amp; Communication"/>
    <s v="Work on communication and personality development"/>
  </r>
  <r>
    <n v="35"/>
    <n v="0"/>
    <n v="3"/>
    <n v="12"/>
    <n v="4"/>
    <n v="18.215401665997899"/>
    <n v="45"/>
    <n v="94"/>
    <n v="74"/>
    <n v="1"/>
    <n v="1"/>
    <s v="C805"/>
    <s v="Male"/>
    <s v="Master's"/>
    <s v="Senior Level"/>
    <s v="Low"/>
    <s v="Advanced"/>
    <s v="Good"/>
    <x v="0"/>
    <n v="72"/>
    <s v="Developing"/>
    <x v="1"/>
    <s v="Interview Preparation"/>
    <s v="Improve interview preparation and communication"/>
  </r>
  <r>
    <n v="44"/>
    <n v="1"/>
    <n v="1"/>
    <n v="9"/>
    <n v="2"/>
    <n v="4.0881193145099797"/>
    <n v="72"/>
    <n v="31"/>
    <n v="58"/>
    <n v="3"/>
    <n v="0"/>
    <s v="C806"/>
    <s v="Female"/>
    <s v="Bachelor's Type 1"/>
    <s v="Senior Level"/>
    <s v="Average"/>
    <s v="Beginner"/>
    <s v="Good"/>
    <x v="1"/>
    <n v="54"/>
    <s v="Developing"/>
    <x v="2"/>
    <s v="Technical Skills"/>
    <s v="Strengthen technical skills and practical knowledge"/>
  </r>
  <r>
    <n v="26"/>
    <n v="0"/>
    <n v="3"/>
    <n v="2"/>
    <n v="2"/>
    <n v="37.717501766764698"/>
    <n v="97"/>
    <n v="19"/>
    <n v="74"/>
    <n v="1"/>
    <n v="1"/>
    <s v="C807"/>
    <s v="Male"/>
    <s v="Master's"/>
    <s v="Entry Level"/>
    <s v="Strong"/>
    <s v="Beginner"/>
    <s v="Good"/>
    <x v="0"/>
    <n v="55"/>
    <s v="Developing"/>
    <x v="2"/>
    <s v="Technical Skills"/>
    <s v="Strengthen technical skills and practical knowledge"/>
  </r>
  <r>
    <n v="32"/>
    <n v="1"/>
    <n v="2"/>
    <n v="8"/>
    <n v="2"/>
    <n v="27.086670942662199"/>
    <n v="56"/>
    <n v="50"/>
    <n v="58"/>
    <n v="3"/>
    <n v="0"/>
    <s v="C808"/>
    <s v="Female"/>
    <s v="Bachelor's Type 2"/>
    <s v="Senior Level"/>
    <s v="Average"/>
    <s v="Intermediate"/>
    <s v="Good"/>
    <x v="1"/>
    <n v="54"/>
    <s v="Developing"/>
    <x v="0"/>
    <s v="Technical Skills"/>
    <s v="Strengthen technical skills and practical knowledge"/>
  </r>
  <r>
    <n v="40"/>
    <n v="1"/>
    <n v="2"/>
    <n v="3"/>
    <n v="2"/>
    <n v="11.6601965694567"/>
    <n v="86"/>
    <n v="80"/>
    <n v="46"/>
    <n v="1"/>
    <n v="1"/>
    <s v="C809"/>
    <s v="Female"/>
    <s v="Bachelor's Type 2"/>
    <s v="Mid Level"/>
    <s v="Strong"/>
    <s v="Advanced"/>
    <s v="Needs Improvement"/>
    <x v="0"/>
    <n v="65"/>
    <s v="Developing"/>
    <x v="2"/>
    <s v="Personality &amp; Communication"/>
    <s v="Work on communication and personality development"/>
  </r>
  <r>
    <n v="29"/>
    <n v="0"/>
    <n v="3"/>
    <n v="12"/>
    <n v="5"/>
    <n v="40.0864494502379"/>
    <n v="4"/>
    <n v="35"/>
    <n v="94"/>
    <n v="2"/>
    <n v="0"/>
    <s v="C810"/>
    <s v="Male"/>
    <s v="Master's"/>
    <s v="Senior Level"/>
    <s v="Low"/>
    <s v="Beginner"/>
    <s v="Strong"/>
    <x v="1"/>
    <n v="46"/>
    <s v="Needs Improvement"/>
    <x v="0"/>
    <s v="Interview Preparation"/>
    <s v="Improve interview preparation and communication"/>
  </r>
  <r>
    <n v="45"/>
    <n v="1"/>
    <n v="2"/>
    <n v="12"/>
    <n v="2"/>
    <n v="11.1877742924971"/>
    <n v="54"/>
    <n v="66"/>
    <n v="94"/>
    <n v="2"/>
    <n v="0"/>
    <s v="C811"/>
    <s v="Female"/>
    <s v="Bachelor's Type 2"/>
    <s v="Senior Level"/>
    <s v="Average"/>
    <s v="Intermediate"/>
    <s v="Strong"/>
    <x v="1"/>
    <n v="69"/>
    <s v="Developing"/>
    <x v="0"/>
    <s v="Interview Preparation"/>
    <s v="Improve interview preparation and communication"/>
  </r>
  <r>
    <n v="26"/>
    <n v="1"/>
    <n v="1"/>
    <n v="14"/>
    <n v="4"/>
    <n v="14.033082741646799"/>
    <n v="60"/>
    <n v="0"/>
    <n v="12"/>
    <n v="1"/>
    <n v="0"/>
    <s v="C812"/>
    <s v="Female"/>
    <s v="Bachelor's Type 1"/>
    <s v="Senior Level"/>
    <s v="Average"/>
    <s v="Beginner"/>
    <s v="Needs Improvement"/>
    <x v="1"/>
    <n v="37"/>
    <s v="Needs Improvement"/>
    <x v="2"/>
    <s v="Technical Skills"/>
    <s v="Strengthen technical skills and practical knowledge"/>
  </r>
  <r>
    <n v="33"/>
    <n v="0"/>
    <n v="2"/>
    <n v="2"/>
    <n v="5"/>
    <n v="5.6264277183359503"/>
    <n v="88"/>
    <n v="26"/>
    <n v="77"/>
    <n v="1"/>
    <n v="1"/>
    <s v="C813"/>
    <s v="Male"/>
    <s v="Bachelor's Type 2"/>
    <s v="Entry Level"/>
    <s v="Strong"/>
    <s v="Beginner"/>
    <s v="Strong"/>
    <x v="0"/>
    <n v="54"/>
    <s v="Developing"/>
    <x v="2"/>
    <s v="Technical Skills"/>
    <s v="Strengthen technical skills and practical knowledge"/>
  </r>
  <r>
    <n v="50"/>
    <n v="1"/>
    <n v="2"/>
    <n v="10"/>
    <n v="2"/>
    <n v="20.9716139515427"/>
    <n v="7"/>
    <n v="39"/>
    <n v="88"/>
    <n v="2"/>
    <n v="0"/>
    <s v="C814"/>
    <s v="Female"/>
    <s v="Bachelor's Type 2"/>
    <s v="Senior Level"/>
    <s v="Low"/>
    <s v="Beginner"/>
    <s v="Strong"/>
    <x v="1"/>
    <n v="44"/>
    <s v="Needs Improvement"/>
    <x v="0"/>
    <s v="Interview Preparation"/>
    <s v="Improve interview preparation and communication"/>
  </r>
  <r>
    <n v="45"/>
    <n v="0"/>
    <n v="4"/>
    <n v="1"/>
    <n v="1"/>
    <n v="21.946461196870899"/>
    <n v="15"/>
    <n v="96"/>
    <n v="32"/>
    <n v="1"/>
    <n v="1"/>
    <s v="C815"/>
    <s v="Male"/>
    <s v="PhD"/>
    <s v="Entry Level"/>
    <s v="Low"/>
    <s v="Advanced"/>
    <s v="Needs Improvement"/>
    <x v="0"/>
    <n v="46"/>
    <s v="Needs Improvement"/>
    <x v="1"/>
    <s v="Interview Preparation"/>
    <s v="Improve interview preparation and communication"/>
  </r>
  <r>
    <n v="24"/>
    <n v="0"/>
    <n v="2"/>
    <n v="9"/>
    <n v="3"/>
    <n v="26.728089517414901"/>
    <n v="47"/>
    <n v="83"/>
    <n v="96"/>
    <n v="2"/>
    <n v="0"/>
    <s v="C816"/>
    <s v="Male"/>
    <s v="Bachelor's Type 2"/>
    <s v="Senior Level"/>
    <s v="Low"/>
    <s v="Advanced"/>
    <s v="Strong"/>
    <x v="1"/>
    <n v="70"/>
    <s v="Developing"/>
    <x v="0"/>
    <s v="Interview Preparation"/>
    <s v="Improve interview preparation and communication"/>
  </r>
  <r>
    <n v="22"/>
    <n v="1"/>
    <n v="2"/>
    <n v="12"/>
    <n v="3"/>
    <n v="36.448213356188802"/>
    <n v="60"/>
    <n v="13"/>
    <n v="61"/>
    <n v="2"/>
    <n v="0"/>
    <s v="C817"/>
    <s v="Female"/>
    <s v="Bachelor's Type 2"/>
    <s v="Senior Level"/>
    <s v="Average"/>
    <s v="Beginner"/>
    <s v="Good"/>
    <x v="1"/>
    <n v="49"/>
    <s v="Needs Improvement"/>
    <x v="0"/>
    <s v="Technical Skills"/>
    <s v="Strengthen technical skills and practical knowledge"/>
  </r>
  <r>
    <n v="42"/>
    <n v="1"/>
    <n v="3"/>
    <n v="10"/>
    <n v="3"/>
    <n v="46.3050464340212"/>
    <n v="14"/>
    <n v="99"/>
    <n v="78"/>
    <n v="3"/>
    <n v="1"/>
    <s v="C818"/>
    <s v="Female"/>
    <s v="Master's"/>
    <s v="Senior Level"/>
    <s v="Low"/>
    <s v="Advanced"/>
    <s v="Strong"/>
    <x v="0"/>
    <n v="63"/>
    <s v="Developing"/>
    <x v="1"/>
    <s v="Interview Preparation"/>
    <s v="Improve interview preparation and communication"/>
  </r>
  <r>
    <n v="48"/>
    <n v="1"/>
    <n v="2"/>
    <n v="8"/>
    <n v="5"/>
    <n v="7.8867049443904298"/>
    <n v="64"/>
    <n v="68"/>
    <n v="15"/>
    <n v="2"/>
    <n v="0"/>
    <s v="C819"/>
    <s v="Female"/>
    <s v="Bachelor's Type 2"/>
    <s v="Senior Level"/>
    <s v="Average"/>
    <s v="Intermediate"/>
    <s v="Needs Improvement"/>
    <x v="1"/>
    <n v="53"/>
    <s v="Developing"/>
    <x v="1"/>
    <s v="Personality &amp; Communication"/>
    <s v="Work on communication and personality development"/>
  </r>
  <r>
    <n v="30"/>
    <n v="1"/>
    <n v="2"/>
    <n v="3"/>
    <n v="2"/>
    <n v="3.7174049174328498"/>
    <n v="21"/>
    <n v="86"/>
    <n v="43"/>
    <n v="1"/>
    <n v="0"/>
    <s v="C820"/>
    <s v="Female"/>
    <s v="Bachelor's Type 2"/>
    <s v="Mid Level"/>
    <s v="Low"/>
    <s v="Advanced"/>
    <s v="Needs Improvement"/>
    <x v="1"/>
    <n v="46"/>
    <s v="Needs Improvement"/>
    <x v="1"/>
    <s v="Interview Preparation"/>
    <s v="Improve interview preparation and communication"/>
  </r>
  <r>
    <n v="30"/>
    <n v="1"/>
    <n v="2"/>
    <n v="15"/>
    <n v="5"/>
    <n v="1.92656167971666"/>
    <n v="2"/>
    <n v="78"/>
    <n v="57"/>
    <n v="2"/>
    <n v="0"/>
    <s v="C821"/>
    <s v="Female"/>
    <s v="Bachelor's Type 2"/>
    <s v="Senior Level"/>
    <s v="Low"/>
    <s v="Advanced"/>
    <s v="Good"/>
    <x v="1"/>
    <n v="53"/>
    <s v="Developing"/>
    <x v="1"/>
    <s v="Interview Preparation"/>
    <s v="Improve interview preparation and communication"/>
  </r>
  <r>
    <n v="37"/>
    <n v="1"/>
    <n v="3"/>
    <n v="2"/>
    <n v="4"/>
    <n v="8.1810689034408099"/>
    <n v="53"/>
    <n v="5"/>
    <n v="5"/>
    <n v="1"/>
    <n v="0"/>
    <s v="C822"/>
    <s v="Female"/>
    <s v="Master's"/>
    <s v="Entry Level"/>
    <s v="Average"/>
    <s v="Beginner"/>
    <s v="Needs Improvement"/>
    <x v="1"/>
    <n v="24"/>
    <s v="Needs Improvement"/>
    <x v="2"/>
    <s v="Technical Skills"/>
    <s v="Strengthen technical skills and practical knowledge"/>
  </r>
  <r>
    <n v="34"/>
    <n v="1"/>
    <n v="2"/>
    <n v="6"/>
    <n v="1"/>
    <n v="33.897474289081202"/>
    <n v="13"/>
    <n v="32"/>
    <n v="88"/>
    <n v="3"/>
    <n v="0"/>
    <s v="C823"/>
    <s v="Female"/>
    <s v="Bachelor's Type 2"/>
    <s v="Mid Level"/>
    <s v="Low"/>
    <s v="Beginner"/>
    <s v="Strong"/>
    <x v="1"/>
    <n v="40"/>
    <s v="Needs Improvement"/>
    <x v="0"/>
    <s v="Interview Preparation"/>
    <s v="Improve interview preparation and communication"/>
  </r>
  <r>
    <n v="31"/>
    <n v="0"/>
    <n v="2"/>
    <n v="7"/>
    <n v="1"/>
    <n v="37.373853899824802"/>
    <n v="35"/>
    <n v="54"/>
    <n v="14"/>
    <n v="3"/>
    <n v="0"/>
    <s v="C824"/>
    <s v="Male"/>
    <s v="Bachelor's Type 2"/>
    <s v="Senior Level"/>
    <s v="Low"/>
    <s v="Intermediate"/>
    <s v="Needs Improvement"/>
    <x v="1"/>
    <n v="39"/>
    <s v="Needs Improvement"/>
    <x v="1"/>
    <s v="Personality &amp; Communication"/>
    <s v="Work on communication and personality development"/>
  </r>
  <r>
    <n v="28"/>
    <n v="1"/>
    <n v="1"/>
    <n v="10"/>
    <n v="3"/>
    <n v="40.325285676406097"/>
    <n v="81"/>
    <n v="18"/>
    <n v="3"/>
    <n v="2"/>
    <n v="0"/>
    <s v="C825"/>
    <s v="Female"/>
    <s v="Bachelor's Type 1"/>
    <s v="Senior Level"/>
    <s v="Strong"/>
    <s v="Beginner"/>
    <s v="Needs Improvement"/>
    <x v="1"/>
    <n v="43"/>
    <s v="Needs Improvement"/>
    <x v="2"/>
    <s v="Personality &amp; Communication"/>
    <s v="Work on communication and personality development"/>
  </r>
  <r>
    <n v="29"/>
    <n v="0"/>
    <n v="1"/>
    <n v="13"/>
    <n v="3"/>
    <n v="13.1854105952171"/>
    <n v="81"/>
    <n v="76"/>
    <n v="55"/>
    <n v="1"/>
    <n v="1"/>
    <s v="C826"/>
    <s v="Male"/>
    <s v="Bachelor's Type 1"/>
    <s v="Senior Level"/>
    <s v="Strong"/>
    <s v="Advanced"/>
    <s v="Good"/>
    <x v="0"/>
    <n v="74"/>
    <s v="Developing"/>
    <x v="2"/>
    <s v="Personality &amp; Communication"/>
    <s v="Work on communication and personality development"/>
  </r>
  <r>
    <n v="45"/>
    <n v="1"/>
    <n v="1"/>
    <n v="1"/>
    <n v="3"/>
    <n v="16.294740663075899"/>
    <n v="66"/>
    <n v="28"/>
    <n v="63"/>
    <n v="3"/>
    <n v="0"/>
    <s v="C827"/>
    <s v="Female"/>
    <s v="Bachelor's Type 1"/>
    <s v="Entry Level"/>
    <s v="Average"/>
    <s v="Beginner"/>
    <s v="Good"/>
    <x v="1"/>
    <n v="44"/>
    <s v="Needs Improvement"/>
    <x v="2"/>
    <s v="Technical Skills"/>
    <s v="Strengthen technical skills and practical knowledge"/>
  </r>
  <r>
    <n v="31"/>
    <n v="1"/>
    <n v="1"/>
    <n v="6"/>
    <n v="2"/>
    <n v="25.156732278274902"/>
    <n v="9"/>
    <n v="60"/>
    <n v="67"/>
    <n v="3"/>
    <n v="0"/>
    <s v="C828"/>
    <s v="Female"/>
    <s v="Bachelor's Type 1"/>
    <s v="Mid Level"/>
    <s v="Low"/>
    <s v="Intermediate"/>
    <s v="Good"/>
    <x v="1"/>
    <n v="43"/>
    <s v="Needs Improvement"/>
    <x v="0"/>
    <s v="Interview Preparation"/>
    <s v="Improve interview preparation and communication"/>
  </r>
  <r>
    <n v="36"/>
    <n v="0"/>
    <n v="2"/>
    <n v="11"/>
    <n v="4"/>
    <n v="4.1591548430113203"/>
    <n v="48"/>
    <n v="69"/>
    <n v="93"/>
    <n v="3"/>
    <n v="0"/>
    <s v="C829"/>
    <s v="Male"/>
    <s v="Bachelor's Type 2"/>
    <s v="Senior Level"/>
    <s v="Low"/>
    <s v="Intermediate"/>
    <s v="Strong"/>
    <x v="1"/>
    <n v="67"/>
    <s v="Developing"/>
    <x v="0"/>
    <s v="Interview Preparation"/>
    <s v="Improve interview preparation and communication"/>
  </r>
  <r>
    <n v="48"/>
    <n v="1"/>
    <n v="3"/>
    <n v="4"/>
    <n v="4"/>
    <n v="31.5570761605623"/>
    <n v="64"/>
    <n v="78"/>
    <n v="33"/>
    <n v="3"/>
    <n v="0"/>
    <s v="C830"/>
    <s v="Female"/>
    <s v="Master's"/>
    <s v="Mid Level"/>
    <s v="Average"/>
    <s v="Advanced"/>
    <s v="Needs Improvement"/>
    <x v="1"/>
    <n v="57"/>
    <s v="Developing"/>
    <x v="1"/>
    <s v="Personality &amp; Communication"/>
    <s v="Work on communication and personality development"/>
  </r>
  <r>
    <n v="25"/>
    <n v="1"/>
    <n v="2"/>
    <n v="14"/>
    <n v="4"/>
    <n v="50.186751683787797"/>
    <n v="90"/>
    <n v="79"/>
    <n v="90"/>
    <n v="2"/>
    <n v="1"/>
    <s v="C831"/>
    <s v="Female"/>
    <s v="Bachelor's Type 2"/>
    <s v="Senior Level"/>
    <s v="Strong"/>
    <s v="Advanced"/>
    <s v="Strong"/>
    <x v="0"/>
    <n v="85"/>
    <s v="Job Ready"/>
    <x v="2"/>
    <s v="Technical Skills"/>
    <s v="Strengthen technical skills and practical knowledge"/>
  </r>
  <r>
    <n v="26"/>
    <n v="0"/>
    <n v="3"/>
    <n v="10"/>
    <n v="4"/>
    <n v="19.040315568900098"/>
    <n v="56"/>
    <n v="23"/>
    <n v="94"/>
    <n v="1"/>
    <n v="1"/>
    <s v="C832"/>
    <s v="Male"/>
    <s v="Master's"/>
    <s v="Senior Level"/>
    <s v="Average"/>
    <s v="Beginner"/>
    <s v="Strong"/>
    <x v="0"/>
    <n v="56"/>
    <s v="Developing"/>
    <x v="0"/>
    <s v="Technical Skills"/>
    <s v="Strengthen technical skills and practical knowledge"/>
  </r>
  <r>
    <n v="33"/>
    <n v="1"/>
    <n v="4"/>
    <n v="4"/>
    <n v="3"/>
    <n v="38.642373754569199"/>
    <n v="26"/>
    <n v="22"/>
    <n v="55"/>
    <n v="2"/>
    <n v="0"/>
    <s v="C833"/>
    <s v="Female"/>
    <s v="PhD"/>
    <s v="Mid Level"/>
    <s v="Low"/>
    <s v="Beginner"/>
    <s v="Good"/>
    <x v="1"/>
    <n v="34"/>
    <s v="Needs Improvement"/>
    <x v="0"/>
    <s v="Technical Skills"/>
    <s v="Strengthen technical skills and practical knowledge"/>
  </r>
  <r>
    <n v="32"/>
    <n v="1"/>
    <n v="3"/>
    <n v="2"/>
    <n v="1"/>
    <n v="26.0016957784804"/>
    <n v="74"/>
    <n v="9"/>
    <n v="31"/>
    <n v="2"/>
    <n v="0"/>
    <s v="C834"/>
    <s v="Female"/>
    <s v="Master's"/>
    <s v="Entry Level"/>
    <s v="Average"/>
    <s v="Beginner"/>
    <s v="Needs Improvement"/>
    <x v="1"/>
    <n v="37"/>
    <s v="Needs Improvement"/>
    <x v="2"/>
    <s v="Technical Skills"/>
    <s v="Strengthen technical skills and practical knowledge"/>
  </r>
  <r>
    <n v="27"/>
    <n v="1"/>
    <n v="2"/>
    <n v="4"/>
    <n v="3"/>
    <n v="7.3905922180191297"/>
    <n v="4"/>
    <n v="53"/>
    <n v="8"/>
    <n v="2"/>
    <n v="0"/>
    <s v="C835"/>
    <s v="Female"/>
    <s v="Bachelor's Type 2"/>
    <s v="Mid Level"/>
    <s v="Low"/>
    <s v="Intermediate"/>
    <s v="Needs Improvement"/>
    <x v="1"/>
    <n v="25"/>
    <s v="Needs Improvement"/>
    <x v="1"/>
    <s v="Interview Preparation"/>
    <s v="Improve interview preparation and communication"/>
  </r>
  <r>
    <n v="29"/>
    <n v="0"/>
    <n v="2"/>
    <n v="11"/>
    <n v="4"/>
    <n v="30.1118724401293"/>
    <n v="70"/>
    <n v="40"/>
    <n v="62"/>
    <n v="2"/>
    <n v="0"/>
    <s v="C836"/>
    <s v="Male"/>
    <s v="Bachelor's Type 2"/>
    <s v="Senior Level"/>
    <s v="Average"/>
    <s v="Beginner"/>
    <s v="Good"/>
    <x v="1"/>
    <n v="59"/>
    <s v="Developing"/>
    <x v="2"/>
    <s v="Technical Skills"/>
    <s v="Strengthen technical skills and practical knowledge"/>
  </r>
  <r>
    <n v="28"/>
    <n v="1"/>
    <n v="2"/>
    <n v="1"/>
    <n v="3"/>
    <n v="15.9937134222032"/>
    <n v="82"/>
    <n v="48"/>
    <n v="71"/>
    <n v="1"/>
    <n v="1"/>
    <s v="C837"/>
    <s v="Female"/>
    <s v="Bachelor's Type 2"/>
    <s v="Entry Level"/>
    <s v="Strong"/>
    <s v="Beginner"/>
    <s v="Good"/>
    <x v="0"/>
    <n v="57"/>
    <s v="Developing"/>
    <x v="2"/>
    <s v="Technical Skills"/>
    <s v="Strengthen technical skills and practical knowledge"/>
  </r>
  <r>
    <n v="37"/>
    <n v="1"/>
    <n v="1"/>
    <n v="3"/>
    <n v="4"/>
    <n v="2.7201604226729099"/>
    <n v="56"/>
    <n v="16"/>
    <n v="77"/>
    <n v="2"/>
    <n v="0"/>
    <s v="C838"/>
    <s v="Female"/>
    <s v="Bachelor's Type 1"/>
    <s v="Mid Level"/>
    <s v="Average"/>
    <s v="Beginner"/>
    <s v="Strong"/>
    <x v="1"/>
    <n v="43"/>
    <s v="Needs Improvement"/>
    <x v="0"/>
    <s v="Technical Skills"/>
    <s v="Strengthen technical skills and practical knowledge"/>
  </r>
  <r>
    <n v="46"/>
    <n v="1"/>
    <n v="2"/>
    <n v="5"/>
    <n v="5"/>
    <n v="32.746486505887098"/>
    <n v="92"/>
    <n v="55"/>
    <n v="32"/>
    <n v="2"/>
    <n v="0"/>
    <s v="C839"/>
    <s v="Female"/>
    <s v="Bachelor's Type 2"/>
    <s v="Mid Level"/>
    <s v="Strong"/>
    <s v="Intermediate"/>
    <s v="Needs Improvement"/>
    <x v="1"/>
    <n v="58"/>
    <s v="Developing"/>
    <x v="2"/>
    <s v="Personality &amp; Communication"/>
    <s v="Work on communication and personality development"/>
  </r>
  <r>
    <n v="45"/>
    <n v="1"/>
    <n v="4"/>
    <n v="0"/>
    <n v="1"/>
    <n v="43.946617466236297"/>
    <n v="14"/>
    <n v="44"/>
    <n v="86"/>
    <n v="1"/>
    <n v="1"/>
    <s v="C840"/>
    <s v="Female"/>
    <s v="PhD"/>
    <s v="Entry Level"/>
    <s v="Low"/>
    <s v="Beginner"/>
    <s v="Strong"/>
    <x v="0"/>
    <n v="40"/>
    <s v="Needs Improvement"/>
    <x v="0"/>
    <s v="Interview Preparation"/>
    <s v="Improve interview preparation and communication"/>
  </r>
  <r>
    <n v="21"/>
    <n v="0"/>
    <n v="3"/>
    <n v="9"/>
    <n v="5"/>
    <n v="18.238488344993701"/>
    <n v="98"/>
    <n v="29"/>
    <n v="20"/>
    <n v="2"/>
    <n v="0"/>
    <s v="C841"/>
    <s v="Male"/>
    <s v="Master's"/>
    <s v="Senior Level"/>
    <s v="Strong"/>
    <s v="Beginner"/>
    <s v="Needs Improvement"/>
    <x v="1"/>
    <n v="55"/>
    <s v="Developing"/>
    <x v="2"/>
    <s v="Personality &amp; Communication"/>
    <s v="Work on communication and personality development"/>
  </r>
  <r>
    <n v="24"/>
    <n v="0"/>
    <n v="2"/>
    <n v="3"/>
    <n v="2"/>
    <n v="20.514777360638501"/>
    <n v="100"/>
    <n v="43"/>
    <n v="54"/>
    <n v="3"/>
    <n v="0"/>
    <s v="C842"/>
    <s v="Male"/>
    <s v="Bachelor's Type 2"/>
    <s v="Mid Level"/>
    <s v="Strong"/>
    <s v="Beginner"/>
    <s v="Good"/>
    <x v="1"/>
    <n v="59"/>
    <s v="Developing"/>
    <x v="2"/>
    <s v="Technical Skills"/>
    <s v="Strengthen technical skills and practical knowledge"/>
  </r>
  <r>
    <n v="48"/>
    <n v="1"/>
    <n v="2"/>
    <n v="5"/>
    <n v="3"/>
    <n v="45.551084148360502"/>
    <n v="75"/>
    <n v="73"/>
    <n v="75"/>
    <n v="3"/>
    <n v="0"/>
    <s v="C843"/>
    <s v="Female"/>
    <s v="Bachelor's Type 2"/>
    <s v="Mid Level"/>
    <s v="Strong"/>
    <s v="Intermediate"/>
    <s v="Strong"/>
    <x v="1"/>
    <n v="67"/>
    <s v="Developing"/>
    <x v="2"/>
    <s v="Technical Skills"/>
    <s v="Strengthen technical skills and practical knowledge"/>
  </r>
  <r>
    <n v="24"/>
    <n v="1"/>
    <n v="3"/>
    <n v="8"/>
    <n v="2"/>
    <n v="41.680440668367702"/>
    <n v="29"/>
    <n v="54"/>
    <n v="56"/>
    <n v="2"/>
    <n v="0"/>
    <s v="C844"/>
    <s v="Female"/>
    <s v="Master's"/>
    <s v="Senior Level"/>
    <s v="Low"/>
    <s v="Intermediate"/>
    <s v="Good"/>
    <x v="1"/>
    <n v="48"/>
    <s v="Needs Improvement"/>
    <x v="0"/>
    <s v="Interview Preparation"/>
    <s v="Improve interview preparation and communication"/>
  </r>
  <r>
    <n v="25"/>
    <n v="0"/>
    <n v="1"/>
    <n v="13"/>
    <n v="3"/>
    <n v="36.747641177588797"/>
    <n v="19"/>
    <n v="18"/>
    <n v="1"/>
    <n v="2"/>
    <n v="0"/>
    <s v="C845"/>
    <s v="Male"/>
    <s v="Bachelor's Type 1"/>
    <s v="Senior Level"/>
    <s v="Low"/>
    <s v="Beginner"/>
    <s v="Needs Improvement"/>
    <x v="1"/>
    <n v="27"/>
    <s v="Needs Improvement"/>
    <x v="2"/>
    <s v="Personality &amp; Communication"/>
    <s v="Work on communication and personality development"/>
  </r>
  <r>
    <n v="38"/>
    <n v="0"/>
    <n v="2"/>
    <n v="10"/>
    <n v="5"/>
    <n v="13.439853187657301"/>
    <n v="36"/>
    <n v="28"/>
    <n v="12"/>
    <n v="1"/>
    <n v="0"/>
    <s v="C846"/>
    <s v="Male"/>
    <s v="Bachelor's Type 2"/>
    <s v="Senior Level"/>
    <s v="Low"/>
    <s v="Beginner"/>
    <s v="Needs Improvement"/>
    <x v="1"/>
    <n v="34"/>
    <s v="Needs Improvement"/>
    <x v="2"/>
    <s v="Personality &amp; Communication"/>
    <s v="Work on communication and personality development"/>
  </r>
  <r>
    <n v="27"/>
    <n v="1"/>
    <n v="3"/>
    <n v="15"/>
    <n v="4"/>
    <n v="46.510832748332199"/>
    <n v="2"/>
    <n v="1"/>
    <n v="3"/>
    <n v="2"/>
    <n v="0"/>
    <s v="C847"/>
    <s v="Female"/>
    <s v="Master's"/>
    <s v="Senior Level"/>
    <s v="Low"/>
    <s v="Beginner"/>
    <s v="Needs Improvement"/>
    <x v="1"/>
    <n v="20"/>
    <s v="Needs Improvement"/>
    <x v="0"/>
    <s v="Technical Skills"/>
    <s v="Strengthen technical skills and practical knowledge"/>
  </r>
  <r>
    <n v="35"/>
    <n v="0"/>
    <n v="2"/>
    <n v="10"/>
    <n v="4"/>
    <n v="8.7207878769606495"/>
    <n v="72"/>
    <n v="35"/>
    <n v="83"/>
    <n v="2"/>
    <n v="0"/>
    <s v="C848"/>
    <s v="Male"/>
    <s v="Bachelor's Type 2"/>
    <s v="Senior Level"/>
    <s v="Average"/>
    <s v="Beginner"/>
    <s v="Strong"/>
    <x v="1"/>
    <n v="61"/>
    <s v="Developing"/>
    <x v="0"/>
    <s v="Technical Skills"/>
    <s v="Strengthen technical skills and practical knowledge"/>
  </r>
  <r>
    <n v="32"/>
    <n v="1"/>
    <n v="1"/>
    <n v="12"/>
    <n v="3"/>
    <n v="32.338525970860999"/>
    <n v="40"/>
    <n v="18"/>
    <n v="49"/>
    <n v="2"/>
    <n v="0"/>
    <s v="C849"/>
    <s v="Female"/>
    <s v="Bachelor's Type 1"/>
    <s v="Senior Level"/>
    <s v="Low"/>
    <s v="Beginner"/>
    <s v="Needs Improvement"/>
    <x v="1"/>
    <n v="42"/>
    <s v="Needs Improvement"/>
    <x v="0"/>
    <s v="Technical Skills"/>
    <s v="Strengthen technical skills and practical knowledge"/>
  </r>
  <r>
    <n v="20"/>
    <n v="0"/>
    <n v="2"/>
    <n v="1"/>
    <n v="4"/>
    <n v="2.4400590273259302"/>
    <n v="38"/>
    <n v="6"/>
    <n v="47"/>
    <n v="3"/>
    <n v="0"/>
    <s v="C850"/>
    <s v="Male"/>
    <s v="Bachelor's Type 2"/>
    <s v="Entry Level"/>
    <s v="Low"/>
    <s v="Beginner"/>
    <s v="Needs Improvement"/>
    <x v="1"/>
    <n v="26"/>
    <s v="Needs Improvement"/>
    <x v="0"/>
    <s v="Technical Skills"/>
    <s v="Strengthen technical skills and practical knowledge"/>
  </r>
  <r>
    <n v="41"/>
    <n v="0"/>
    <n v="3"/>
    <n v="10"/>
    <n v="5"/>
    <n v="33.185990316247199"/>
    <n v="25"/>
    <n v="25"/>
    <n v="77"/>
    <n v="2"/>
    <n v="0"/>
    <s v="C851"/>
    <s v="Male"/>
    <s v="Master's"/>
    <s v="Senior Level"/>
    <s v="Low"/>
    <s v="Beginner"/>
    <s v="Strong"/>
    <x v="1"/>
    <n v="44"/>
    <s v="Needs Improvement"/>
    <x v="0"/>
    <s v="Interview Preparation"/>
    <s v="Improve interview preparation and communication"/>
  </r>
  <r>
    <n v="39"/>
    <n v="0"/>
    <n v="2"/>
    <n v="6"/>
    <n v="4"/>
    <n v="14.857217593667899"/>
    <n v="1"/>
    <n v="78"/>
    <n v="29"/>
    <n v="1"/>
    <n v="1"/>
    <s v="C852"/>
    <s v="Male"/>
    <s v="Bachelor's Type 2"/>
    <s v="Mid Level"/>
    <s v="Low"/>
    <s v="Advanced"/>
    <s v="Needs Improvement"/>
    <x v="0"/>
    <n v="38"/>
    <s v="Needs Improvement"/>
    <x v="1"/>
    <s v="Interview Preparation"/>
    <s v="Improve interview preparation and communication"/>
  </r>
  <r>
    <n v="36"/>
    <n v="0"/>
    <n v="2"/>
    <n v="5"/>
    <n v="5"/>
    <n v="23.483848859186001"/>
    <n v="22"/>
    <n v="37"/>
    <n v="28"/>
    <n v="1"/>
    <n v="0"/>
    <s v="C853"/>
    <s v="Male"/>
    <s v="Bachelor's Type 2"/>
    <s v="Mid Level"/>
    <s v="Low"/>
    <s v="Beginner"/>
    <s v="Needs Improvement"/>
    <x v="1"/>
    <n v="31"/>
    <s v="Needs Improvement"/>
    <x v="1"/>
    <s v="Interview Preparation"/>
    <s v="Improve interview preparation and communication"/>
  </r>
  <r>
    <n v="50"/>
    <n v="1"/>
    <n v="2"/>
    <n v="1"/>
    <n v="2"/>
    <n v="18.263227602852599"/>
    <n v="22"/>
    <n v="2"/>
    <n v="7"/>
    <n v="2"/>
    <n v="0"/>
    <s v="C854"/>
    <s v="Female"/>
    <s v="Bachelor's Type 2"/>
    <s v="Entry Level"/>
    <s v="Low"/>
    <s v="Beginner"/>
    <s v="Needs Improvement"/>
    <x v="1"/>
    <n v="12"/>
    <s v="Needs Improvement"/>
    <x v="2"/>
    <s v="Technical Skills"/>
    <s v="Strengthen technical skills and practical knowledge"/>
  </r>
  <r>
    <n v="26"/>
    <n v="0"/>
    <n v="2"/>
    <n v="7"/>
    <n v="5"/>
    <n v="9.6378378123104902"/>
    <n v="84"/>
    <n v="79"/>
    <n v="11"/>
    <n v="2"/>
    <n v="0"/>
    <s v="C855"/>
    <s v="Male"/>
    <s v="Bachelor's Type 2"/>
    <s v="Senior Level"/>
    <s v="Strong"/>
    <s v="Advanced"/>
    <s v="Needs Improvement"/>
    <x v="1"/>
    <n v="61"/>
    <s v="Developing"/>
    <x v="2"/>
    <s v="Personality &amp; Communication"/>
    <s v="Work on communication and personality development"/>
  </r>
  <r>
    <n v="44"/>
    <n v="0"/>
    <n v="2"/>
    <n v="6"/>
    <n v="1"/>
    <n v="32.0990395046937"/>
    <n v="15"/>
    <n v="65"/>
    <n v="40"/>
    <n v="3"/>
    <n v="0"/>
    <s v="C856"/>
    <s v="Male"/>
    <s v="Bachelor's Type 2"/>
    <s v="Mid Level"/>
    <s v="Low"/>
    <s v="Intermediate"/>
    <s v="Needs Improvement"/>
    <x v="1"/>
    <n v="41"/>
    <s v="Needs Improvement"/>
    <x v="1"/>
    <s v="Interview Preparation"/>
    <s v="Improve interview preparation and communication"/>
  </r>
  <r>
    <n v="32"/>
    <n v="1"/>
    <n v="3"/>
    <n v="10"/>
    <n v="1"/>
    <n v="45.098777757030298"/>
    <n v="8"/>
    <n v="94"/>
    <n v="25"/>
    <n v="2"/>
    <n v="0"/>
    <s v="C857"/>
    <s v="Female"/>
    <s v="Master's"/>
    <s v="Senior Level"/>
    <s v="Low"/>
    <s v="Advanced"/>
    <s v="Needs Improvement"/>
    <x v="1"/>
    <n v="49"/>
    <s v="Needs Improvement"/>
    <x v="1"/>
    <s v="Interview Preparation"/>
    <s v="Improve interview preparation and communication"/>
  </r>
  <r>
    <n v="23"/>
    <n v="0"/>
    <n v="1"/>
    <n v="4"/>
    <n v="1"/>
    <n v="48.954212114120097"/>
    <n v="12"/>
    <n v="91"/>
    <n v="49"/>
    <n v="2"/>
    <n v="0"/>
    <s v="C858"/>
    <s v="Male"/>
    <s v="Bachelor's Type 1"/>
    <s v="Mid Level"/>
    <s v="Low"/>
    <s v="Advanced"/>
    <s v="Needs Improvement"/>
    <x v="1"/>
    <n v="47"/>
    <s v="Needs Improvement"/>
    <x v="1"/>
    <s v="Interview Preparation"/>
    <s v="Improve interview preparation and communication"/>
  </r>
  <r>
    <n v="23"/>
    <n v="0"/>
    <n v="3"/>
    <n v="11"/>
    <n v="3"/>
    <n v="10.617318157695699"/>
    <n v="27"/>
    <n v="70"/>
    <n v="1"/>
    <n v="2"/>
    <n v="0"/>
    <s v="C859"/>
    <s v="Male"/>
    <s v="Master's"/>
    <s v="Senior Level"/>
    <s v="Low"/>
    <s v="Intermediate"/>
    <s v="Needs Improvement"/>
    <x v="1"/>
    <n v="44"/>
    <s v="Needs Improvement"/>
    <x v="1"/>
    <s v="Personality &amp; Communication"/>
    <s v="Work on communication and personality development"/>
  </r>
  <r>
    <n v="25"/>
    <n v="1"/>
    <n v="1"/>
    <n v="4"/>
    <n v="3"/>
    <n v="36.868638703148598"/>
    <n v="26"/>
    <n v="93"/>
    <n v="54"/>
    <n v="2"/>
    <n v="0"/>
    <s v="C860"/>
    <s v="Female"/>
    <s v="Bachelor's Type 1"/>
    <s v="Mid Level"/>
    <s v="Low"/>
    <s v="Advanced"/>
    <s v="Good"/>
    <x v="1"/>
    <n v="53"/>
    <s v="Developing"/>
    <x v="1"/>
    <s v="Interview Preparation"/>
    <s v="Improve interview preparation and communication"/>
  </r>
  <r>
    <n v="47"/>
    <n v="0"/>
    <n v="2"/>
    <n v="6"/>
    <n v="3"/>
    <n v="34.216968330284097"/>
    <n v="50"/>
    <n v="42"/>
    <n v="55"/>
    <n v="2"/>
    <n v="0"/>
    <s v="C861"/>
    <s v="Male"/>
    <s v="Bachelor's Type 2"/>
    <s v="Mid Level"/>
    <s v="Average"/>
    <s v="Beginner"/>
    <s v="Good"/>
    <x v="1"/>
    <n v="47"/>
    <s v="Needs Improvement"/>
    <x v="0"/>
    <s v="Technical Skills"/>
    <s v="Strengthen technical skills and practical knowledge"/>
  </r>
  <r>
    <n v="50"/>
    <n v="1"/>
    <n v="1"/>
    <n v="8"/>
    <n v="5"/>
    <n v="18.168889478728602"/>
    <n v="63"/>
    <n v="61"/>
    <n v="13"/>
    <n v="2"/>
    <n v="0"/>
    <s v="C862"/>
    <s v="Female"/>
    <s v="Bachelor's Type 1"/>
    <s v="Senior Level"/>
    <s v="Average"/>
    <s v="Intermediate"/>
    <s v="Needs Improvement"/>
    <x v="1"/>
    <n v="50"/>
    <s v="Developing"/>
    <x v="2"/>
    <s v="Personality &amp; Communication"/>
    <s v="Work on communication and personality development"/>
  </r>
  <r>
    <n v="38"/>
    <n v="1"/>
    <n v="2"/>
    <n v="10"/>
    <n v="3"/>
    <n v="1.9549599676862901"/>
    <n v="51"/>
    <n v="70"/>
    <n v="5"/>
    <n v="2"/>
    <n v="0"/>
    <s v="C863"/>
    <s v="Female"/>
    <s v="Bachelor's Type 2"/>
    <s v="Senior Level"/>
    <s v="Average"/>
    <s v="Intermediate"/>
    <s v="Needs Improvement"/>
    <x v="1"/>
    <n v="50"/>
    <s v="Developing"/>
    <x v="1"/>
    <s v="Personality &amp; Communication"/>
    <s v="Work on communication and personality development"/>
  </r>
  <r>
    <n v="48"/>
    <n v="1"/>
    <n v="2"/>
    <n v="14"/>
    <n v="2"/>
    <n v="35.489562365643302"/>
    <n v="80"/>
    <n v="99"/>
    <n v="94"/>
    <n v="1"/>
    <n v="1"/>
    <s v="C864"/>
    <s v="Female"/>
    <s v="Bachelor's Type 2"/>
    <s v="Senior Level"/>
    <s v="Strong"/>
    <s v="Advanced"/>
    <s v="Strong"/>
    <x v="0"/>
    <n v="89"/>
    <s v="Job Ready"/>
    <x v="1"/>
    <s v="Interview Preparation"/>
    <s v="Improve interview preparation and communication"/>
  </r>
  <r>
    <n v="31"/>
    <n v="1"/>
    <n v="2"/>
    <n v="8"/>
    <n v="1"/>
    <n v="48.274743027974999"/>
    <n v="37"/>
    <n v="92"/>
    <n v="80"/>
    <n v="3"/>
    <n v="0"/>
    <s v="C865"/>
    <s v="Female"/>
    <s v="Bachelor's Type 2"/>
    <s v="Senior Level"/>
    <s v="Low"/>
    <s v="Advanced"/>
    <s v="Strong"/>
    <x v="1"/>
    <n v="65"/>
    <s v="Developing"/>
    <x v="1"/>
    <s v="Interview Preparation"/>
    <s v="Improve interview preparation and communication"/>
  </r>
  <r>
    <n v="41"/>
    <n v="0"/>
    <n v="1"/>
    <n v="8"/>
    <n v="5"/>
    <n v="32.606006095782497"/>
    <n v="99"/>
    <n v="23"/>
    <n v="88"/>
    <n v="2"/>
    <n v="0"/>
    <s v="C866"/>
    <s v="Male"/>
    <s v="Bachelor's Type 1"/>
    <s v="Senior Level"/>
    <s v="Strong"/>
    <s v="Beginner"/>
    <s v="Strong"/>
    <x v="1"/>
    <n v="65"/>
    <s v="Developing"/>
    <x v="2"/>
    <s v="Technical Skills"/>
    <s v="Strengthen technical skills and practical knowledge"/>
  </r>
  <r>
    <n v="26"/>
    <n v="1"/>
    <n v="2"/>
    <n v="5"/>
    <n v="1"/>
    <n v="22.764636209381699"/>
    <n v="64"/>
    <n v="38"/>
    <n v="60"/>
    <n v="1"/>
    <n v="0"/>
    <s v="C867"/>
    <s v="Female"/>
    <s v="Bachelor's Type 2"/>
    <s v="Mid Level"/>
    <s v="Average"/>
    <s v="Beginner"/>
    <s v="Good"/>
    <x v="1"/>
    <n v="50"/>
    <s v="Developing"/>
    <x v="2"/>
    <s v="Technical Skills"/>
    <s v="Strengthen technical skills and practical knowledge"/>
  </r>
  <r>
    <n v="46"/>
    <n v="0"/>
    <n v="1"/>
    <n v="9"/>
    <n v="3"/>
    <n v="27.2576947055814"/>
    <n v="17"/>
    <n v="67"/>
    <n v="95"/>
    <n v="1"/>
    <n v="1"/>
    <s v="C868"/>
    <s v="Male"/>
    <s v="Bachelor's Type 1"/>
    <s v="Senior Level"/>
    <s v="Low"/>
    <s v="Intermediate"/>
    <s v="Strong"/>
    <x v="0"/>
    <n v="56"/>
    <s v="Developing"/>
    <x v="0"/>
    <s v="Interview Preparation"/>
    <s v="Improve interview preparation and communication"/>
  </r>
  <r>
    <n v="29"/>
    <n v="0"/>
    <n v="3"/>
    <n v="5"/>
    <n v="5"/>
    <n v="10.9814403829958"/>
    <n v="62"/>
    <n v="92"/>
    <n v="11"/>
    <n v="1"/>
    <n v="1"/>
    <s v="C869"/>
    <s v="Male"/>
    <s v="Master's"/>
    <s v="Mid Level"/>
    <s v="Average"/>
    <s v="Advanced"/>
    <s v="Needs Improvement"/>
    <x v="0"/>
    <n v="57"/>
    <s v="Developing"/>
    <x v="1"/>
    <s v="Personality &amp; Communication"/>
    <s v="Work on communication and personality development"/>
  </r>
  <r>
    <n v="45"/>
    <n v="0"/>
    <n v="4"/>
    <n v="2"/>
    <n v="4"/>
    <n v="38.527208187686803"/>
    <n v="50"/>
    <n v="43"/>
    <n v="12"/>
    <n v="2"/>
    <n v="0"/>
    <s v="C870"/>
    <s v="Male"/>
    <s v="PhD"/>
    <s v="Entry Level"/>
    <s v="Average"/>
    <s v="Beginner"/>
    <s v="Needs Improvement"/>
    <x v="1"/>
    <n v="37"/>
    <s v="Needs Improvement"/>
    <x v="2"/>
    <s v="Personality &amp; Communication"/>
    <s v="Work on communication and personality development"/>
  </r>
  <r>
    <n v="38"/>
    <n v="0"/>
    <n v="2"/>
    <n v="0"/>
    <n v="2"/>
    <n v="38.320991500492397"/>
    <n v="8"/>
    <n v="4"/>
    <n v="18"/>
    <n v="1"/>
    <n v="0"/>
    <s v="C871"/>
    <s v="Male"/>
    <s v="Bachelor's Type 2"/>
    <s v="Entry Level"/>
    <s v="Low"/>
    <s v="Beginner"/>
    <s v="Needs Improvement"/>
    <x v="1"/>
    <n v="10"/>
    <s v="Needs Improvement"/>
    <x v="0"/>
    <s v="Technical Skills"/>
    <s v="Strengthen technical skills and practical knowledge"/>
  </r>
  <r>
    <n v="26"/>
    <n v="0"/>
    <n v="2"/>
    <n v="15"/>
    <n v="3"/>
    <n v="8.2758650193712402"/>
    <n v="12"/>
    <n v="54"/>
    <n v="43"/>
    <n v="1"/>
    <n v="1"/>
    <s v="C872"/>
    <s v="Male"/>
    <s v="Bachelor's Type 2"/>
    <s v="Senior Level"/>
    <s v="Low"/>
    <s v="Intermediate"/>
    <s v="Needs Improvement"/>
    <x v="0"/>
    <n v="46"/>
    <s v="Needs Improvement"/>
    <x v="1"/>
    <s v="Interview Preparation"/>
    <s v="Improve interview preparation and communication"/>
  </r>
  <r>
    <n v="49"/>
    <n v="0"/>
    <n v="2"/>
    <n v="6"/>
    <n v="3"/>
    <n v="44.898919124982903"/>
    <n v="39"/>
    <n v="92"/>
    <n v="88"/>
    <n v="2"/>
    <n v="0"/>
    <s v="C873"/>
    <s v="Male"/>
    <s v="Bachelor's Type 2"/>
    <s v="Mid Level"/>
    <s v="Low"/>
    <s v="Advanced"/>
    <s v="Strong"/>
    <x v="1"/>
    <n v="65"/>
    <s v="Developing"/>
    <x v="1"/>
    <s v="Interview Preparation"/>
    <s v="Improve interview preparation and communication"/>
  </r>
  <r>
    <n v="22"/>
    <n v="0"/>
    <n v="1"/>
    <n v="3"/>
    <n v="2"/>
    <n v="14.4594869736652"/>
    <n v="54"/>
    <n v="29"/>
    <n v="94"/>
    <n v="2"/>
    <n v="0"/>
    <s v="C874"/>
    <s v="Male"/>
    <s v="Bachelor's Type 1"/>
    <s v="Mid Level"/>
    <s v="Average"/>
    <s v="Beginner"/>
    <s v="Strong"/>
    <x v="1"/>
    <n v="49"/>
    <s v="Needs Improvement"/>
    <x v="0"/>
    <s v="Technical Skills"/>
    <s v="Strengthen technical skills and practical knowledge"/>
  </r>
  <r>
    <n v="32"/>
    <n v="0"/>
    <n v="2"/>
    <n v="0"/>
    <n v="2"/>
    <n v="50.112803046830699"/>
    <n v="78"/>
    <n v="28"/>
    <n v="58"/>
    <n v="1"/>
    <n v="0"/>
    <s v="C875"/>
    <s v="Male"/>
    <s v="Bachelor's Type 2"/>
    <s v="Entry Level"/>
    <s v="Strong"/>
    <s v="Beginner"/>
    <s v="Good"/>
    <x v="1"/>
    <n v="46"/>
    <s v="Needs Improvement"/>
    <x v="2"/>
    <s v="Technical Skills"/>
    <s v="Strengthen technical skills and practical knowledge"/>
  </r>
  <r>
    <n v="32"/>
    <n v="0"/>
    <n v="3"/>
    <n v="14"/>
    <n v="4"/>
    <n v="20.1451507018622"/>
    <n v="42"/>
    <n v="25"/>
    <n v="36"/>
    <n v="2"/>
    <n v="0"/>
    <s v="C876"/>
    <s v="Male"/>
    <s v="Master's"/>
    <s v="Senior Level"/>
    <s v="Low"/>
    <s v="Beginner"/>
    <s v="Needs Improvement"/>
    <x v="1"/>
    <n v="45"/>
    <s v="Needs Improvement"/>
    <x v="2"/>
    <s v="Technical Skills"/>
    <s v="Strengthen technical skills and practical knowledge"/>
  </r>
  <r>
    <n v="37"/>
    <n v="0"/>
    <n v="2"/>
    <n v="7"/>
    <n v="3"/>
    <n v="9.8942029367249802"/>
    <n v="43"/>
    <n v="82"/>
    <n v="24"/>
    <n v="2"/>
    <n v="0"/>
    <s v="C877"/>
    <s v="Male"/>
    <s v="Bachelor's Type 2"/>
    <s v="Senior Level"/>
    <s v="Low"/>
    <s v="Advanced"/>
    <s v="Needs Improvement"/>
    <x v="1"/>
    <n v="52"/>
    <s v="Developing"/>
    <x v="1"/>
    <s v="Personality &amp; Communication"/>
    <s v="Work on communication and personality development"/>
  </r>
  <r>
    <n v="47"/>
    <n v="1"/>
    <n v="1"/>
    <n v="11"/>
    <n v="3"/>
    <n v="18.586005567282601"/>
    <n v="67"/>
    <n v="25"/>
    <n v="15"/>
    <n v="3"/>
    <n v="0"/>
    <s v="C878"/>
    <s v="Female"/>
    <s v="Bachelor's Type 1"/>
    <s v="Senior Level"/>
    <s v="Average"/>
    <s v="Beginner"/>
    <s v="Needs Improvement"/>
    <x v="1"/>
    <n v="44"/>
    <s v="Needs Improvement"/>
    <x v="2"/>
    <s v="Personality &amp; Communication"/>
    <s v="Work on communication and personality development"/>
  </r>
  <r>
    <n v="49"/>
    <n v="1"/>
    <n v="3"/>
    <n v="5"/>
    <n v="1"/>
    <n v="23.0090164348596"/>
    <n v="32"/>
    <n v="36"/>
    <n v="37"/>
    <n v="2"/>
    <n v="0"/>
    <s v="C879"/>
    <s v="Female"/>
    <s v="Master's"/>
    <s v="Mid Level"/>
    <s v="Low"/>
    <s v="Beginner"/>
    <s v="Needs Improvement"/>
    <x v="1"/>
    <n v="37"/>
    <s v="Needs Improvement"/>
    <x v="0"/>
    <s v="Interview Preparation"/>
    <s v="Improve interview preparation and communication"/>
  </r>
  <r>
    <n v="45"/>
    <n v="1"/>
    <n v="2"/>
    <n v="5"/>
    <n v="5"/>
    <n v="4.4653886519147399"/>
    <n v="23"/>
    <n v="90"/>
    <n v="42"/>
    <n v="1"/>
    <n v="0"/>
    <s v="C880"/>
    <s v="Female"/>
    <s v="Bachelor's Type 2"/>
    <s v="Mid Level"/>
    <s v="Low"/>
    <s v="Advanced"/>
    <s v="Needs Improvement"/>
    <x v="1"/>
    <n v="50"/>
    <s v="Developing"/>
    <x v="1"/>
    <s v="Interview Preparation"/>
    <s v="Improve interview preparation and communication"/>
  </r>
  <r>
    <n v="39"/>
    <n v="0"/>
    <n v="3"/>
    <n v="1"/>
    <n v="5"/>
    <n v="29.9109190611644"/>
    <n v="35"/>
    <n v="93"/>
    <n v="86"/>
    <n v="2"/>
    <n v="0"/>
    <s v="C881"/>
    <s v="Male"/>
    <s v="Master's"/>
    <s v="Entry Level"/>
    <s v="Low"/>
    <s v="Advanced"/>
    <s v="Strong"/>
    <x v="1"/>
    <n v="60"/>
    <s v="Developing"/>
    <x v="1"/>
    <s v="Interview Preparation"/>
    <s v="Improve interview preparation and communication"/>
  </r>
  <r>
    <n v="47"/>
    <n v="1"/>
    <n v="2"/>
    <n v="14"/>
    <n v="1"/>
    <n v="30.881621993444998"/>
    <n v="9"/>
    <n v="52"/>
    <n v="13"/>
    <n v="2"/>
    <n v="0"/>
    <s v="C882"/>
    <s v="Female"/>
    <s v="Bachelor's Type 2"/>
    <s v="Senior Level"/>
    <s v="Low"/>
    <s v="Intermediate"/>
    <s v="Needs Improvement"/>
    <x v="1"/>
    <n v="37"/>
    <s v="Needs Improvement"/>
    <x v="1"/>
    <s v="Interview Preparation"/>
    <s v="Improve interview preparation and communication"/>
  </r>
  <r>
    <n v="27"/>
    <n v="1"/>
    <n v="2"/>
    <n v="0"/>
    <n v="5"/>
    <n v="37.946522767473603"/>
    <n v="99"/>
    <n v="29"/>
    <n v="5"/>
    <n v="1"/>
    <n v="0"/>
    <s v="C883"/>
    <s v="Female"/>
    <s v="Bachelor's Type 2"/>
    <s v="Entry Level"/>
    <s v="Strong"/>
    <s v="Beginner"/>
    <s v="Needs Improvement"/>
    <x v="1"/>
    <n v="42"/>
    <s v="Needs Improvement"/>
    <x v="2"/>
    <s v="Personality &amp; Communication"/>
    <s v="Work on communication and personality development"/>
  </r>
  <r>
    <n v="48"/>
    <n v="1"/>
    <n v="1"/>
    <n v="12"/>
    <n v="2"/>
    <n v="2.4584946145371598"/>
    <n v="19"/>
    <n v="2"/>
    <n v="88"/>
    <n v="3"/>
    <n v="0"/>
    <s v="C884"/>
    <s v="Female"/>
    <s v="Bachelor's Type 1"/>
    <s v="Senior Level"/>
    <s v="Low"/>
    <s v="Beginner"/>
    <s v="Strong"/>
    <x v="1"/>
    <n v="38"/>
    <s v="Needs Improvement"/>
    <x v="0"/>
    <s v="Technical Skills"/>
    <s v="Strengthen technical skills and practical knowledge"/>
  </r>
  <r>
    <n v="50"/>
    <n v="0"/>
    <n v="1"/>
    <n v="13"/>
    <n v="5"/>
    <n v="28.0619107216915"/>
    <n v="74"/>
    <n v="42"/>
    <n v="22"/>
    <n v="2"/>
    <n v="0"/>
    <s v="C885"/>
    <s v="Male"/>
    <s v="Bachelor's Type 1"/>
    <s v="Senior Level"/>
    <s v="Average"/>
    <s v="Beginner"/>
    <s v="Needs Improvement"/>
    <x v="1"/>
    <n v="55"/>
    <s v="Developing"/>
    <x v="2"/>
    <s v="Personality &amp; Communication"/>
    <s v="Work on communication and personality development"/>
  </r>
  <r>
    <n v="28"/>
    <n v="0"/>
    <n v="4"/>
    <n v="13"/>
    <n v="5"/>
    <n v="3.6453716635332101"/>
    <n v="11"/>
    <n v="6"/>
    <n v="59"/>
    <n v="3"/>
    <n v="0"/>
    <s v="C886"/>
    <s v="Male"/>
    <s v="PhD"/>
    <s v="Senior Level"/>
    <s v="Low"/>
    <s v="Beginner"/>
    <s v="Good"/>
    <x v="1"/>
    <n v="35"/>
    <s v="Needs Improvement"/>
    <x v="0"/>
    <s v="Technical Skills"/>
    <s v="Strengthen technical skills and practical knowledge"/>
  </r>
  <r>
    <n v="26"/>
    <n v="0"/>
    <n v="2"/>
    <n v="1"/>
    <n v="1"/>
    <n v="36.0572109983326"/>
    <n v="61"/>
    <n v="48"/>
    <n v="11"/>
    <n v="2"/>
    <n v="0"/>
    <s v="C887"/>
    <s v="Male"/>
    <s v="Bachelor's Type 2"/>
    <s v="Entry Level"/>
    <s v="Average"/>
    <s v="Beginner"/>
    <s v="Needs Improvement"/>
    <x v="1"/>
    <n v="38"/>
    <s v="Needs Improvement"/>
    <x v="2"/>
    <s v="Personality &amp; Communication"/>
    <s v="Work on communication and personality development"/>
  </r>
  <r>
    <n v="20"/>
    <n v="0"/>
    <n v="4"/>
    <n v="3"/>
    <n v="4"/>
    <n v="3.7863992850492201"/>
    <n v="17"/>
    <n v="72"/>
    <n v="12"/>
    <n v="2"/>
    <n v="0"/>
    <s v="C888"/>
    <s v="Male"/>
    <s v="PhD"/>
    <s v="Mid Level"/>
    <s v="Low"/>
    <s v="Intermediate"/>
    <s v="Needs Improvement"/>
    <x v="1"/>
    <n v="37"/>
    <s v="Needs Improvement"/>
    <x v="1"/>
    <s v="Personality &amp; Communication"/>
    <s v="Work on communication and personality development"/>
  </r>
  <r>
    <n v="22"/>
    <n v="1"/>
    <n v="2"/>
    <n v="1"/>
    <n v="5"/>
    <n v="46.586392417081598"/>
    <n v="93"/>
    <n v="40"/>
    <n v="99"/>
    <n v="2"/>
    <n v="0"/>
    <s v="C889"/>
    <s v="Female"/>
    <s v="Bachelor's Type 2"/>
    <s v="Entry Level"/>
    <s v="Strong"/>
    <s v="Beginner"/>
    <s v="Strong"/>
    <x v="1"/>
    <n v="63"/>
    <s v="Developing"/>
    <x v="0"/>
    <s v="Technical Skills"/>
    <s v="Strengthen technical skills and practical knowledge"/>
  </r>
  <r>
    <n v="32"/>
    <n v="1"/>
    <n v="1"/>
    <n v="15"/>
    <n v="5"/>
    <n v="36.104128344224797"/>
    <n v="100"/>
    <n v="76"/>
    <n v="97"/>
    <n v="2"/>
    <n v="1"/>
    <s v="C890"/>
    <s v="Female"/>
    <s v="Bachelor's Type 1"/>
    <s v="Senior Level"/>
    <s v="Strong"/>
    <s v="Advanced"/>
    <s v="Strong"/>
    <x v="0"/>
    <n v="90"/>
    <s v="Job Ready"/>
    <x v="2"/>
    <s v="Technical Skills"/>
    <s v="Strengthen technical skills and practical knowledge"/>
  </r>
  <r>
    <n v="47"/>
    <n v="1"/>
    <n v="1"/>
    <n v="0"/>
    <n v="4"/>
    <n v="26.369488254257799"/>
    <n v="62"/>
    <n v="78"/>
    <n v="5"/>
    <n v="2"/>
    <n v="0"/>
    <s v="C891"/>
    <s v="Female"/>
    <s v="Bachelor's Type 1"/>
    <s v="Entry Level"/>
    <s v="Average"/>
    <s v="Advanced"/>
    <s v="Needs Improvement"/>
    <x v="1"/>
    <n v="46"/>
    <s v="Needs Improvement"/>
    <x v="1"/>
    <s v="Personality &amp; Communication"/>
    <s v="Work on communication and personality development"/>
  </r>
  <r>
    <n v="49"/>
    <n v="1"/>
    <n v="2"/>
    <n v="6"/>
    <n v="1"/>
    <n v="23.075196164058699"/>
    <n v="83"/>
    <n v="53"/>
    <n v="62"/>
    <n v="3"/>
    <n v="1"/>
    <s v="C892"/>
    <s v="Female"/>
    <s v="Bachelor's Type 2"/>
    <s v="Mid Level"/>
    <s v="Strong"/>
    <s v="Intermediate"/>
    <s v="Good"/>
    <x v="0"/>
    <n v="62"/>
    <s v="Developing"/>
    <x v="2"/>
    <s v="Technical Skills"/>
    <s v="Strengthen technical skills and practical knowledge"/>
  </r>
  <r>
    <n v="44"/>
    <n v="0"/>
    <n v="4"/>
    <n v="10"/>
    <n v="4"/>
    <n v="7.5336315206631097"/>
    <n v="24"/>
    <n v="68"/>
    <n v="37"/>
    <n v="2"/>
    <n v="0"/>
    <s v="C893"/>
    <s v="Male"/>
    <s v="PhD"/>
    <s v="Senior Level"/>
    <s v="Low"/>
    <s v="Intermediate"/>
    <s v="Needs Improvement"/>
    <x v="1"/>
    <n v="50"/>
    <s v="Developing"/>
    <x v="1"/>
    <s v="Interview Preparation"/>
    <s v="Improve interview preparation and communication"/>
  </r>
  <r>
    <n v="50"/>
    <n v="0"/>
    <n v="2"/>
    <n v="10"/>
    <n v="1"/>
    <n v="15.5499694782331"/>
    <n v="11"/>
    <n v="92"/>
    <n v="49"/>
    <n v="3"/>
    <n v="0"/>
    <s v="C894"/>
    <s v="Male"/>
    <s v="Bachelor's Type 2"/>
    <s v="Senior Level"/>
    <s v="Low"/>
    <s v="Advanced"/>
    <s v="Needs Improvement"/>
    <x v="1"/>
    <n v="53"/>
    <s v="Developing"/>
    <x v="1"/>
    <s v="Interview Preparation"/>
    <s v="Improve interview preparation and communication"/>
  </r>
  <r>
    <n v="47"/>
    <n v="0"/>
    <n v="2"/>
    <n v="14"/>
    <n v="2"/>
    <n v="44.447955251044803"/>
    <n v="20"/>
    <n v="98"/>
    <n v="51"/>
    <n v="3"/>
    <n v="0"/>
    <s v="C895"/>
    <s v="Male"/>
    <s v="Bachelor's Type 2"/>
    <s v="Senior Level"/>
    <s v="Low"/>
    <s v="Advanced"/>
    <s v="Good"/>
    <x v="1"/>
    <n v="62"/>
    <s v="Developing"/>
    <x v="1"/>
    <s v="Interview Preparation"/>
    <s v="Improve interview preparation and communication"/>
  </r>
  <r>
    <n v="36"/>
    <n v="1"/>
    <n v="2"/>
    <n v="11"/>
    <n v="1"/>
    <n v="46.222640578124697"/>
    <n v="24"/>
    <n v="90"/>
    <n v="39"/>
    <n v="3"/>
    <n v="0"/>
    <s v="C896"/>
    <s v="Female"/>
    <s v="Bachelor's Type 2"/>
    <s v="Senior Level"/>
    <s v="Low"/>
    <s v="Advanced"/>
    <s v="Needs Improvement"/>
    <x v="1"/>
    <n v="56"/>
    <s v="Developing"/>
    <x v="1"/>
    <s v="Interview Preparation"/>
    <s v="Improve interview preparation and communication"/>
  </r>
  <r>
    <n v="44"/>
    <n v="0"/>
    <n v="1"/>
    <n v="7"/>
    <n v="2"/>
    <n v="1.0373854185265501"/>
    <n v="10"/>
    <n v="26"/>
    <n v="7"/>
    <n v="2"/>
    <n v="0"/>
    <s v="C897"/>
    <s v="Male"/>
    <s v="Bachelor's Type 1"/>
    <s v="Senior Level"/>
    <s v="Low"/>
    <s v="Beginner"/>
    <s v="Needs Improvement"/>
    <x v="1"/>
    <n v="22"/>
    <s v="Needs Improvement"/>
    <x v="1"/>
    <s v="Personality &amp; Communication"/>
    <s v="Work on communication and personality development"/>
  </r>
  <r>
    <n v="43"/>
    <n v="0"/>
    <n v="2"/>
    <n v="5"/>
    <n v="2"/>
    <n v="30.7068195738775"/>
    <n v="63"/>
    <n v="7"/>
    <n v="60"/>
    <n v="2"/>
    <n v="0"/>
    <s v="C898"/>
    <s v="Male"/>
    <s v="Bachelor's Type 2"/>
    <s v="Mid Level"/>
    <s v="Average"/>
    <s v="Beginner"/>
    <s v="Good"/>
    <x v="1"/>
    <n v="41"/>
    <s v="Needs Improvement"/>
    <x v="2"/>
    <s v="Technical Skills"/>
    <s v="Strengthen technical skills and practical knowledge"/>
  </r>
  <r>
    <n v="20"/>
    <n v="1"/>
    <n v="1"/>
    <n v="3"/>
    <n v="1"/>
    <n v="36.9650304512556"/>
    <n v="72"/>
    <n v="31"/>
    <n v="7"/>
    <n v="1"/>
    <n v="0"/>
    <s v="C899"/>
    <s v="Female"/>
    <s v="Bachelor's Type 1"/>
    <s v="Mid Level"/>
    <s v="Average"/>
    <s v="Beginner"/>
    <s v="Needs Improvement"/>
    <x v="1"/>
    <n v="38"/>
    <s v="Needs Improvement"/>
    <x v="2"/>
    <s v="Personality &amp; Communication"/>
    <s v="Work on communication and personality development"/>
  </r>
  <r>
    <n v="25"/>
    <n v="1"/>
    <n v="3"/>
    <n v="13"/>
    <n v="3"/>
    <n v="31.937349122880299"/>
    <n v="49"/>
    <n v="83"/>
    <n v="96"/>
    <n v="2"/>
    <n v="1"/>
    <s v="C900"/>
    <s v="Female"/>
    <s v="Master's"/>
    <s v="Senior Level"/>
    <s v="Low"/>
    <s v="Advanced"/>
    <s v="Strong"/>
    <x v="0"/>
    <n v="76"/>
    <s v="Job Ready"/>
    <x v="0"/>
    <s v="Interview Preparation"/>
    <s v="Improve interview preparation and communication"/>
  </r>
  <r>
    <n v="40"/>
    <n v="0"/>
    <n v="2"/>
    <n v="5"/>
    <n v="1"/>
    <n v="5.0839882433176902"/>
    <n v="61"/>
    <n v="63"/>
    <n v="33"/>
    <n v="1"/>
    <n v="0"/>
    <s v="C901"/>
    <s v="Male"/>
    <s v="Bachelor's Type 2"/>
    <s v="Mid Level"/>
    <s v="Average"/>
    <s v="Intermediate"/>
    <s v="Needs Improvement"/>
    <x v="1"/>
    <n v="51"/>
    <s v="Developing"/>
    <x v="1"/>
    <s v="Personality &amp; Communication"/>
    <s v="Work on communication and personality development"/>
  </r>
  <r>
    <n v="25"/>
    <n v="0"/>
    <n v="2"/>
    <n v="2"/>
    <n v="5"/>
    <n v="11.886244939945099"/>
    <n v="88"/>
    <n v="9"/>
    <n v="78"/>
    <n v="1"/>
    <n v="1"/>
    <s v="C902"/>
    <s v="Male"/>
    <s v="Bachelor's Type 2"/>
    <s v="Entry Level"/>
    <s v="Strong"/>
    <s v="Beginner"/>
    <s v="Strong"/>
    <x v="0"/>
    <n v="49"/>
    <s v="Needs Improvement"/>
    <x v="2"/>
    <s v="Technical Skills"/>
    <s v="Strengthen technical skills and practical knowledge"/>
  </r>
  <r>
    <n v="45"/>
    <n v="0"/>
    <n v="2"/>
    <n v="11"/>
    <n v="5"/>
    <n v="13.5170133690693"/>
    <n v="98"/>
    <n v="12"/>
    <n v="99"/>
    <n v="1"/>
    <n v="1"/>
    <s v="C903"/>
    <s v="Male"/>
    <s v="Bachelor's Type 2"/>
    <s v="Senior Level"/>
    <s v="Strong"/>
    <s v="Beginner"/>
    <s v="Strong"/>
    <x v="0"/>
    <n v="66"/>
    <s v="Developing"/>
    <x v="0"/>
    <s v="Technical Skills"/>
    <s v="Strengthen technical skills and practical knowledge"/>
  </r>
  <r>
    <n v="31"/>
    <n v="0"/>
    <n v="2"/>
    <n v="7"/>
    <n v="3"/>
    <n v="42.586231565254401"/>
    <n v="95"/>
    <n v="62"/>
    <n v="59"/>
    <n v="3"/>
    <n v="0"/>
    <s v="C904"/>
    <s v="Male"/>
    <s v="Bachelor's Type 2"/>
    <s v="Senior Level"/>
    <s v="Strong"/>
    <s v="Intermediate"/>
    <s v="Good"/>
    <x v="1"/>
    <n v="68"/>
    <s v="Developing"/>
    <x v="2"/>
    <s v="Personality &amp; Communication"/>
    <s v="Work on communication and personality development"/>
  </r>
  <r>
    <n v="32"/>
    <n v="0"/>
    <n v="4"/>
    <n v="9"/>
    <n v="2"/>
    <n v="24.159971815445999"/>
    <n v="48"/>
    <n v="92"/>
    <n v="56"/>
    <n v="3"/>
    <n v="0"/>
    <s v="C905"/>
    <s v="Male"/>
    <s v="PhD"/>
    <s v="Senior Level"/>
    <s v="Low"/>
    <s v="Advanced"/>
    <s v="Good"/>
    <x v="1"/>
    <n v="67"/>
    <s v="Developing"/>
    <x v="1"/>
    <s v="Interview Preparation"/>
    <s v="Improve interview preparation and communication"/>
  </r>
  <r>
    <n v="32"/>
    <n v="0"/>
    <n v="2"/>
    <n v="13"/>
    <n v="3"/>
    <n v="25.341410597061799"/>
    <n v="13"/>
    <n v="34"/>
    <n v="98"/>
    <n v="2"/>
    <n v="0"/>
    <s v="C906"/>
    <s v="Male"/>
    <s v="Bachelor's Type 2"/>
    <s v="Senior Level"/>
    <s v="Low"/>
    <s v="Beginner"/>
    <s v="Strong"/>
    <x v="1"/>
    <n v="49"/>
    <s v="Needs Improvement"/>
    <x v="0"/>
    <s v="Interview Preparation"/>
    <s v="Improve interview preparation and communication"/>
  </r>
  <r>
    <n v="48"/>
    <n v="1"/>
    <n v="1"/>
    <n v="12"/>
    <n v="5"/>
    <n v="47.744652327725397"/>
    <n v="0"/>
    <n v="60"/>
    <n v="45"/>
    <n v="2"/>
    <n v="0"/>
    <s v="C907"/>
    <s v="Female"/>
    <s v="Bachelor's Type 1"/>
    <s v="Senior Level"/>
    <s v="Low"/>
    <s v="Intermediate"/>
    <s v="Needs Improvement"/>
    <x v="1"/>
    <n v="42"/>
    <s v="Needs Improvement"/>
    <x v="1"/>
    <s v="Interview Preparation"/>
    <s v="Improve interview preparation and communication"/>
  </r>
  <r>
    <n v="34"/>
    <n v="1"/>
    <n v="2"/>
    <n v="12"/>
    <n v="3"/>
    <n v="32.8542944427357"/>
    <n v="80"/>
    <n v="53"/>
    <n v="21"/>
    <n v="2"/>
    <n v="0"/>
    <s v="C908"/>
    <s v="Female"/>
    <s v="Bachelor's Type 2"/>
    <s v="Senior Level"/>
    <s v="Strong"/>
    <s v="Intermediate"/>
    <s v="Needs Improvement"/>
    <x v="1"/>
    <n v="59"/>
    <s v="Developing"/>
    <x v="2"/>
    <s v="Personality &amp; Communication"/>
    <s v="Work on communication and personality development"/>
  </r>
  <r>
    <n v="40"/>
    <n v="1"/>
    <n v="1"/>
    <n v="1"/>
    <n v="1"/>
    <n v="45.933385077633098"/>
    <n v="24"/>
    <n v="7"/>
    <n v="86"/>
    <n v="2"/>
    <n v="0"/>
    <s v="C909"/>
    <s v="Female"/>
    <s v="Bachelor's Type 1"/>
    <s v="Entry Level"/>
    <s v="Low"/>
    <s v="Beginner"/>
    <s v="Strong"/>
    <x v="1"/>
    <n v="30"/>
    <s v="Needs Improvement"/>
    <x v="0"/>
    <s v="Technical Skills"/>
    <s v="Strengthen technical skills and practical knowledge"/>
  </r>
  <r>
    <n v="35"/>
    <n v="0"/>
    <n v="1"/>
    <n v="4"/>
    <n v="3"/>
    <n v="23.825442767076598"/>
    <n v="58"/>
    <n v="28"/>
    <n v="39"/>
    <n v="2"/>
    <n v="0"/>
    <s v="C910"/>
    <s v="Male"/>
    <s v="Bachelor's Type 1"/>
    <s v="Mid Level"/>
    <s v="Average"/>
    <s v="Beginner"/>
    <s v="Needs Improvement"/>
    <x v="1"/>
    <n v="40"/>
    <s v="Needs Improvement"/>
    <x v="2"/>
    <s v="Technical Skills"/>
    <s v="Strengthen technical skills and practical knowledge"/>
  </r>
  <r>
    <n v="41"/>
    <n v="1"/>
    <n v="4"/>
    <n v="0"/>
    <n v="2"/>
    <n v="8.4718129259147101"/>
    <n v="71"/>
    <n v="94"/>
    <n v="44"/>
    <n v="2"/>
    <n v="0"/>
    <s v="C911"/>
    <s v="Female"/>
    <s v="PhD"/>
    <s v="Entry Level"/>
    <s v="Average"/>
    <s v="Advanced"/>
    <s v="Needs Improvement"/>
    <x v="1"/>
    <n v="63"/>
    <s v="Developing"/>
    <x v="1"/>
    <s v="Personality &amp; Communication"/>
    <s v="Work on communication and personality development"/>
  </r>
  <r>
    <n v="40"/>
    <n v="0"/>
    <n v="3"/>
    <n v="5"/>
    <n v="1"/>
    <n v="47.496779703704199"/>
    <n v="68"/>
    <n v="40"/>
    <n v="54"/>
    <n v="2"/>
    <n v="0"/>
    <s v="C912"/>
    <s v="Male"/>
    <s v="Master's"/>
    <s v="Mid Level"/>
    <s v="Average"/>
    <s v="Beginner"/>
    <s v="Good"/>
    <x v="1"/>
    <n v="52"/>
    <s v="Developing"/>
    <x v="2"/>
    <s v="Technical Skills"/>
    <s v="Strengthen technical skills and practical knowledge"/>
  </r>
  <r>
    <n v="30"/>
    <n v="0"/>
    <n v="4"/>
    <n v="1"/>
    <n v="4"/>
    <n v="23.935255783376899"/>
    <n v="4"/>
    <n v="29"/>
    <n v="50"/>
    <n v="2"/>
    <n v="0"/>
    <s v="C913"/>
    <s v="Male"/>
    <s v="PhD"/>
    <s v="Entry Level"/>
    <s v="Low"/>
    <s v="Beginner"/>
    <s v="Good"/>
    <x v="1"/>
    <n v="26"/>
    <s v="Needs Improvement"/>
    <x v="0"/>
    <s v="Interview Preparation"/>
    <s v="Improve interview preparation and communication"/>
  </r>
  <r>
    <n v="47"/>
    <n v="1"/>
    <n v="2"/>
    <n v="3"/>
    <n v="5"/>
    <n v="10.081571093940999"/>
    <n v="98"/>
    <n v="85"/>
    <n v="85"/>
    <n v="2"/>
    <n v="0"/>
    <s v="C914"/>
    <s v="Female"/>
    <s v="Bachelor's Type 2"/>
    <s v="Mid Level"/>
    <s v="Strong"/>
    <s v="Advanced"/>
    <s v="Strong"/>
    <x v="1"/>
    <n v="77"/>
    <s v="Job Ready"/>
    <x v="2"/>
    <s v="Technical Skills"/>
    <s v="Strengthen technical skills and practical knowledge"/>
  </r>
  <r>
    <n v="24"/>
    <n v="0"/>
    <n v="2"/>
    <n v="5"/>
    <n v="5"/>
    <n v="16.119787015196099"/>
    <n v="18"/>
    <n v="20"/>
    <n v="4"/>
    <n v="2"/>
    <n v="0"/>
    <s v="C915"/>
    <s v="Male"/>
    <s v="Bachelor's Type 2"/>
    <s v="Mid Level"/>
    <s v="Low"/>
    <s v="Beginner"/>
    <s v="Needs Improvement"/>
    <x v="1"/>
    <n v="20"/>
    <s v="Needs Improvement"/>
    <x v="1"/>
    <s v="Personality &amp; Communication"/>
    <s v="Work on communication and personality development"/>
  </r>
  <r>
    <n v="23"/>
    <n v="0"/>
    <n v="1"/>
    <n v="9"/>
    <n v="3"/>
    <n v="3.5401294844471098"/>
    <n v="22"/>
    <n v="75"/>
    <n v="94"/>
    <n v="3"/>
    <n v="0"/>
    <s v="C916"/>
    <s v="Male"/>
    <s v="Bachelor's Type 1"/>
    <s v="Senior Level"/>
    <s v="Low"/>
    <s v="Advanced"/>
    <s v="Strong"/>
    <x v="1"/>
    <n v="59"/>
    <s v="Developing"/>
    <x v="0"/>
    <s v="Interview Preparation"/>
    <s v="Improve interview preparation and communication"/>
  </r>
  <r>
    <n v="22"/>
    <n v="1"/>
    <n v="2"/>
    <n v="10"/>
    <n v="1"/>
    <n v="24.415029572819201"/>
    <n v="8"/>
    <n v="10"/>
    <n v="12"/>
    <n v="1"/>
    <n v="0"/>
    <s v="C917"/>
    <s v="Female"/>
    <s v="Bachelor's Type 2"/>
    <s v="Senior Level"/>
    <s v="Low"/>
    <s v="Beginner"/>
    <s v="Needs Improvement"/>
    <x v="1"/>
    <n v="20"/>
    <s v="Needs Improvement"/>
    <x v="0"/>
    <s v="Interview Preparation"/>
    <s v="Improve interview preparation and communication"/>
  </r>
  <r>
    <n v="38"/>
    <n v="1"/>
    <n v="3"/>
    <n v="7"/>
    <n v="4"/>
    <n v="43.656408595511799"/>
    <n v="93"/>
    <n v="1"/>
    <n v="27"/>
    <n v="2"/>
    <n v="0"/>
    <s v="C918"/>
    <s v="Female"/>
    <s v="Master's"/>
    <s v="Senior Level"/>
    <s v="Strong"/>
    <s v="Beginner"/>
    <s v="Needs Improvement"/>
    <x v="1"/>
    <n v="44"/>
    <s v="Needs Improvement"/>
    <x v="2"/>
    <s v="Technical Skills"/>
    <s v="Strengthen technical skills and practical knowledge"/>
  </r>
  <r>
    <n v="39"/>
    <n v="1"/>
    <n v="2"/>
    <n v="11"/>
    <n v="1"/>
    <n v="47.679022800334401"/>
    <n v="49"/>
    <n v="49"/>
    <n v="83"/>
    <n v="2"/>
    <n v="0"/>
    <s v="C919"/>
    <s v="Female"/>
    <s v="Bachelor's Type 2"/>
    <s v="Senior Level"/>
    <s v="Low"/>
    <s v="Beginner"/>
    <s v="Strong"/>
    <x v="1"/>
    <n v="60"/>
    <s v="Developing"/>
    <x v="0"/>
    <s v="Interview Preparation"/>
    <s v="Improve interview preparation and communication"/>
  </r>
  <r>
    <n v="44"/>
    <n v="0"/>
    <n v="3"/>
    <n v="7"/>
    <n v="5"/>
    <n v="47.630110375182099"/>
    <n v="15"/>
    <n v="40"/>
    <n v="96"/>
    <n v="1"/>
    <n v="1"/>
    <s v="C920"/>
    <s v="Male"/>
    <s v="Master's"/>
    <s v="Senior Level"/>
    <s v="Low"/>
    <s v="Beginner"/>
    <s v="Strong"/>
    <x v="0"/>
    <n v="46"/>
    <s v="Needs Improvement"/>
    <x v="0"/>
    <s v="Interview Preparation"/>
    <s v="Improve interview preparation and communication"/>
  </r>
  <r>
    <n v="37"/>
    <n v="1"/>
    <n v="3"/>
    <n v="10"/>
    <n v="1"/>
    <n v="7.2615012814373303"/>
    <n v="32"/>
    <n v="65"/>
    <n v="79"/>
    <n v="2"/>
    <n v="1"/>
    <s v="C921"/>
    <s v="Female"/>
    <s v="Master's"/>
    <s v="Senior Level"/>
    <s v="Low"/>
    <s v="Intermediate"/>
    <s v="Strong"/>
    <x v="0"/>
    <n v="59"/>
    <s v="Developing"/>
    <x v="0"/>
    <s v="Interview Preparation"/>
    <s v="Improve interview preparation and communication"/>
  </r>
  <r>
    <n v="34"/>
    <n v="1"/>
    <n v="1"/>
    <n v="5"/>
    <n v="4"/>
    <n v="20.102694125552802"/>
    <n v="1"/>
    <n v="97"/>
    <n v="61"/>
    <n v="1"/>
    <n v="1"/>
    <s v="C922"/>
    <s v="Female"/>
    <s v="Bachelor's Type 1"/>
    <s v="Mid Level"/>
    <s v="Low"/>
    <s v="Advanced"/>
    <s v="Good"/>
    <x v="0"/>
    <n v="49"/>
    <s v="Needs Improvement"/>
    <x v="1"/>
    <s v="Interview Preparation"/>
    <s v="Improve interview preparation and communication"/>
  </r>
  <r>
    <n v="28"/>
    <n v="0"/>
    <n v="2"/>
    <n v="3"/>
    <n v="3"/>
    <n v="2.4114379825353098"/>
    <n v="13"/>
    <n v="2"/>
    <n v="92"/>
    <n v="2"/>
    <n v="0"/>
    <s v="C923"/>
    <s v="Male"/>
    <s v="Bachelor's Type 2"/>
    <s v="Mid Level"/>
    <s v="Low"/>
    <s v="Beginner"/>
    <s v="Strong"/>
    <x v="1"/>
    <n v="28"/>
    <s v="Needs Improvement"/>
    <x v="0"/>
    <s v="Technical Skills"/>
    <s v="Strengthen technical skills and practical knowledge"/>
  </r>
  <r>
    <n v="36"/>
    <n v="1"/>
    <n v="2"/>
    <n v="7"/>
    <n v="2"/>
    <n v="43.758267248573603"/>
    <n v="0"/>
    <n v="79"/>
    <n v="86"/>
    <n v="2"/>
    <n v="0"/>
    <s v="C924"/>
    <s v="Female"/>
    <s v="Bachelor's Type 2"/>
    <s v="Senior Level"/>
    <s v="Low"/>
    <s v="Advanced"/>
    <s v="Strong"/>
    <x v="1"/>
    <n v="50"/>
    <s v="Developing"/>
    <x v="0"/>
    <s v="Interview Preparation"/>
    <s v="Improve interview preparation and communication"/>
  </r>
  <r>
    <n v="33"/>
    <n v="1"/>
    <n v="2"/>
    <n v="12"/>
    <n v="1"/>
    <n v="18.9377881010636"/>
    <n v="89"/>
    <n v="50"/>
    <n v="23"/>
    <n v="2"/>
    <n v="0"/>
    <s v="C925"/>
    <s v="Female"/>
    <s v="Bachelor's Type 2"/>
    <s v="Senior Level"/>
    <s v="Strong"/>
    <s v="Intermediate"/>
    <s v="Needs Improvement"/>
    <x v="1"/>
    <n v="61"/>
    <s v="Developing"/>
    <x v="2"/>
    <s v="Personality &amp; Communication"/>
    <s v="Work on communication and personality development"/>
  </r>
  <r>
    <n v="34"/>
    <n v="1"/>
    <n v="3"/>
    <n v="7"/>
    <n v="2"/>
    <n v="32.5558513946117"/>
    <n v="57"/>
    <n v="67"/>
    <n v="97"/>
    <n v="2"/>
    <n v="1"/>
    <s v="C926"/>
    <s v="Female"/>
    <s v="Master's"/>
    <s v="Senior Level"/>
    <s v="Average"/>
    <s v="Intermediate"/>
    <s v="Strong"/>
    <x v="0"/>
    <n v="67"/>
    <s v="Developing"/>
    <x v="0"/>
    <s v="Interview Preparation"/>
    <s v="Improve interview preparation and communication"/>
  </r>
  <r>
    <n v="50"/>
    <n v="0"/>
    <n v="2"/>
    <n v="9"/>
    <n v="5"/>
    <n v="36.744921903864402"/>
    <n v="88"/>
    <n v="86"/>
    <n v="6"/>
    <n v="1"/>
    <n v="1"/>
    <s v="C927"/>
    <s v="Male"/>
    <s v="Bachelor's Type 2"/>
    <s v="Senior Level"/>
    <s v="Strong"/>
    <s v="Advanced"/>
    <s v="Needs Improvement"/>
    <x v="0"/>
    <n v="65"/>
    <s v="Developing"/>
    <x v="2"/>
    <s v="Personality &amp; Communication"/>
    <s v="Work on communication and personality development"/>
  </r>
  <r>
    <n v="20"/>
    <n v="0"/>
    <n v="1"/>
    <n v="13"/>
    <n v="3"/>
    <n v="22.492233487157701"/>
    <n v="15"/>
    <n v="83"/>
    <n v="37"/>
    <n v="2"/>
    <n v="0"/>
    <s v="C928"/>
    <s v="Male"/>
    <s v="Bachelor's Type 1"/>
    <s v="Senior Level"/>
    <s v="Low"/>
    <s v="Advanced"/>
    <s v="Needs Improvement"/>
    <x v="1"/>
    <n v="52"/>
    <s v="Developing"/>
    <x v="1"/>
    <s v="Interview Preparation"/>
    <s v="Improve interview preparation and communication"/>
  </r>
  <r>
    <n v="40"/>
    <n v="0"/>
    <n v="2"/>
    <n v="0"/>
    <n v="3"/>
    <n v="16.322116827512101"/>
    <n v="78"/>
    <n v="24"/>
    <n v="36"/>
    <n v="1"/>
    <n v="0"/>
    <s v="C929"/>
    <s v="Male"/>
    <s v="Bachelor's Type 2"/>
    <s v="Entry Level"/>
    <s v="Strong"/>
    <s v="Beginner"/>
    <s v="Needs Improvement"/>
    <x v="1"/>
    <n v="40"/>
    <s v="Needs Improvement"/>
    <x v="2"/>
    <s v="Technical Skills"/>
    <s v="Strengthen technical skills and practical knowledge"/>
  </r>
  <r>
    <n v="41"/>
    <n v="0"/>
    <n v="4"/>
    <n v="15"/>
    <n v="1"/>
    <n v="49.110645505797201"/>
    <n v="89"/>
    <n v="29"/>
    <n v="67"/>
    <n v="3"/>
    <n v="1"/>
    <s v="C930"/>
    <s v="Male"/>
    <s v="PhD"/>
    <s v="Senior Level"/>
    <s v="Strong"/>
    <s v="Beginner"/>
    <s v="Good"/>
    <x v="0"/>
    <n v="69"/>
    <s v="Developing"/>
    <x v="2"/>
    <s v="Technical Skills"/>
    <s v="Strengthen technical skills and practical knowledge"/>
  </r>
  <r>
    <n v="41"/>
    <n v="1"/>
    <n v="1"/>
    <n v="3"/>
    <n v="3"/>
    <n v="49.224411251192699"/>
    <n v="46"/>
    <n v="81"/>
    <n v="97"/>
    <n v="3"/>
    <n v="0"/>
    <s v="C931"/>
    <s v="Female"/>
    <s v="Bachelor's Type 1"/>
    <s v="Mid Level"/>
    <s v="Low"/>
    <s v="Advanced"/>
    <s v="Strong"/>
    <x v="1"/>
    <n v="63"/>
    <s v="Developing"/>
    <x v="0"/>
    <s v="Interview Preparation"/>
    <s v="Improve interview preparation and communication"/>
  </r>
  <r>
    <n v="22"/>
    <n v="0"/>
    <n v="3"/>
    <n v="3"/>
    <n v="1"/>
    <n v="15.471818401501"/>
    <n v="43"/>
    <n v="10"/>
    <n v="41"/>
    <n v="2"/>
    <n v="0"/>
    <s v="C932"/>
    <s v="Male"/>
    <s v="Master's"/>
    <s v="Mid Level"/>
    <s v="Low"/>
    <s v="Beginner"/>
    <s v="Needs Improvement"/>
    <x v="1"/>
    <n v="31"/>
    <s v="Needs Improvement"/>
    <x v="2"/>
    <s v="Technical Skills"/>
    <s v="Strengthen technical skills and practical knowledge"/>
  </r>
  <r>
    <n v="35"/>
    <n v="0"/>
    <n v="2"/>
    <n v="6"/>
    <n v="1"/>
    <n v="24.981254837222899"/>
    <n v="79"/>
    <n v="92"/>
    <n v="85"/>
    <n v="3"/>
    <n v="1"/>
    <s v="C933"/>
    <s v="Male"/>
    <s v="Bachelor's Type 2"/>
    <s v="Mid Level"/>
    <s v="Strong"/>
    <s v="Advanced"/>
    <s v="Strong"/>
    <x v="0"/>
    <n v="77"/>
    <s v="Job Ready"/>
    <x v="1"/>
    <s v="Interview Preparation"/>
    <s v="Improve interview preparation and communication"/>
  </r>
  <r>
    <n v="42"/>
    <n v="1"/>
    <n v="3"/>
    <n v="15"/>
    <n v="2"/>
    <n v="49.642207933001103"/>
    <n v="13"/>
    <n v="16"/>
    <n v="4"/>
    <n v="2"/>
    <n v="0"/>
    <s v="C934"/>
    <s v="Female"/>
    <s v="Master's"/>
    <s v="Senior Level"/>
    <s v="Low"/>
    <s v="Beginner"/>
    <s v="Needs Improvement"/>
    <x v="1"/>
    <n v="28"/>
    <s v="Needs Improvement"/>
    <x v="1"/>
    <s v="Personality &amp; Communication"/>
    <s v="Work on communication and personality development"/>
  </r>
  <r>
    <n v="44"/>
    <n v="1"/>
    <n v="3"/>
    <n v="13"/>
    <n v="3"/>
    <n v="1.24342038277516"/>
    <n v="92"/>
    <n v="25"/>
    <n v="63"/>
    <n v="3"/>
    <n v="1"/>
    <s v="C935"/>
    <s v="Female"/>
    <s v="Master's"/>
    <s v="Senior Level"/>
    <s v="Strong"/>
    <s v="Beginner"/>
    <s v="Good"/>
    <x v="0"/>
    <n v="64"/>
    <s v="Developing"/>
    <x v="2"/>
    <s v="Technical Skills"/>
    <s v="Strengthen technical skills and practical knowledge"/>
  </r>
  <r>
    <n v="30"/>
    <n v="1"/>
    <n v="2"/>
    <n v="13"/>
    <n v="1"/>
    <n v="21.633912418957401"/>
    <n v="23"/>
    <n v="22"/>
    <n v="49"/>
    <n v="2"/>
    <n v="0"/>
    <s v="C936"/>
    <s v="Female"/>
    <s v="Bachelor's Type 2"/>
    <s v="Senior Level"/>
    <s v="Low"/>
    <s v="Beginner"/>
    <s v="Needs Improvement"/>
    <x v="1"/>
    <n v="39"/>
    <s v="Needs Improvement"/>
    <x v="0"/>
    <s v="Technical Skills"/>
    <s v="Strengthen technical skills and practical knowledge"/>
  </r>
  <r>
    <n v="31"/>
    <n v="0"/>
    <n v="2"/>
    <n v="10"/>
    <n v="2"/>
    <n v="6.0228774840484203"/>
    <n v="54"/>
    <n v="55"/>
    <n v="86"/>
    <n v="1"/>
    <n v="1"/>
    <s v="C937"/>
    <s v="Male"/>
    <s v="Bachelor's Type 2"/>
    <s v="Senior Level"/>
    <s v="Average"/>
    <s v="Intermediate"/>
    <s v="Strong"/>
    <x v="0"/>
    <n v="62"/>
    <s v="Developing"/>
    <x v="0"/>
    <s v="Interview Preparation"/>
    <s v="Improve interview preparation and communication"/>
  </r>
  <r>
    <n v="29"/>
    <n v="0"/>
    <n v="3"/>
    <n v="6"/>
    <n v="4"/>
    <n v="26.457898278130099"/>
    <n v="14"/>
    <n v="51"/>
    <n v="14"/>
    <n v="3"/>
    <n v="0"/>
    <s v="C938"/>
    <s v="Male"/>
    <s v="Master's"/>
    <s v="Mid Level"/>
    <s v="Low"/>
    <s v="Intermediate"/>
    <s v="Needs Improvement"/>
    <x v="1"/>
    <n v="32"/>
    <s v="Needs Improvement"/>
    <x v="1"/>
    <s v="Interview Preparation"/>
    <s v="Improve interview preparation and communication"/>
  </r>
  <r>
    <n v="35"/>
    <n v="0"/>
    <n v="2"/>
    <n v="15"/>
    <n v="2"/>
    <n v="2.2334977270243499"/>
    <n v="82"/>
    <n v="47"/>
    <n v="94"/>
    <n v="1"/>
    <n v="1"/>
    <s v="C939"/>
    <s v="Male"/>
    <s v="Bachelor's Type 2"/>
    <s v="Senior Level"/>
    <s v="Strong"/>
    <s v="Beginner"/>
    <s v="Strong"/>
    <x v="0"/>
    <n v="75"/>
    <s v="Job Ready"/>
    <x v="0"/>
    <s v="Technical Skills"/>
    <s v="Strengthen technical skills and practical knowledge"/>
  </r>
  <r>
    <n v="27"/>
    <n v="1"/>
    <n v="3"/>
    <n v="12"/>
    <n v="2"/>
    <n v="21.344921569531301"/>
    <n v="71"/>
    <n v="19"/>
    <n v="72"/>
    <n v="1"/>
    <n v="1"/>
    <s v="C940"/>
    <s v="Female"/>
    <s v="Master's"/>
    <s v="Senior Level"/>
    <s v="Average"/>
    <s v="Beginner"/>
    <s v="Good"/>
    <x v="0"/>
    <n v="57"/>
    <s v="Developing"/>
    <x v="0"/>
    <s v="Technical Skills"/>
    <s v="Strengthen technical skills and practical knowledge"/>
  </r>
  <r>
    <n v="25"/>
    <n v="1"/>
    <n v="1"/>
    <n v="10"/>
    <n v="1"/>
    <n v="12.034953739266699"/>
    <n v="33"/>
    <n v="1"/>
    <n v="52"/>
    <n v="1"/>
    <n v="0"/>
    <s v="C941"/>
    <s v="Female"/>
    <s v="Bachelor's Type 1"/>
    <s v="Senior Level"/>
    <s v="Low"/>
    <s v="Beginner"/>
    <s v="Good"/>
    <x v="1"/>
    <n v="33"/>
    <s v="Needs Improvement"/>
    <x v="0"/>
    <s v="Technical Skills"/>
    <s v="Strengthen technical skills and practical knowledge"/>
  </r>
  <r>
    <n v="31"/>
    <n v="0"/>
    <n v="3"/>
    <n v="14"/>
    <n v="5"/>
    <n v="27.665418122937002"/>
    <n v="1"/>
    <n v="87"/>
    <n v="24"/>
    <n v="2"/>
    <n v="0"/>
    <s v="C942"/>
    <s v="Male"/>
    <s v="Master's"/>
    <s v="Senior Level"/>
    <s v="Low"/>
    <s v="Advanced"/>
    <s v="Needs Improvement"/>
    <x v="1"/>
    <n v="49"/>
    <s v="Needs Improvement"/>
    <x v="1"/>
    <s v="Interview Preparation"/>
    <s v="Improve interview preparation and communication"/>
  </r>
  <r>
    <n v="43"/>
    <n v="1"/>
    <n v="3"/>
    <n v="7"/>
    <n v="5"/>
    <n v="50.799682455034898"/>
    <n v="26"/>
    <n v="30"/>
    <n v="88"/>
    <n v="2"/>
    <n v="0"/>
    <s v="C943"/>
    <s v="Female"/>
    <s v="Master's"/>
    <s v="Senior Level"/>
    <s v="Low"/>
    <s v="Beginner"/>
    <s v="Strong"/>
    <x v="1"/>
    <n v="45"/>
    <s v="Needs Improvement"/>
    <x v="0"/>
    <s v="Interview Preparation"/>
    <s v="Improve interview preparation and communication"/>
  </r>
  <r>
    <n v="47"/>
    <n v="1"/>
    <n v="4"/>
    <n v="15"/>
    <n v="5"/>
    <n v="41.026805256337298"/>
    <n v="73"/>
    <n v="26"/>
    <n v="84"/>
    <n v="2"/>
    <n v="1"/>
    <s v="C944"/>
    <s v="Female"/>
    <s v="PhD"/>
    <s v="Senior Level"/>
    <s v="Average"/>
    <s v="Beginner"/>
    <s v="Strong"/>
    <x v="0"/>
    <n v="67"/>
    <s v="Developing"/>
    <x v="0"/>
    <s v="Technical Skills"/>
    <s v="Strengthen technical skills and practical knowledge"/>
  </r>
  <r>
    <n v="40"/>
    <n v="1"/>
    <n v="1"/>
    <n v="10"/>
    <n v="2"/>
    <n v="43.282104581220999"/>
    <n v="98"/>
    <n v="1"/>
    <n v="8"/>
    <n v="3"/>
    <n v="0"/>
    <s v="C945"/>
    <s v="Female"/>
    <s v="Bachelor's Type 1"/>
    <s v="Senior Level"/>
    <s v="Strong"/>
    <s v="Beginner"/>
    <s v="Needs Improvement"/>
    <x v="1"/>
    <n v="44"/>
    <s v="Needs Improvement"/>
    <x v="2"/>
    <s v="Technical Skills"/>
    <s v="Strengthen technical skills and practical knowledge"/>
  </r>
  <r>
    <n v="27"/>
    <n v="0"/>
    <n v="2"/>
    <n v="4"/>
    <n v="1"/>
    <n v="32.763249367954003"/>
    <n v="86"/>
    <n v="77"/>
    <n v="37"/>
    <n v="1"/>
    <n v="1"/>
    <s v="C946"/>
    <s v="Male"/>
    <s v="Bachelor's Type 2"/>
    <s v="Mid Level"/>
    <s v="Strong"/>
    <s v="Advanced"/>
    <s v="Needs Improvement"/>
    <x v="0"/>
    <n v="63"/>
    <s v="Developing"/>
    <x v="2"/>
    <s v="Personality &amp; Communication"/>
    <s v="Work on communication and personality development"/>
  </r>
  <r>
    <n v="45"/>
    <n v="1"/>
    <n v="2"/>
    <n v="6"/>
    <n v="3"/>
    <n v="3.07799241361292"/>
    <n v="71"/>
    <n v="3"/>
    <n v="21"/>
    <n v="3"/>
    <n v="0"/>
    <s v="C947"/>
    <s v="Female"/>
    <s v="Bachelor's Type 2"/>
    <s v="Mid Level"/>
    <s v="Average"/>
    <s v="Beginner"/>
    <s v="Needs Improvement"/>
    <x v="1"/>
    <n v="35"/>
    <s v="Needs Improvement"/>
    <x v="2"/>
    <s v="Technical Skills"/>
    <s v="Strengthen technical skills and practical knowledge"/>
  </r>
  <r>
    <n v="47"/>
    <n v="1"/>
    <n v="2"/>
    <n v="7"/>
    <n v="2"/>
    <n v="11.339883802207201"/>
    <n v="91"/>
    <n v="12"/>
    <n v="86"/>
    <n v="3"/>
    <n v="0"/>
    <s v="C948"/>
    <s v="Female"/>
    <s v="Bachelor's Type 2"/>
    <s v="Senior Level"/>
    <s v="Strong"/>
    <s v="Beginner"/>
    <s v="Strong"/>
    <x v="1"/>
    <n v="58"/>
    <s v="Developing"/>
    <x v="2"/>
    <s v="Technical Skills"/>
    <s v="Strengthen technical skills and practical knowledge"/>
  </r>
  <r>
    <n v="23"/>
    <n v="0"/>
    <n v="2"/>
    <n v="15"/>
    <n v="2"/>
    <n v="47.253227822352699"/>
    <n v="22"/>
    <n v="99"/>
    <n v="48"/>
    <n v="1"/>
    <n v="1"/>
    <s v="C949"/>
    <s v="Male"/>
    <s v="Bachelor's Type 2"/>
    <s v="Senior Level"/>
    <s v="Low"/>
    <s v="Advanced"/>
    <s v="Needs Improvement"/>
    <x v="0"/>
    <n v="63"/>
    <s v="Developing"/>
    <x v="1"/>
    <s v="Interview Preparation"/>
    <s v="Improve interview preparation and communication"/>
  </r>
  <r>
    <n v="45"/>
    <n v="0"/>
    <n v="1"/>
    <n v="14"/>
    <n v="1"/>
    <n v="19.3056558964375"/>
    <n v="67"/>
    <n v="34"/>
    <n v="67"/>
    <n v="2"/>
    <n v="0"/>
    <s v="C950"/>
    <s v="Male"/>
    <s v="Bachelor's Type 1"/>
    <s v="Senior Level"/>
    <s v="Average"/>
    <s v="Beginner"/>
    <s v="Good"/>
    <x v="1"/>
    <n v="60"/>
    <s v="Developing"/>
    <x v="2"/>
    <s v="Technical Skills"/>
    <s v="Strengthen technical skills and practical knowledge"/>
  </r>
  <r>
    <n v="27"/>
    <n v="1"/>
    <n v="3"/>
    <n v="8"/>
    <n v="4"/>
    <n v="6.1818363240397698"/>
    <n v="13"/>
    <n v="71"/>
    <n v="92"/>
    <n v="3"/>
    <n v="1"/>
    <s v="C951"/>
    <s v="Female"/>
    <s v="Master's"/>
    <s v="Senior Level"/>
    <s v="Low"/>
    <s v="Intermediate"/>
    <s v="Strong"/>
    <x v="0"/>
    <n v="55"/>
    <s v="Developing"/>
    <x v="0"/>
    <s v="Interview Preparation"/>
    <s v="Improve interview preparation and communication"/>
  </r>
  <r>
    <n v="45"/>
    <n v="1"/>
    <n v="2"/>
    <n v="2"/>
    <n v="2"/>
    <n v="36.120268293310097"/>
    <n v="62"/>
    <n v="65"/>
    <n v="14"/>
    <n v="2"/>
    <n v="0"/>
    <s v="C952"/>
    <s v="Female"/>
    <s v="Bachelor's Type 2"/>
    <s v="Entry Level"/>
    <s v="Average"/>
    <s v="Intermediate"/>
    <s v="Needs Improvement"/>
    <x v="1"/>
    <n v="45"/>
    <s v="Needs Improvement"/>
    <x v="1"/>
    <s v="Personality &amp; Communication"/>
    <s v="Work on communication and personality development"/>
  </r>
  <r>
    <n v="47"/>
    <n v="0"/>
    <n v="1"/>
    <n v="2"/>
    <n v="4"/>
    <n v="15.9728861967127"/>
    <n v="92"/>
    <n v="5"/>
    <n v="64"/>
    <n v="2"/>
    <n v="0"/>
    <s v="C953"/>
    <s v="Male"/>
    <s v="Bachelor's Type 1"/>
    <s v="Entry Level"/>
    <s v="Strong"/>
    <s v="Beginner"/>
    <s v="Good"/>
    <x v="1"/>
    <n v="46"/>
    <s v="Needs Improvement"/>
    <x v="2"/>
    <s v="Technical Skills"/>
    <s v="Strengthen technical skills and practical knowledge"/>
  </r>
  <r>
    <n v="37"/>
    <n v="0"/>
    <n v="2"/>
    <n v="3"/>
    <n v="4"/>
    <n v="14.4428456452085"/>
    <n v="64"/>
    <n v="30"/>
    <n v="53"/>
    <n v="2"/>
    <n v="0"/>
    <s v="C954"/>
    <s v="Male"/>
    <s v="Bachelor's Type 2"/>
    <s v="Mid Level"/>
    <s v="Average"/>
    <s v="Beginner"/>
    <s v="Good"/>
    <x v="1"/>
    <n v="44"/>
    <s v="Needs Improvement"/>
    <x v="2"/>
    <s v="Technical Skills"/>
    <s v="Strengthen technical skills and practical knowledge"/>
  </r>
  <r>
    <n v="47"/>
    <n v="1"/>
    <n v="2"/>
    <n v="4"/>
    <n v="5"/>
    <n v="50.898872777912999"/>
    <n v="67"/>
    <n v="9"/>
    <n v="29"/>
    <n v="2"/>
    <n v="0"/>
    <s v="C955"/>
    <s v="Female"/>
    <s v="Bachelor's Type 2"/>
    <s v="Mid Level"/>
    <s v="Average"/>
    <s v="Beginner"/>
    <s v="Needs Improvement"/>
    <x v="1"/>
    <n v="35"/>
    <s v="Needs Improvement"/>
    <x v="2"/>
    <s v="Technical Skills"/>
    <s v="Strengthen technical skills and practical knowledge"/>
  </r>
  <r>
    <n v="47"/>
    <n v="1"/>
    <n v="1"/>
    <n v="9"/>
    <n v="1"/>
    <n v="43.906946251332698"/>
    <n v="62"/>
    <n v="20"/>
    <n v="92"/>
    <n v="1"/>
    <n v="1"/>
    <s v="C956"/>
    <s v="Female"/>
    <s v="Bachelor's Type 1"/>
    <s v="Senior Level"/>
    <s v="Average"/>
    <s v="Beginner"/>
    <s v="Strong"/>
    <x v="0"/>
    <n v="55"/>
    <s v="Developing"/>
    <x v="0"/>
    <s v="Technical Skills"/>
    <s v="Strengthen technical skills and practical knowledge"/>
  </r>
  <r>
    <n v="24"/>
    <n v="1"/>
    <n v="4"/>
    <n v="0"/>
    <n v="4"/>
    <n v="21.396890918392"/>
    <n v="95"/>
    <n v="73"/>
    <n v="19"/>
    <n v="2"/>
    <n v="0"/>
    <s v="C957"/>
    <s v="Female"/>
    <s v="PhD"/>
    <s v="Entry Level"/>
    <s v="Strong"/>
    <s v="Intermediate"/>
    <s v="Needs Improvement"/>
    <x v="1"/>
    <n v="59"/>
    <s v="Developing"/>
    <x v="2"/>
    <s v="Personality &amp; Communication"/>
    <s v="Work on communication and personality development"/>
  </r>
  <r>
    <n v="28"/>
    <n v="1"/>
    <n v="4"/>
    <n v="14"/>
    <n v="1"/>
    <n v="50.013060390824897"/>
    <n v="96"/>
    <n v="22"/>
    <n v="32"/>
    <n v="1"/>
    <n v="1"/>
    <s v="C958"/>
    <s v="Female"/>
    <s v="PhD"/>
    <s v="Senior Level"/>
    <s v="Strong"/>
    <s v="Beginner"/>
    <s v="Needs Improvement"/>
    <x v="0"/>
    <n v="61"/>
    <s v="Developing"/>
    <x v="2"/>
    <s v="Technical Skills"/>
    <s v="Strengthen technical skills and practical knowledge"/>
  </r>
  <r>
    <n v="23"/>
    <n v="0"/>
    <n v="2"/>
    <n v="14"/>
    <n v="5"/>
    <n v="33.5056611709606"/>
    <n v="89"/>
    <n v="2"/>
    <n v="99"/>
    <n v="2"/>
    <n v="0"/>
    <s v="C959"/>
    <s v="Male"/>
    <s v="Bachelor's Type 2"/>
    <s v="Senior Level"/>
    <s v="Strong"/>
    <s v="Beginner"/>
    <s v="Strong"/>
    <x v="1"/>
    <n v="64"/>
    <s v="Developing"/>
    <x v="0"/>
    <s v="Technical Skills"/>
    <s v="Strengthen technical skills and practical knowledge"/>
  </r>
  <r>
    <n v="46"/>
    <n v="1"/>
    <n v="1"/>
    <n v="6"/>
    <n v="1"/>
    <n v="38.101122593988002"/>
    <n v="80"/>
    <n v="31"/>
    <n v="85"/>
    <n v="3"/>
    <n v="0"/>
    <s v="C960"/>
    <s v="Female"/>
    <s v="Bachelor's Type 1"/>
    <s v="Mid Level"/>
    <s v="Strong"/>
    <s v="Beginner"/>
    <s v="Strong"/>
    <x v="1"/>
    <n v="59"/>
    <s v="Developing"/>
    <x v="0"/>
    <s v="Technical Skills"/>
    <s v="Strengthen technical skills and practical knowledge"/>
  </r>
  <r>
    <n v="41"/>
    <n v="1"/>
    <n v="3"/>
    <n v="8"/>
    <n v="2"/>
    <n v="2.5756521541105699"/>
    <n v="86"/>
    <n v="19"/>
    <n v="76"/>
    <n v="2"/>
    <n v="1"/>
    <s v="C961"/>
    <s v="Female"/>
    <s v="Master's"/>
    <s v="Senior Level"/>
    <s v="Strong"/>
    <s v="Beginner"/>
    <s v="Strong"/>
    <x v="0"/>
    <n v="58"/>
    <s v="Developing"/>
    <x v="2"/>
    <s v="Technical Skills"/>
    <s v="Strengthen technical skills and practical knowledge"/>
  </r>
  <r>
    <n v="50"/>
    <n v="0"/>
    <n v="2"/>
    <n v="7"/>
    <n v="4"/>
    <n v="7.0802629674028497"/>
    <n v="63"/>
    <n v="73"/>
    <n v="6"/>
    <n v="3"/>
    <n v="0"/>
    <s v="C962"/>
    <s v="Male"/>
    <s v="Bachelor's Type 2"/>
    <s v="Senior Level"/>
    <s v="Average"/>
    <s v="Intermediate"/>
    <s v="Needs Improvement"/>
    <x v="1"/>
    <n v="52"/>
    <s v="Developing"/>
    <x v="1"/>
    <s v="Personality &amp; Communication"/>
    <s v="Work on communication and personality development"/>
  </r>
  <r>
    <n v="36"/>
    <n v="1"/>
    <n v="2"/>
    <n v="14"/>
    <n v="1"/>
    <n v="32.654256324811897"/>
    <n v="31"/>
    <n v="28"/>
    <n v="7"/>
    <n v="2"/>
    <n v="0"/>
    <s v="C963"/>
    <s v="Female"/>
    <s v="Bachelor's Type 2"/>
    <s v="Senior Level"/>
    <s v="Low"/>
    <s v="Beginner"/>
    <s v="Needs Improvement"/>
    <x v="1"/>
    <n v="36"/>
    <s v="Needs Improvement"/>
    <x v="2"/>
    <s v="Personality &amp; Communication"/>
    <s v="Work on communication and personality development"/>
  </r>
  <r>
    <n v="28"/>
    <n v="0"/>
    <n v="2"/>
    <n v="14"/>
    <n v="3"/>
    <n v="45.951199132474102"/>
    <n v="78"/>
    <n v="51"/>
    <n v="27"/>
    <n v="2"/>
    <n v="0"/>
    <s v="C964"/>
    <s v="Male"/>
    <s v="Bachelor's Type 2"/>
    <s v="Senior Level"/>
    <s v="Strong"/>
    <s v="Intermediate"/>
    <s v="Needs Improvement"/>
    <x v="1"/>
    <n v="61"/>
    <s v="Developing"/>
    <x v="2"/>
    <s v="Personality &amp; Communication"/>
    <s v="Work on communication and personality development"/>
  </r>
  <r>
    <n v="20"/>
    <n v="1"/>
    <n v="2"/>
    <n v="4"/>
    <n v="1"/>
    <n v="32.187186304379701"/>
    <n v="12"/>
    <n v="45"/>
    <n v="44"/>
    <n v="2"/>
    <n v="0"/>
    <s v="C965"/>
    <s v="Female"/>
    <s v="Bachelor's Type 2"/>
    <s v="Mid Level"/>
    <s v="Low"/>
    <s v="Beginner"/>
    <s v="Needs Improvement"/>
    <x v="1"/>
    <n v="32"/>
    <s v="Needs Improvement"/>
    <x v="1"/>
    <s v="Interview Preparation"/>
    <s v="Improve interview preparation and communication"/>
  </r>
  <r>
    <n v="40"/>
    <n v="1"/>
    <n v="2"/>
    <n v="13"/>
    <n v="4"/>
    <n v="7.7012447159495796"/>
    <n v="65"/>
    <n v="33"/>
    <n v="72"/>
    <n v="3"/>
    <n v="0"/>
    <s v="C966"/>
    <s v="Female"/>
    <s v="Bachelor's Type 2"/>
    <s v="Senior Level"/>
    <s v="Average"/>
    <s v="Beginner"/>
    <s v="Good"/>
    <x v="1"/>
    <n v="59"/>
    <s v="Developing"/>
    <x v="0"/>
    <s v="Technical Skills"/>
    <s v="Strengthen technical skills and practical knowledge"/>
  </r>
  <r>
    <n v="39"/>
    <n v="0"/>
    <n v="2"/>
    <n v="13"/>
    <n v="5"/>
    <n v="6.7880023123162303"/>
    <n v="18"/>
    <n v="100"/>
    <n v="88"/>
    <n v="2"/>
    <n v="0"/>
    <s v="C967"/>
    <s v="Male"/>
    <s v="Bachelor's Type 2"/>
    <s v="Senior Level"/>
    <s v="Low"/>
    <s v="Advanced"/>
    <s v="Strong"/>
    <x v="1"/>
    <n v="69"/>
    <s v="Developing"/>
    <x v="1"/>
    <s v="Interview Preparation"/>
    <s v="Improve interview preparation and communication"/>
  </r>
  <r>
    <n v="32"/>
    <n v="0"/>
    <n v="2"/>
    <n v="3"/>
    <n v="5"/>
    <n v="43.209294791204002"/>
    <n v="23"/>
    <n v="83"/>
    <n v="79"/>
    <n v="1"/>
    <n v="1"/>
    <s v="C968"/>
    <s v="Male"/>
    <s v="Bachelor's Type 2"/>
    <s v="Mid Level"/>
    <s v="Low"/>
    <s v="Advanced"/>
    <s v="Strong"/>
    <x v="0"/>
    <n v="53"/>
    <s v="Developing"/>
    <x v="1"/>
    <s v="Interview Preparation"/>
    <s v="Improve interview preparation and communication"/>
  </r>
  <r>
    <n v="47"/>
    <n v="1"/>
    <n v="4"/>
    <n v="11"/>
    <n v="4"/>
    <n v="7.9651169353957103"/>
    <n v="87"/>
    <n v="60"/>
    <n v="73"/>
    <n v="3"/>
    <n v="1"/>
    <s v="C969"/>
    <s v="Female"/>
    <s v="PhD"/>
    <s v="Senior Level"/>
    <s v="Strong"/>
    <s v="Intermediate"/>
    <s v="Good"/>
    <x v="0"/>
    <n v="75"/>
    <s v="Job Ready"/>
    <x v="2"/>
    <s v="Technical Skills"/>
    <s v="Strengthen technical skills and practical knowledge"/>
  </r>
  <r>
    <n v="35"/>
    <n v="1"/>
    <n v="2"/>
    <n v="6"/>
    <n v="2"/>
    <n v="27.011598025201199"/>
    <n v="10"/>
    <n v="71"/>
    <n v="10"/>
    <n v="2"/>
    <n v="0"/>
    <s v="C970"/>
    <s v="Female"/>
    <s v="Bachelor's Type 2"/>
    <s v="Mid Level"/>
    <s v="Low"/>
    <s v="Intermediate"/>
    <s v="Needs Improvement"/>
    <x v="1"/>
    <n v="35"/>
    <s v="Needs Improvement"/>
    <x v="1"/>
    <s v="Interview Preparation"/>
    <s v="Improve interview preparation and communication"/>
  </r>
  <r>
    <n v="48"/>
    <n v="1"/>
    <n v="3"/>
    <n v="4"/>
    <n v="2"/>
    <n v="2.8556659981151098"/>
    <n v="58"/>
    <n v="70"/>
    <n v="30"/>
    <n v="1"/>
    <n v="1"/>
    <s v="C971"/>
    <s v="Female"/>
    <s v="Master's"/>
    <s v="Mid Level"/>
    <s v="Average"/>
    <s v="Intermediate"/>
    <s v="Needs Improvement"/>
    <x v="0"/>
    <n v="52"/>
    <s v="Developing"/>
    <x v="1"/>
    <s v="Personality &amp; Communication"/>
    <s v="Work on communication and personality development"/>
  </r>
  <r>
    <n v="32"/>
    <n v="0"/>
    <n v="3"/>
    <n v="6"/>
    <n v="5"/>
    <n v="5.0334883695588601"/>
    <n v="85"/>
    <n v="69"/>
    <n v="11"/>
    <n v="2"/>
    <n v="1"/>
    <s v="C972"/>
    <s v="Male"/>
    <s v="Master's"/>
    <s v="Mid Level"/>
    <s v="Strong"/>
    <s v="Intermediate"/>
    <s v="Needs Improvement"/>
    <x v="0"/>
    <n v="58"/>
    <s v="Developing"/>
    <x v="2"/>
    <s v="Personality &amp; Communication"/>
    <s v="Work on communication and personality development"/>
  </r>
  <r>
    <n v="33"/>
    <n v="1"/>
    <n v="2"/>
    <n v="11"/>
    <n v="5"/>
    <n v="34.617413382143198"/>
    <n v="14"/>
    <n v="10"/>
    <n v="94"/>
    <n v="3"/>
    <n v="0"/>
    <s v="C973"/>
    <s v="Female"/>
    <s v="Bachelor's Type 2"/>
    <s v="Senior Level"/>
    <s v="Low"/>
    <s v="Beginner"/>
    <s v="Strong"/>
    <x v="1"/>
    <n v="40"/>
    <s v="Needs Improvement"/>
    <x v="0"/>
    <s v="Technical Skills"/>
    <s v="Strengthen technical skills and practical knowledge"/>
  </r>
  <r>
    <n v="22"/>
    <n v="0"/>
    <n v="2"/>
    <n v="0"/>
    <n v="4"/>
    <n v="35.4590705213758"/>
    <n v="9"/>
    <n v="81"/>
    <n v="77"/>
    <n v="2"/>
    <n v="0"/>
    <s v="C974"/>
    <s v="Male"/>
    <s v="Bachelor's Type 2"/>
    <s v="Entry Level"/>
    <s v="Low"/>
    <s v="Advanced"/>
    <s v="Strong"/>
    <x v="1"/>
    <n v="45"/>
    <s v="Needs Improvement"/>
    <x v="1"/>
    <s v="Interview Preparation"/>
    <s v="Improve interview preparation and communication"/>
  </r>
  <r>
    <n v="48"/>
    <n v="0"/>
    <n v="2"/>
    <n v="0"/>
    <n v="2"/>
    <n v="18.073470330422101"/>
    <n v="40"/>
    <n v="92"/>
    <n v="50"/>
    <n v="2"/>
    <n v="0"/>
    <s v="C975"/>
    <s v="Male"/>
    <s v="Bachelor's Type 2"/>
    <s v="Entry Level"/>
    <s v="Low"/>
    <s v="Advanced"/>
    <s v="Good"/>
    <x v="1"/>
    <n v="52"/>
    <s v="Developing"/>
    <x v="1"/>
    <s v="Interview Preparation"/>
    <s v="Improve interview preparation and communication"/>
  </r>
  <r>
    <n v="25"/>
    <n v="1"/>
    <n v="2"/>
    <n v="15"/>
    <n v="5"/>
    <n v="11.7804882621522"/>
    <n v="26"/>
    <n v="88"/>
    <n v="43"/>
    <n v="3"/>
    <n v="0"/>
    <s v="C976"/>
    <s v="Female"/>
    <s v="Bachelor's Type 2"/>
    <s v="Senior Level"/>
    <s v="Low"/>
    <s v="Advanced"/>
    <s v="Needs Improvement"/>
    <x v="1"/>
    <n v="60"/>
    <s v="Developing"/>
    <x v="1"/>
    <s v="Interview Preparation"/>
    <s v="Improve interview preparation and communication"/>
  </r>
  <r>
    <n v="37"/>
    <n v="0"/>
    <n v="3"/>
    <n v="9"/>
    <n v="2"/>
    <n v="41.685513537865397"/>
    <n v="59"/>
    <n v="62"/>
    <n v="95"/>
    <n v="2"/>
    <n v="1"/>
    <s v="C977"/>
    <s v="Male"/>
    <s v="Master's"/>
    <s v="Senior Level"/>
    <s v="Average"/>
    <s v="Intermediate"/>
    <s v="Strong"/>
    <x v="0"/>
    <n v="68"/>
    <s v="Developing"/>
    <x v="0"/>
    <s v="Interview Preparation"/>
    <s v="Improve interview preparation and communication"/>
  </r>
  <r>
    <n v="38"/>
    <n v="1"/>
    <n v="2"/>
    <n v="13"/>
    <n v="5"/>
    <n v="11.855161473494499"/>
    <n v="72"/>
    <n v="20"/>
    <n v="49"/>
    <n v="2"/>
    <n v="0"/>
    <s v="C978"/>
    <s v="Female"/>
    <s v="Bachelor's Type 2"/>
    <s v="Senior Level"/>
    <s v="Average"/>
    <s v="Beginner"/>
    <s v="Needs Improvement"/>
    <x v="1"/>
    <n v="53"/>
    <s v="Developing"/>
    <x v="2"/>
    <s v="Technical Skills"/>
    <s v="Strengthen technical skills and practical knowledge"/>
  </r>
  <r>
    <n v="24"/>
    <n v="1"/>
    <n v="4"/>
    <n v="12"/>
    <n v="1"/>
    <n v="28.101353483318899"/>
    <n v="51"/>
    <n v="2"/>
    <n v="16"/>
    <n v="1"/>
    <n v="1"/>
    <s v="C979"/>
    <s v="Female"/>
    <s v="PhD"/>
    <s v="Senior Level"/>
    <s v="Average"/>
    <s v="Beginner"/>
    <s v="Needs Improvement"/>
    <x v="0"/>
    <n v="36"/>
    <s v="Needs Improvement"/>
    <x v="2"/>
    <s v="Technical Skills"/>
    <s v="Strengthen technical skills and practical knowledge"/>
  </r>
  <r>
    <n v="34"/>
    <n v="1"/>
    <n v="1"/>
    <n v="2"/>
    <n v="3"/>
    <n v="49.410442043145203"/>
    <n v="27"/>
    <n v="81"/>
    <n v="34"/>
    <n v="1"/>
    <n v="0"/>
    <s v="C980"/>
    <s v="Female"/>
    <s v="Bachelor's Type 1"/>
    <s v="Entry Level"/>
    <s v="Low"/>
    <s v="Advanced"/>
    <s v="Needs Improvement"/>
    <x v="1"/>
    <n v="44"/>
    <s v="Needs Improvement"/>
    <x v="1"/>
    <s v="Interview Preparation"/>
    <s v="Improve interview preparation and communication"/>
  </r>
  <r>
    <n v="44"/>
    <n v="1"/>
    <n v="1"/>
    <n v="13"/>
    <n v="1"/>
    <n v="8.3926218931191894"/>
    <n v="64"/>
    <n v="87"/>
    <n v="0"/>
    <n v="2"/>
    <n v="0"/>
    <s v="C981"/>
    <s v="Female"/>
    <s v="Bachelor's Type 1"/>
    <s v="Senior Level"/>
    <s v="Average"/>
    <s v="Advanced"/>
    <s v="Needs Improvement"/>
    <x v="1"/>
    <n v="61"/>
    <s v="Developing"/>
    <x v="1"/>
    <s v="Personality &amp; Communication"/>
    <s v="Work on communication and personality development"/>
  </r>
  <r>
    <n v="21"/>
    <n v="1"/>
    <n v="2"/>
    <n v="10"/>
    <n v="5"/>
    <n v="48.0438133747354"/>
    <n v="16"/>
    <n v="9"/>
    <n v="28"/>
    <n v="3"/>
    <n v="0"/>
    <s v="C982"/>
    <s v="Female"/>
    <s v="Bachelor's Type 2"/>
    <s v="Senior Level"/>
    <s v="Low"/>
    <s v="Beginner"/>
    <s v="Needs Improvement"/>
    <x v="1"/>
    <n v="26"/>
    <s v="Needs Improvement"/>
    <x v="0"/>
    <s v="Technical Skills"/>
    <s v="Strengthen technical skills and practical knowledge"/>
  </r>
  <r>
    <n v="29"/>
    <n v="0"/>
    <n v="2"/>
    <n v="1"/>
    <n v="3"/>
    <n v="10.144652653433401"/>
    <n v="94"/>
    <n v="26"/>
    <n v="50"/>
    <n v="1"/>
    <n v="0"/>
    <s v="C983"/>
    <s v="Male"/>
    <s v="Bachelor's Type 2"/>
    <s v="Entry Level"/>
    <s v="Strong"/>
    <s v="Beginner"/>
    <s v="Good"/>
    <x v="1"/>
    <n v="50"/>
    <s v="Developing"/>
    <x v="2"/>
    <s v="Technical Skills"/>
    <s v="Strengthen technical skills and practical knowledge"/>
  </r>
  <r>
    <n v="43"/>
    <n v="0"/>
    <n v="2"/>
    <n v="1"/>
    <n v="3"/>
    <n v="29.372160401161398"/>
    <n v="43"/>
    <n v="11"/>
    <n v="63"/>
    <n v="2"/>
    <n v="0"/>
    <s v="C984"/>
    <s v="Male"/>
    <s v="Bachelor's Type 2"/>
    <s v="Entry Level"/>
    <s v="Low"/>
    <s v="Beginner"/>
    <s v="Good"/>
    <x v="1"/>
    <n v="32"/>
    <s v="Needs Improvement"/>
    <x v="0"/>
    <s v="Technical Skills"/>
    <s v="Strengthen technical skills and practical knowledge"/>
  </r>
  <r>
    <n v="49"/>
    <n v="1"/>
    <n v="2"/>
    <n v="6"/>
    <n v="5"/>
    <n v="19.850385597937201"/>
    <n v="9"/>
    <n v="6"/>
    <n v="3"/>
    <n v="1"/>
    <n v="0"/>
    <s v="C985"/>
    <s v="Female"/>
    <s v="Bachelor's Type 2"/>
    <s v="Mid Level"/>
    <s v="Low"/>
    <s v="Beginner"/>
    <s v="Needs Improvement"/>
    <x v="1"/>
    <n v="14"/>
    <s v="Needs Improvement"/>
    <x v="2"/>
    <s v="Personality &amp; Communication"/>
    <s v="Work on communication and personality development"/>
  </r>
  <r>
    <n v="37"/>
    <n v="1"/>
    <n v="2"/>
    <n v="11"/>
    <n v="5"/>
    <n v="49.246430075091297"/>
    <n v="62"/>
    <n v="16"/>
    <n v="86"/>
    <n v="2"/>
    <n v="0"/>
    <s v="C986"/>
    <s v="Female"/>
    <s v="Bachelor's Type 2"/>
    <s v="Senior Level"/>
    <s v="Average"/>
    <s v="Beginner"/>
    <s v="Strong"/>
    <x v="1"/>
    <n v="54"/>
    <s v="Developing"/>
    <x v="0"/>
    <s v="Technical Skills"/>
    <s v="Strengthen technical skills and practical knowledge"/>
  </r>
  <r>
    <n v="46"/>
    <n v="0"/>
    <n v="1"/>
    <n v="9"/>
    <n v="2"/>
    <n v="14.677101450096799"/>
    <n v="100"/>
    <n v="64"/>
    <n v="27"/>
    <n v="1"/>
    <n v="1"/>
    <s v="C987"/>
    <s v="Male"/>
    <s v="Bachelor's Type 1"/>
    <s v="Senior Level"/>
    <s v="Strong"/>
    <s v="Intermediate"/>
    <s v="Needs Improvement"/>
    <x v="0"/>
    <n v="66"/>
    <s v="Developing"/>
    <x v="2"/>
    <s v="Personality &amp; Communication"/>
    <s v="Work on communication and personality development"/>
  </r>
  <r>
    <n v="32"/>
    <n v="0"/>
    <n v="4"/>
    <n v="1"/>
    <n v="5"/>
    <n v="20.982900104287602"/>
    <n v="92"/>
    <n v="63"/>
    <n v="15"/>
    <n v="1"/>
    <n v="1"/>
    <s v="C988"/>
    <s v="Male"/>
    <s v="PhD"/>
    <s v="Entry Level"/>
    <s v="Strong"/>
    <s v="Intermediate"/>
    <s v="Needs Improvement"/>
    <x v="0"/>
    <n v="56"/>
    <s v="Developing"/>
    <x v="2"/>
    <s v="Personality &amp; Communication"/>
    <s v="Work on communication and personality development"/>
  </r>
  <r>
    <n v="24"/>
    <n v="0"/>
    <n v="2"/>
    <n v="10"/>
    <n v="4"/>
    <n v="50.143005892771001"/>
    <n v="81"/>
    <n v="25"/>
    <n v="62"/>
    <n v="1"/>
    <n v="1"/>
    <s v="C989"/>
    <s v="Male"/>
    <s v="Bachelor's Type 2"/>
    <s v="Senior Level"/>
    <s v="Strong"/>
    <s v="Beginner"/>
    <s v="Good"/>
    <x v="0"/>
    <n v="57"/>
    <s v="Developing"/>
    <x v="2"/>
    <s v="Technical Skills"/>
    <s v="Strengthen technical skills and practical knowledge"/>
  </r>
  <r>
    <n v="42"/>
    <n v="0"/>
    <n v="3"/>
    <n v="3"/>
    <n v="5"/>
    <n v="27.823519559423602"/>
    <n v="46"/>
    <n v="14"/>
    <n v="75"/>
    <n v="2"/>
    <n v="0"/>
    <s v="C990"/>
    <s v="Male"/>
    <s v="Master's"/>
    <s v="Mid Level"/>
    <s v="Low"/>
    <s v="Beginner"/>
    <s v="Strong"/>
    <x v="1"/>
    <n v="40"/>
    <s v="Needs Improvement"/>
    <x v="0"/>
    <s v="Technical Skills"/>
    <s v="Strengthen technical skills and practical knowledge"/>
  </r>
  <r>
    <n v="43"/>
    <n v="1"/>
    <n v="3"/>
    <n v="1"/>
    <n v="4"/>
    <n v="26.1315057810626"/>
    <n v="37"/>
    <n v="32"/>
    <n v="52"/>
    <n v="2"/>
    <n v="0"/>
    <s v="C991"/>
    <s v="Female"/>
    <s v="Master's"/>
    <s v="Entry Level"/>
    <s v="Low"/>
    <s v="Beginner"/>
    <s v="Good"/>
    <x v="1"/>
    <n v="36"/>
    <s v="Needs Improvement"/>
    <x v="0"/>
    <s v="Technical Skills"/>
    <s v="Strengthen technical skills and practical knowledge"/>
  </r>
  <r>
    <n v="20"/>
    <n v="1"/>
    <n v="4"/>
    <n v="5"/>
    <n v="5"/>
    <n v="13.8889244101995"/>
    <n v="69"/>
    <n v="61"/>
    <n v="84"/>
    <n v="1"/>
    <n v="1"/>
    <s v="C992"/>
    <s v="Female"/>
    <s v="PhD"/>
    <s v="Mid Level"/>
    <s v="Average"/>
    <s v="Intermediate"/>
    <s v="Strong"/>
    <x v="0"/>
    <n v="66"/>
    <s v="Developing"/>
    <x v="0"/>
    <s v="Technical Skills"/>
    <s v="Strengthen technical skills and practical knowledge"/>
  </r>
  <r>
    <n v="41"/>
    <n v="0"/>
    <n v="1"/>
    <n v="7"/>
    <n v="2"/>
    <n v="36.068178015522001"/>
    <n v="75"/>
    <n v="100"/>
    <n v="16"/>
    <n v="3"/>
    <n v="0"/>
    <s v="C993"/>
    <s v="Male"/>
    <s v="Bachelor's Type 1"/>
    <s v="Senior Level"/>
    <s v="Strong"/>
    <s v="Advanced"/>
    <s v="Needs Improvement"/>
    <x v="1"/>
    <n v="65"/>
    <s v="Developing"/>
    <x v="1"/>
    <s v="Personality &amp; Communication"/>
    <s v="Work on communication and personality development"/>
  </r>
  <r>
    <n v="20"/>
    <n v="1"/>
    <n v="3"/>
    <n v="9"/>
    <n v="4"/>
    <n v="1.7186475888888799"/>
    <n v="52"/>
    <n v="46"/>
    <n v="39"/>
    <n v="1"/>
    <n v="1"/>
    <s v="C994"/>
    <s v="Female"/>
    <s v="Master's"/>
    <s v="Senior Level"/>
    <s v="Average"/>
    <s v="Beginner"/>
    <s v="Needs Improvement"/>
    <x v="0"/>
    <n v="50"/>
    <s v="Developing"/>
    <x v="2"/>
    <s v="Personality &amp; Communication"/>
    <s v="Work on communication and personality development"/>
  </r>
  <r>
    <n v="37"/>
    <n v="0"/>
    <n v="2"/>
    <n v="15"/>
    <n v="1"/>
    <n v="3.4756314851146701"/>
    <n v="77"/>
    <n v="94"/>
    <n v="12"/>
    <n v="2"/>
    <n v="0"/>
    <s v="C995"/>
    <s v="Male"/>
    <s v="Bachelor's Type 2"/>
    <s v="Senior Level"/>
    <s v="Strong"/>
    <s v="Advanced"/>
    <s v="Needs Improvement"/>
    <x v="1"/>
    <n v="71"/>
    <s v="Developing"/>
    <x v="1"/>
    <s v="Personality &amp; Communication"/>
    <s v="Work on communication and personality development"/>
  </r>
  <r>
    <n v="34"/>
    <n v="1"/>
    <n v="2"/>
    <n v="3"/>
    <n v="4"/>
    <n v="30.967929356790101"/>
    <n v="43"/>
    <n v="34"/>
    <n v="51"/>
    <n v="3"/>
    <n v="0"/>
    <s v="C996"/>
    <s v="Female"/>
    <s v="Bachelor's Type 2"/>
    <s v="Mid Level"/>
    <s v="Low"/>
    <s v="Beginner"/>
    <s v="Good"/>
    <x v="1"/>
    <n v="39"/>
    <s v="Needs Improvement"/>
    <x v="0"/>
    <s v="Technical Skills"/>
    <s v="Strengthen technical skills and practical knowledge"/>
  </r>
  <r>
    <n v="36"/>
    <n v="0"/>
    <n v="2"/>
    <n v="14"/>
    <n v="2"/>
    <n v="18.083728690922701"/>
    <n v="73"/>
    <n v="64"/>
    <n v="57"/>
    <n v="2"/>
    <n v="0"/>
    <s v="C997"/>
    <s v="Male"/>
    <s v="Bachelor's Type 2"/>
    <s v="Senior Level"/>
    <s v="Average"/>
    <s v="Intermediate"/>
    <s v="Good"/>
    <x v="1"/>
    <n v="69"/>
    <s v="Developing"/>
    <x v="2"/>
    <s v="Personality &amp; Communication"/>
    <s v="Work on communication and personality development"/>
  </r>
  <r>
    <n v="30"/>
    <n v="1"/>
    <n v="3"/>
    <n v="4"/>
    <n v="4"/>
    <n v="48.665818610047999"/>
    <n v="53"/>
    <n v="71"/>
    <n v="95"/>
    <n v="2"/>
    <n v="0"/>
    <s v="C998"/>
    <s v="Female"/>
    <s v="Master's"/>
    <s v="Mid Level"/>
    <s v="Average"/>
    <s v="Intermediate"/>
    <s v="Strong"/>
    <x v="1"/>
    <n v="64"/>
    <s v="Developing"/>
    <x v="0"/>
    <s v="Interview Preparation"/>
    <s v="Improve interview preparation and communication"/>
  </r>
  <r>
    <n v="40"/>
    <n v="0"/>
    <n v="2"/>
    <n v="3"/>
    <n v="5"/>
    <n v="46.159534536139198"/>
    <n v="19"/>
    <n v="75"/>
    <n v="36"/>
    <n v="1"/>
    <n v="0"/>
    <s v="C999"/>
    <s v="Male"/>
    <s v="Bachelor's Type 2"/>
    <s v="Mid Level"/>
    <s v="Low"/>
    <s v="Advanced"/>
    <s v="Needs Improvement"/>
    <x v="1"/>
    <n v="41"/>
    <s v="Needs Improvement"/>
    <x v="1"/>
    <s v="Interview Preparation"/>
    <s v="Improve interview preparation and communication"/>
  </r>
  <r>
    <n v="45"/>
    <n v="0"/>
    <n v="3"/>
    <n v="2"/>
    <n v="5"/>
    <n v="36.685312933835299"/>
    <n v="78"/>
    <n v="82"/>
    <n v="78"/>
    <n v="2"/>
    <n v="1"/>
    <s v="C1000"/>
    <s v="Male"/>
    <s v="Master's"/>
    <s v="Entry Level"/>
    <s v="Strong"/>
    <s v="Advanced"/>
    <s v="Strong"/>
    <x v="0"/>
    <n v="69"/>
    <s v="Developing"/>
    <x v="1"/>
    <s v="Interview Preparation"/>
    <s v="Improve interview preparation and communication"/>
  </r>
  <r>
    <n v="50"/>
    <n v="1"/>
    <n v="2"/>
    <n v="4"/>
    <n v="2"/>
    <n v="41.907279056390003"/>
    <n v="30"/>
    <n v="24"/>
    <n v="75"/>
    <n v="2"/>
    <n v="0"/>
    <s v="C1001"/>
    <s v="Female"/>
    <s v="Bachelor's Type 2"/>
    <s v="Mid Level"/>
    <s v="Low"/>
    <s v="Beginner"/>
    <s v="Strong"/>
    <x v="1"/>
    <n v="38"/>
    <s v="Needs Improvement"/>
    <x v="0"/>
    <s v="Technical Skills"/>
    <s v="Strengthen technical skills and practical knowledge"/>
  </r>
  <r>
    <n v="44"/>
    <n v="0"/>
    <n v="3"/>
    <n v="13"/>
    <n v="3"/>
    <n v="34.366592483384601"/>
    <n v="6"/>
    <n v="56"/>
    <n v="60"/>
    <n v="3"/>
    <n v="0"/>
    <s v="C1002"/>
    <s v="Male"/>
    <s v="Master's"/>
    <s v="Senior Level"/>
    <s v="Low"/>
    <s v="Intermediate"/>
    <s v="Good"/>
    <x v="1"/>
    <n v="47"/>
    <s v="Needs Improvement"/>
    <x v="0"/>
    <s v="Interview Preparation"/>
    <s v="Improve interview preparation and communication"/>
  </r>
  <r>
    <n v="41"/>
    <n v="1"/>
    <n v="4"/>
    <n v="8"/>
    <n v="5"/>
    <n v="7.2791051355080301"/>
    <n v="57"/>
    <n v="31"/>
    <n v="78"/>
    <n v="1"/>
    <n v="1"/>
    <s v="C1003"/>
    <s v="Female"/>
    <s v="PhD"/>
    <s v="Senior Level"/>
    <s v="Average"/>
    <s v="Beginner"/>
    <s v="Strong"/>
    <x v="0"/>
    <n v="55"/>
    <s v="Developing"/>
    <x v="0"/>
    <s v="Technical Skills"/>
    <s v="Strengthen technical skills and practical knowledge"/>
  </r>
  <r>
    <n v="46"/>
    <n v="1"/>
    <n v="2"/>
    <n v="7"/>
    <n v="1"/>
    <n v="39.277168484460098"/>
    <n v="9"/>
    <n v="62"/>
    <n v="33"/>
    <n v="2"/>
    <n v="0"/>
    <s v="C1004"/>
    <s v="Female"/>
    <s v="Bachelor's Type 2"/>
    <s v="Senior Level"/>
    <s v="Low"/>
    <s v="Intermediate"/>
    <s v="Needs Improvement"/>
    <x v="1"/>
    <n v="37"/>
    <s v="Needs Improvement"/>
    <x v="1"/>
    <s v="Interview Preparation"/>
    <s v="Improve interview preparation and communication"/>
  </r>
  <r>
    <n v="46"/>
    <n v="0"/>
    <n v="4"/>
    <n v="7"/>
    <n v="2"/>
    <n v="11.5095984359423"/>
    <n v="9"/>
    <n v="11"/>
    <n v="69"/>
    <n v="2"/>
    <n v="0"/>
    <s v="C1005"/>
    <s v="Male"/>
    <s v="PhD"/>
    <s v="Senior Level"/>
    <s v="Low"/>
    <s v="Beginner"/>
    <s v="Good"/>
    <x v="1"/>
    <n v="32"/>
    <s v="Needs Improvement"/>
    <x v="0"/>
    <s v="Interview Preparation"/>
    <s v="Improve interview preparation and communication"/>
  </r>
  <r>
    <n v="36"/>
    <n v="1"/>
    <n v="1"/>
    <n v="7"/>
    <n v="4"/>
    <n v="17.172142755009801"/>
    <n v="38"/>
    <n v="62"/>
    <n v="16"/>
    <n v="3"/>
    <n v="0"/>
    <s v="C1006"/>
    <s v="Female"/>
    <s v="Bachelor's Type 1"/>
    <s v="Senior Level"/>
    <s v="Low"/>
    <s v="Intermediate"/>
    <s v="Needs Improvement"/>
    <x v="1"/>
    <n v="43"/>
    <s v="Needs Improvement"/>
    <x v="1"/>
    <s v="Personality &amp; Communication"/>
    <s v="Work on communication and personality development"/>
  </r>
  <r>
    <n v="32"/>
    <n v="1"/>
    <n v="1"/>
    <n v="11"/>
    <n v="4"/>
    <n v="41.961710605120999"/>
    <n v="27"/>
    <n v="76"/>
    <n v="19"/>
    <n v="1"/>
    <n v="1"/>
    <s v="C1007"/>
    <s v="Female"/>
    <s v="Bachelor's Type 1"/>
    <s v="Senior Level"/>
    <s v="Low"/>
    <s v="Advanced"/>
    <s v="Needs Improvement"/>
    <x v="0"/>
    <n v="48"/>
    <s v="Needs Improvement"/>
    <x v="1"/>
    <s v="Personality &amp; Communication"/>
    <s v="Work on communication and personality development"/>
  </r>
  <r>
    <n v="20"/>
    <n v="1"/>
    <n v="1"/>
    <n v="7"/>
    <n v="1"/>
    <n v="27.826280419672401"/>
    <n v="29"/>
    <n v="91"/>
    <n v="72"/>
    <n v="3"/>
    <n v="0"/>
    <s v="C1008"/>
    <s v="Female"/>
    <s v="Bachelor's Type 1"/>
    <s v="Senior Level"/>
    <s v="Low"/>
    <s v="Advanced"/>
    <s v="Good"/>
    <x v="1"/>
    <n v="60"/>
    <s v="Developing"/>
    <x v="1"/>
    <s v="Interview Preparation"/>
    <s v="Improve interview preparation and communication"/>
  </r>
  <r>
    <n v="21"/>
    <n v="1"/>
    <n v="2"/>
    <n v="6"/>
    <n v="5"/>
    <n v="43.997035709170397"/>
    <n v="36"/>
    <n v="0"/>
    <n v="58"/>
    <n v="2"/>
    <n v="0"/>
    <s v="C1009"/>
    <s v="Female"/>
    <s v="Bachelor's Type 2"/>
    <s v="Mid Level"/>
    <s v="Low"/>
    <s v="Beginner"/>
    <s v="Good"/>
    <x v="1"/>
    <n v="31"/>
    <s v="Needs Improvement"/>
    <x v="0"/>
    <s v="Technical Skills"/>
    <s v="Strengthen technical skills and practical knowledge"/>
  </r>
  <r>
    <n v="28"/>
    <n v="1"/>
    <n v="2"/>
    <n v="7"/>
    <n v="2"/>
    <n v="11.651765992163201"/>
    <n v="66"/>
    <n v="50"/>
    <n v="68"/>
    <n v="2"/>
    <n v="0"/>
    <s v="C1010"/>
    <s v="Female"/>
    <s v="Bachelor's Type 2"/>
    <s v="Senior Level"/>
    <s v="Average"/>
    <s v="Intermediate"/>
    <s v="Good"/>
    <x v="1"/>
    <n v="58"/>
    <s v="Developing"/>
    <x v="0"/>
    <s v="Technical Skills"/>
    <s v="Strengthen technical skills and practical knowledge"/>
  </r>
  <r>
    <n v="22"/>
    <n v="0"/>
    <n v="1"/>
    <n v="10"/>
    <n v="1"/>
    <n v="31.388921930344299"/>
    <n v="42"/>
    <n v="69"/>
    <n v="86"/>
    <n v="1"/>
    <n v="1"/>
    <s v="C1011"/>
    <s v="Male"/>
    <s v="Bachelor's Type 1"/>
    <s v="Senior Level"/>
    <s v="Low"/>
    <s v="Intermediate"/>
    <s v="Strong"/>
    <x v="0"/>
    <n v="63"/>
    <s v="Developing"/>
    <x v="0"/>
    <s v="Interview Preparation"/>
    <s v="Improve interview preparation and communication"/>
  </r>
  <r>
    <n v="50"/>
    <n v="1"/>
    <n v="1"/>
    <n v="13"/>
    <n v="5"/>
    <n v="5.18954862741308"/>
    <n v="78"/>
    <n v="7"/>
    <n v="32"/>
    <n v="2"/>
    <n v="0"/>
    <s v="C1012"/>
    <s v="Female"/>
    <s v="Bachelor's Type 1"/>
    <s v="Senior Level"/>
    <s v="Strong"/>
    <s v="Beginner"/>
    <s v="Needs Improvement"/>
    <x v="1"/>
    <n v="47"/>
    <s v="Needs Improvement"/>
    <x v="2"/>
    <s v="Technical Skills"/>
    <s v="Strengthen technical skills and practical knowledge"/>
  </r>
  <r>
    <n v="20"/>
    <n v="1"/>
    <n v="4"/>
    <n v="15"/>
    <n v="2"/>
    <n v="33.153049677001398"/>
    <n v="84"/>
    <n v="67"/>
    <n v="77"/>
    <n v="2"/>
    <n v="1"/>
    <s v="C1013"/>
    <s v="Female"/>
    <s v="PhD"/>
    <s v="Senior Level"/>
    <s v="Strong"/>
    <s v="Intermediate"/>
    <s v="Strong"/>
    <x v="0"/>
    <n v="81"/>
    <s v="Job Ready"/>
    <x v="2"/>
    <s v="Technical Skills"/>
    <s v="Strengthen technical skills and practical knowledge"/>
  </r>
  <r>
    <n v="40"/>
    <n v="1"/>
    <n v="3"/>
    <n v="7"/>
    <n v="4"/>
    <n v="39.126701888776701"/>
    <n v="51"/>
    <n v="4"/>
    <n v="16"/>
    <n v="2"/>
    <n v="0"/>
    <s v="C1014"/>
    <s v="Female"/>
    <s v="Master's"/>
    <s v="Senior Level"/>
    <s v="Average"/>
    <s v="Beginner"/>
    <s v="Needs Improvement"/>
    <x v="1"/>
    <n v="30"/>
    <s v="Needs Improvement"/>
    <x v="2"/>
    <s v="Technical Skills"/>
    <s v="Strengthen technical skills and practical knowledge"/>
  </r>
  <r>
    <n v="35"/>
    <n v="1"/>
    <n v="3"/>
    <n v="12"/>
    <n v="2"/>
    <n v="30.246544698935999"/>
    <n v="100"/>
    <n v="88"/>
    <n v="56"/>
    <n v="1"/>
    <n v="1"/>
    <s v="C1015"/>
    <s v="Female"/>
    <s v="Master's"/>
    <s v="Senior Level"/>
    <s v="Strong"/>
    <s v="Advanced"/>
    <s v="Good"/>
    <x v="0"/>
    <n v="83"/>
    <s v="Job Ready"/>
    <x v="2"/>
    <s v="Personality &amp; Communication"/>
    <s v="Work on communication and personality development"/>
  </r>
  <r>
    <n v="42"/>
    <n v="1"/>
    <n v="3"/>
    <n v="13"/>
    <n v="3"/>
    <n v="14.3115750749405"/>
    <n v="55"/>
    <n v="85"/>
    <n v="82"/>
    <n v="1"/>
    <n v="1"/>
    <s v="C1016"/>
    <s v="Female"/>
    <s v="Master's"/>
    <s v="Senior Level"/>
    <s v="Average"/>
    <s v="Advanced"/>
    <s v="Strong"/>
    <x v="0"/>
    <n v="75"/>
    <s v="Job Ready"/>
    <x v="1"/>
    <s v="Interview Preparation"/>
    <s v="Improve interview preparation and communication"/>
  </r>
  <r>
    <n v="25"/>
    <n v="0"/>
    <n v="3"/>
    <n v="7"/>
    <n v="2"/>
    <n v="2.5671334429433301"/>
    <n v="75"/>
    <n v="91"/>
    <n v="96"/>
    <n v="3"/>
    <n v="1"/>
    <s v="C1017"/>
    <s v="Male"/>
    <s v="Master's"/>
    <s v="Senior Level"/>
    <s v="Strong"/>
    <s v="Advanced"/>
    <s v="Strong"/>
    <x v="0"/>
    <n v="80"/>
    <s v="Job Ready"/>
    <x v="0"/>
    <s v="Interview Preparation"/>
    <s v="Improve interview preparation and communication"/>
  </r>
  <r>
    <n v="47"/>
    <n v="1"/>
    <n v="1"/>
    <n v="11"/>
    <n v="3"/>
    <n v="6.97244419821428"/>
    <n v="67"/>
    <n v="38"/>
    <n v="0"/>
    <n v="3"/>
    <n v="0"/>
    <s v="C1018"/>
    <s v="Female"/>
    <s v="Bachelor's Type 1"/>
    <s v="Senior Level"/>
    <s v="Average"/>
    <s v="Beginner"/>
    <s v="Needs Improvement"/>
    <x v="1"/>
    <n v="45"/>
    <s v="Needs Improvement"/>
    <x v="2"/>
    <s v="Personality &amp; Communication"/>
    <s v="Work on communication and personality development"/>
  </r>
  <r>
    <n v="36"/>
    <n v="0"/>
    <n v="2"/>
    <n v="9"/>
    <n v="2"/>
    <n v="32.115148953701301"/>
    <n v="8"/>
    <n v="22"/>
    <n v="12"/>
    <n v="2"/>
    <n v="0"/>
    <s v="C1019"/>
    <s v="Male"/>
    <s v="Bachelor's Type 2"/>
    <s v="Senior Level"/>
    <s v="Low"/>
    <s v="Beginner"/>
    <s v="Needs Improvement"/>
    <x v="1"/>
    <n v="23"/>
    <s v="Needs Improvement"/>
    <x v="1"/>
    <s v="Interview Preparation"/>
    <s v="Improve interview preparation and communication"/>
  </r>
  <r>
    <n v="24"/>
    <n v="0"/>
    <n v="3"/>
    <n v="6"/>
    <n v="3"/>
    <n v="47.721010842125601"/>
    <n v="91"/>
    <n v="67"/>
    <n v="26"/>
    <n v="1"/>
    <n v="1"/>
    <s v="C1020"/>
    <s v="Male"/>
    <s v="Master's"/>
    <s v="Mid Level"/>
    <s v="Strong"/>
    <s v="Intermediate"/>
    <s v="Needs Improvement"/>
    <x v="0"/>
    <n v="62"/>
    <s v="Developing"/>
    <x v="2"/>
    <s v="Personality &amp; Communication"/>
    <s v="Work on communication and personality development"/>
  </r>
  <r>
    <n v="50"/>
    <n v="0"/>
    <n v="2"/>
    <n v="11"/>
    <n v="4"/>
    <n v="11.326720198600301"/>
    <n v="22"/>
    <n v="51"/>
    <n v="69"/>
    <n v="2"/>
    <n v="0"/>
    <s v="C1021"/>
    <s v="Male"/>
    <s v="Bachelor's Type 2"/>
    <s v="Senior Level"/>
    <s v="Low"/>
    <s v="Intermediate"/>
    <s v="Good"/>
    <x v="1"/>
    <n v="49"/>
    <s v="Needs Improvement"/>
    <x v="0"/>
    <s v="Interview Preparation"/>
    <s v="Improve interview preparation and communication"/>
  </r>
  <r>
    <n v="24"/>
    <n v="0"/>
    <n v="2"/>
    <n v="0"/>
    <n v="5"/>
    <n v="37.751307455254903"/>
    <n v="62"/>
    <n v="3"/>
    <n v="58"/>
    <n v="2"/>
    <n v="0"/>
    <s v="C1022"/>
    <s v="Male"/>
    <s v="Bachelor's Type 2"/>
    <s v="Entry Level"/>
    <s v="Average"/>
    <s v="Beginner"/>
    <s v="Good"/>
    <x v="1"/>
    <n v="34"/>
    <s v="Needs Improvement"/>
    <x v="2"/>
    <s v="Technical Skills"/>
    <s v="Strengthen technical skills and practical knowledge"/>
  </r>
  <r>
    <n v="25"/>
    <n v="1"/>
    <n v="1"/>
    <n v="3"/>
    <n v="3"/>
    <n v="44.322553162452003"/>
    <n v="60"/>
    <n v="46"/>
    <n v="5"/>
    <n v="3"/>
    <n v="0"/>
    <s v="C1023"/>
    <s v="Female"/>
    <s v="Bachelor's Type 1"/>
    <s v="Mid Level"/>
    <s v="Average"/>
    <s v="Beginner"/>
    <s v="Needs Improvement"/>
    <x v="1"/>
    <n v="38"/>
    <s v="Needs Improvement"/>
    <x v="2"/>
    <s v="Personality &amp; Communication"/>
    <s v="Work on communication and personality development"/>
  </r>
  <r>
    <n v="22"/>
    <n v="0"/>
    <n v="2"/>
    <n v="12"/>
    <n v="3"/>
    <n v="27.0441089223755"/>
    <n v="39"/>
    <n v="20"/>
    <n v="96"/>
    <n v="2"/>
    <n v="0"/>
    <s v="C1024"/>
    <s v="Male"/>
    <s v="Bachelor's Type 2"/>
    <s v="Senior Level"/>
    <s v="Low"/>
    <s v="Beginner"/>
    <s v="Strong"/>
    <x v="1"/>
    <n v="51"/>
    <s v="Developing"/>
    <x v="0"/>
    <s v="Technical Skills"/>
    <s v="Strengthen technical skills and practical knowledge"/>
  </r>
  <r>
    <n v="40"/>
    <n v="0"/>
    <n v="2"/>
    <n v="12"/>
    <n v="4"/>
    <n v="34.463289792182799"/>
    <n v="43"/>
    <n v="100"/>
    <n v="93"/>
    <n v="3"/>
    <n v="0"/>
    <s v="C1025"/>
    <s v="Male"/>
    <s v="Bachelor's Type 2"/>
    <s v="Senior Level"/>
    <s v="Low"/>
    <s v="Advanced"/>
    <s v="Strong"/>
    <x v="1"/>
    <n v="76"/>
    <s v="Job Ready"/>
    <x v="1"/>
    <s v="Interview Preparation"/>
    <s v="Improve interview preparation and communication"/>
  </r>
  <r>
    <n v="42"/>
    <n v="1"/>
    <n v="2"/>
    <n v="15"/>
    <n v="3"/>
    <n v="41.750765833807399"/>
    <n v="85"/>
    <n v="55"/>
    <n v="98"/>
    <n v="3"/>
    <n v="1"/>
    <s v="C1026"/>
    <s v="Female"/>
    <s v="Bachelor's Type 2"/>
    <s v="Senior Level"/>
    <s v="Strong"/>
    <s v="Intermediate"/>
    <s v="Strong"/>
    <x v="0"/>
    <n v="79"/>
    <s v="Job Ready"/>
    <x v="0"/>
    <s v="Technical Skills"/>
    <s v="Strengthen technical skills and practical knowledge"/>
  </r>
  <r>
    <n v="24"/>
    <n v="1"/>
    <n v="2"/>
    <n v="3"/>
    <n v="1"/>
    <n v="14.0337578870296"/>
    <n v="23"/>
    <n v="65"/>
    <n v="22"/>
    <n v="3"/>
    <n v="0"/>
    <s v="C1027"/>
    <s v="Female"/>
    <s v="Bachelor's Type 2"/>
    <s v="Mid Level"/>
    <s v="Low"/>
    <s v="Intermediate"/>
    <s v="Needs Improvement"/>
    <x v="1"/>
    <n v="36"/>
    <s v="Needs Improvement"/>
    <x v="1"/>
    <s v="Personality &amp; Communication"/>
    <s v="Work on communication and personality development"/>
  </r>
  <r>
    <n v="40"/>
    <n v="1"/>
    <n v="2"/>
    <n v="4"/>
    <n v="4"/>
    <n v="15.8447837134021"/>
    <n v="50"/>
    <n v="58"/>
    <n v="9"/>
    <n v="1"/>
    <n v="0"/>
    <s v="C1028"/>
    <s v="Female"/>
    <s v="Bachelor's Type 2"/>
    <s v="Mid Level"/>
    <s v="Average"/>
    <s v="Intermediate"/>
    <s v="Needs Improvement"/>
    <x v="1"/>
    <n v="41"/>
    <s v="Needs Improvement"/>
    <x v="1"/>
    <s v="Personality &amp; Communication"/>
    <s v="Work on communication and personality development"/>
  </r>
  <r>
    <n v="24"/>
    <n v="0"/>
    <n v="1"/>
    <n v="9"/>
    <n v="1"/>
    <n v="1.0313758314228001"/>
    <n v="57"/>
    <n v="6"/>
    <n v="50"/>
    <n v="1"/>
    <n v="0"/>
    <s v="C1029"/>
    <s v="Male"/>
    <s v="Bachelor's Type 1"/>
    <s v="Senior Level"/>
    <s v="Average"/>
    <s v="Beginner"/>
    <s v="Good"/>
    <x v="1"/>
    <n v="40"/>
    <s v="Needs Improvement"/>
    <x v="2"/>
    <s v="Technical Skills"/>
    <s v="Strengthen technical skills and practical knowledge"/>
  </r>
  <r>
    <n v="29"/>
    <n v="1"/>
    <n v="1"/>
    <n v="5"/>
    <n v="4"/>
    <n v="49.154706544890097"/>
    <n v="89"/>
    <n v="48"/>
    <n v="18"/>
    <n v="2"/>
    <n v="0"/>
    <s v="C1030"/>
    <s v="Female"/>
    <s v="Bachelor's Type 1"/>
    <s v="Mid Level"/>
    <s v="Strong"/>
    <s v="Beginner"/>
    <s v="Needs Improvement"/>
    <x v="1"/>
    <n v="52"/>
    <s v="Developing"/>
    <x v="2"/>
    <s v="Personality &amp; Communication"/>
    <s v="Work on communication and personality development"/>
  </r>
  <r>
    <n v="29"/>
    <n v="1"/>
    <n v="3"/>
    <n v="3"/>
    <n v="3"/>
    <n v="46.8772447298172"/>
    <n v="93"/>
    <n v="15"/>
    <n v="50"/>
    <n v="2"/>
    <n v="0"/>
    <s v="C1031"/>
    <s v="Female"/>
    <s v="Master's"/>
    <s v="Mid Level"/>
    <s v="Strong"/>
    <s v="Beginner"/>
    <s v="Good"/>
    <x v="1"/>
    <n v="49"/>
    <s v="Needs Improvement"/>
    <x v="2"/>
    <s v="Technical Skills"/>
    <s v="Strengthen technical skills and practical knowledge"/>
  </r>
  <r>
    <n v="38"/>
    <n v="0"/>
    <n v="2"/>
    <n v="14"/>
    <n v="1"/>
    <n v="39.228413187971498"/>
    <n v="32"/>
    <n v="16"/>
    <n v="91"/>
    <n v="1"/>
    <n v="1"/>
    <s v="C1032"/>
    <s v="Male"/>
    <s v="Bachelor's Type 2"/>
    <s v="Senior Level"/>
    <s v="Low"/>
    <s v="Beginner"/>
    <s v="Strong"/>
    <x v="0"/>
    <n v="49"/>
    <s v="Needs Improvement"/>
    <x v="0"/>
    <s v="Technical Skills"/>
    <s v="Strengthen technical skills and practical knowledge"/>
  </r>
  <r>
    <n v="36"/>
    <n v="1"/>
    <n v="1"/>
    <n v="1"/>
    <n v="3"/>
    <n v="4.9538010488323998"/>
    <n v="15"/>
    <n v="83"/>
    <n v="86"/>
    <n v="1"/>
    <n v="1"/>
    <s v="C1033"/>
    <s v="Female"/>
    <s v="Bachelor's Type 1"/>
    <s v="Entry Level"/>
    <s v="Low"/>
    <s v="Advanced"/>
    <s v="Strong"/>
    <x v="0"/>
    <n v="50"/>
    <s v="Developing"/>
    <x v="0"/>
    <s v="Interview Preparation"/>
    <s v="Improve interview preparation and communication"/>
  </r>
  <r>
    <n v="40"/>
    <n v="1"/>
    <n v="3"/>
    <n v="15"/>
    <n v="4"/>
    <n v="23.375144484975401"/>
    <n v="21"/>
    <n v="86"/>
    <n v="67"/>
    <n v="2"/>
    <n v="1"/>
    <s v="C1034"/>
    <s v="Female"/>
    <s v="Master's"/>
    <s v="Senior Level"/>
    <s v="Low"/>
    <s v="Advanced"/>
    <s v="Good"/>
    <x v="0"/>
    <n v="64"/>
    <s v="Developing"/>
    <x v="1"/>
    <s v="Interview Preparation"/>
    <s v="Improve interview preparation and communication"/>
  </r>
  <r>
    <n v="33"/>
    <n v="1"/>
    <n v="2"/>
    <n v="5"/>
    <n v="3"/>
    <n v="6.0945876985776399"/>
    <n v="56"/>
    <n v="97"/>
    <n v="83"/>
    <n v="2"/>
    <n v="0"/>
    <s v="C1035"/>
    <s v="Female"/>
    <s v="Bachelor's Type 2"/>
    <s v="Mid Level"/>
    <s v="Average"/>
    <s v="Advanced"/>
    <s v="Strong"/>
    <x v="1"/>
    <n v="70"/>
    <s v="Developing"/>
    <x v="1"/>
    <s v="Interview Preparation"/>
    <s v="Improve interview preparation and communication"/>
  </r>
  <r>
    <n v="28"/>
    <n v="1"/>
    <n v="2"/>
    <n v="14"/>
    <n v="1"/>
    <n v="1.79601336313993"/>
    <n v="61"/>
    <n v="74"/>
    <n v="82"/>
    <n v="2"/>
    <n v="0"/>
    <s v="C1036"/>
    <s v="Female"/>
    <s v="Bachelor's Type 2"/>
    <s v="Senior Level"/>
    <s v="Average"/>
    <s v="Intermediate"/>
    <s v="Strong"/>
    <x v="1"/>
    <n v="73"/>
    <s v="Developing"/>
    <x v="0"/>
    <s v="Interview Preparation"/>
    <s v="Improve interview preparation and communication"/>
  </r>
  <r>
    <n v="33"/>
    <n v="0"/>
    <n v="1"/>
    <n v="7"/>
    <n v="1"/>
    <n v="31.809148260629801"/>
    <n v="81"/>
    <n v="33"/>
    <n v="41"/>
    <n v="2"/>
    <n v="0"/>
    <s v="C1037"/>
    <s v="Male"/>
    <s v="Bachelor's Type 1"/>
    <s v="Senior Level"/>
    <s v="Strong"/>
    <s v="Beginner"/>
    <s v="Needs Improvement"/>
    <x v="1"/>
    <n v="52"/>
    <s v="Developing"/>
    <x v="2"/>
    <s v="Technical Skills"/>
    <s v="Strengthen technical skills and practical knowledge"/>
  </r>
  <r>
    <n v="20"/>
    <n v="1"/>
    <n v="3"/>
    <n v="14"/>
    <n v="3"/>
    <n v="49.041470854009397"/>
    <n v="70"/>
    <n v="32"/>
    <n v="90"/>
    <n v="2"/>
    <n v="0"/>
    <s v="C1038"/>
    <s v="Female"/>
    <s v="Master's"/>
    <s v="Senior Level"/>
    <s v="Average"/>
    <s v="Beginner"/>
    <s v="Strong"/>
    <x v="1"/>
    <n v="66"/>
    <s v="Developing"/>
    <x v="0"/>
    <s v="Technical Skills"/>
    <s v="Strengthen technical skills and practical knowledge"/>
  </r>
  <r>
    <n v="38"/>
    <n v="1"/>
    <n v="2"/>
    <n v="7"/>
    <n v="2"/>
    <n v="46.143401171607501"/>
    <n v="89"/>
    <n v="25"/>
    <n v="56"/>
    <n v="2"/>
    <n v="0"/>
    <s v="C1039"/>
    <s v="Female"/>
    <s v="Bachelor's Type 2"/>
    <s v="Senior Level"/>
    <s v="Strong"/>
    <s v="Beginner"/>
    <s v="Good"/>
    <x v="1"/>
    <n v="55"/>
    <s v="Developing"/>
    <x v="2"/>
    <s v="Technical Skills"/>
    <s v="Strengthen technical skills and practical knowledge"/>
  </r>
  <r>
    <n v="32"/>
    <n v="0"/>
    <n v="2"/>
    <n v="6"/>
    <n v="4"/>
    <n v="35.837740746770201"/>
    <n v="71"/>
    <n v="65"/>
    <n v="97"/>
    <n v="1"/>
    <n v="1"/>
    <s v="C1040"/>
    <s v="Male"/>
    <s v="Bachelor's Type 2"/>
    <s v="Mid Level"/>
    <s v="Average"/>
    <s v="Intermediate"/>
    <s v="Strong"/>
    <x v="0"/>
    <n v="69"/>
    <s v="Developing"/>
    <x v="0"/>
    <s v="Technical Skills"/>
    <s v="Strengthen technical skills and practical knowledge"/>
  </r>
  <r>
    <n v="32"/>
    <n v="1"/>
    <n v="3"/>
    <n v="5"/>
    <n v="4"/>
    <n v="5.8320292082435703"/>
    <n v="69"/>
    <n v="62"/>
    <n v="67"/>
    <n v="2"/>
    <n v="0"/>
    <s v="C1041"/>
    <s v="Female"/>
    <s v="Master's"/>
    <s v="Mid Level"/>
    <s v="Average"/>
    <s v="Intermediate"/>
    <s v="Good"/>
    <x v="1"/>
    <n v="61"/>
    <s v="Developing"/>
    <x v="2"/>
    <s v="Technical Skills"/>
    <s v="Strengthen technical skills and practical knowledge"/>
  </r>
  <r>
    <n v="23"/>
    <n v="0"/>
    <n v="2"/>
    <n v="1"/>
    <n v="3"/>
    <n v="14.708201883615001"/>
    <n v="29"/>
    <n v="86"/>
    <n v="37"/>
    <n v="2"/>
    <n v="0"/>
    <s v="C1042"/>
    <s v="Male"/>
    <s v="Bachelor's Type 2"/>
    <s v="Entry Level"/>
    <s v="Low"/>
    <s v="Advanced"/>
    <s v="Needs Improvement"/>
    <x v="1"/>
    <n v="45"/>
    <s v="Needs Improvement"/>
    <x v="1"/>
    <s v="Interview Preparation"/>
    <s v="Improve interview preparation and communication"/>
  </r>
  <r>
    <n v="49"/>
    <n v="1"/>
    <n v="2"/>
    <n v="14"/>
    <n v="2"/>
    <n v="17.002836344264502"/>
    <n v="22"/>
    <n v="40"/>
    <n v="61"/>
    <n v="1"/>
    <n v="1"/>
    <s v="C1043"/>
    <s v="Female"/>
    <s v="Bachelor's Type 2"/>
    <s v="Senior Level"/>
    <s v="Low"/>
    <s v="Beginner"/>
    <s v="Good"/>
    <x v="0"/>
    <n v="47"/>
    <s v="Needs Improvement"/>
    <x v="0"/>
    <s v="Interview Preparation"/>
    <s v="Improve interview preparation and communication"/>
  </r>
  <r>
    <n v="20"/>
    <n v="0"/>
    <n v="1"/>
    <n v="6"/>
    <n v="1"/>
    <n v="39.157502887278"/>
    <n v="31"/>
    <n v="85"/>
    <n v="6"/>
    <n v="2"/>
    <n v="0"/>
    <s v="C1044"/>
    <s v="Male"/>
    <s v="Bachelor's Type 1"/>
    <s v="Mid Level"/>
    <s v="Low"/>
    <s v="Advanced"/>
    <s v="Needs Improvement"/>
    <x v="1"/>
    <n v="45"/>
    <s v="Needs Improvement"/>
    <x v="1"/>
    <s v="Personality &amp; Communication"/>
    <s v="Work on communication and personality development"/>
  </r>
  <r>
    <n v="36"/>
    <n v="0"/>
    <n v="2"/>
    <n v="10"/>
    <n v="5"/>
    <n v="41.112458961755699"/>
    <n v="85"/>
    <n v="57"/>
    <n v="70"/>
    <n v="2"/>
    <n v="1"/>
    <s v="C1045"/>
    <s v="Male"/>
    <s v="Bachelor's Type 2"/>
    <s v="Senior Level"/>
    <s v="Strong"/>
    <s v="Intermediate"/>
    <s v="Good"/>
    <x v="0"/>
    <n v="69"/>
    <s v="Developing"/>
    <x v="2"/>
    <s v="Technical Skills"/>
    <s v="Strengthen technical skills and practical knowledge"/>
  </r>
  <r>
    <n v="27"/>
    <n v="0"/>
    <n v="1"/>
    <n v="11"/>
    <n v="5"/>
    <n v="20.255306149496001"/>
    <n v="56"/>
    <n v="97"/>
    <n v="49"/>
    <n v="2"/>
    <n v="0"/>
    <s v="C1046"/>
    <s v="Male"/>
    <s v="Bachelor's Type 1"/>
    <s v="Senior Level"/>
    <s v="Average"/>
    <s v="Advanced"/>
    <s v="Needs Improvement"/>
    <x v="1"/>
    <n v="69"/>
    <s v="Developing"/>
    <x v="1"/>
    <s v="Personality &amp; Communication"/>
    <s v="Work on communication and personality development"/>
  </r>
  <r>
    <n v="21"/>
    <n v="0"/>
    <n v="2"/>
    <n v="13"/>
    <n v="3"/>
    <n v="21.8941998308804"/>
    <n v="8"/>
    <n v="78"/>
    <n v="51"/>
    <n v="2"/>
    <n v="0"/>
    <s v="C1047"/>
    <s v="Male"/>
    <s v="Bachelor's Type 2"/>
    <s v="Senior Level"/>
    <s v="Low"/>
    <s v="Advanced"/>
    <s v="Good"/>
    <x v="1"/>
    <n v="52"/>
    <s v="Developing"/>
    <x v="1"/>
    <s v="Interview Preparation"/>
    <s v="Improve interview preparation and communication"/>
  </r>
  <r>
    <n v="47"/>
    <n v="1"/>
    <n v="3"/>
    <n v="15"/>
    <n v="2"/>
    <n v="3.2254519638085601"/>
    <n v="30"/>
    <n v="9"/>
    <n v="25"/>
    <n v="2"/>
    <n v="0"/>
    <s v="C1048"/>
    <s v="Female"/>
    <s v="Master's"/>
    <s v="Senior Level"/>
    <s v="Low"/>
    <s v="Beginner"/>
    <s v="Needs Improvement"/>
    <x v="1"/>
    <n v="35"/>
    <s v="Needs Improvement"/>
    <x v="2"/>
    <s v="Technical Skills"/>
    <s v="Strengthen technical skills and practical knowledge"/>
  </r>
  <r>
    <n v="50"/>
    <n v="0"/>
    <n v="2"/>
    <n v="13"/>
    <n v="2"/>
    <n v="15.456835920938"/>
    <n v="70"/>
    <n v="14"/>
    <n v="25"/>
    <n v="2"/>
    <n v="0"/>
    <s v="C1049"/>
    <s v="Male"/>
    <s v="Bachelor's Type 2"/>
    <s v="Senior Level"/>
    <s v="Average"/>
    <s v="Beginner"/>
    <s v="Needs Improvement"/>
    <x v="1"/>
    <n v="46"/>
    <s v="Needs Improvement"/>
    <x v="2"/>
    <s v="Technical Skills"/>
    <s v="Strengthen technical skills and practical knowledge"/>
  </r>
  <r>
    <n v="27"/>
    <n v="1"/>
    <n v="2"/>
    <n v="4"/>
    <n v="4"/>
    <n v="23.5642588588819"/>
    <n v="8"/>
    <n v="41"/>
    <n v="18"/>
    <n v="3"/>
    <n v="0"/>
    <s v="C1050"/>
    <s v="Female"/>
    <s v="Bachelor's Type 2"/>
    <s v="Mid Level"/>
    <s v="Low"/>
    <s v="Beginner"/>
    <s v="Needs Improvement"/>
    <x v="1"/>
    <n v="25"/>
    <s v="Needs Improvement"/>
    <x v="1"/>
    <s v="Interview Preparation"/>
    <s v="Improve interview preparation and communication"/>
  </r>
  <r>
    <n v="26"/>
    <n v="0"/>
    <n v="1"/>
    <n v="15"/>
    <n v="1"/>
    <n v="6.8491523192628696"/>
    <n v="12"/>
    <n v="92"/>
    <n v="8"/>
    <n v="1"/>
    <n v="1"/>
    <s v="C1051"/>
    <s v="Male"/>
    <s v="Bachelor's Type 1"/>
    <s v="Senior Level"/>
    <s v="Low"/>
    <s v="Advanced"/>
    <s v="Needs Improvement"/>
    <x v="0"/>
    <n v="50"/>
    <s v="Developing"/>
    <x v="1"/>
    <s v="Personality &amp; Communication"/>
    <s v="Work on communication and personality development"/>
  </r>
  <r>
    <n v="45"/>
    <n v="0"/>
    <n v="2"/>
    <n v="5"/>
    <n v="2"/>
    <n v="23.663373037751001"/>
    <n v="57"/>
    <n v="56"/>
    <n v="60"/>
    <n v="3"/>
    <n v="0"/>
    <s v="C1052"/>
    <s v="Male"/>
    <s v="Bachelor's Type 2"/>
    <s v="Mid Level"/>
    <s v="Average"/>
    <s v="Intermediate"/>
    <s v="Good"/>
    <x v="1"/>
    <n v="53"/>
    <s v="Developing"/>
    <x v="0"/>
    <s v="Technical Skills"/>
    <s v="Strengthen technical skills and practical knowledge"/>
  </r>
  <r>
    <n v="45"/>
    <n v="0"/>
    <n v="2"/>
    <n v="9"/>
    <n v="5"/>
    <n v="43.658790612890002"/>
    <n v="2"/>
    <n v="86"/>
    <n v="19"/>
    <n v="2"/>
    <n v="0"/>
    <s v="C1053"/>
    <s v="Male"/>
    <s v="Bachelor's Type 2"/>
    <s v="Senior Level"/>
    <s v="Low"/>
    <s v="Advanced"/>
    <s v="Needs Improvement"/>
    <x v="1"/>
    <n v="42"/>
    <s v="Needs Improvement"/>
    <x v="1"/>
    <s v="Interview Preparation"/>
    <s v="Improve interview preparation and communication"/>
  </r>
  <r>
    <n v="21"/>
    <n v="1"/>
    <n v="3"/>
    <n v="7"/>
    <n v="1"/>
    <n v="30.066050986252598"/>
    <n v="34"/>
    <n v="16"/>
    <n v="49"/>
    <n v="1"/>
    <n v="1"/>
    <s v="C1054"/>
    <s v="Female"/>
    <s v="Master's"/>
    <s v="Senior Level"/>
    <s v="Low"/>
    <s v="Beginner"/>
    <s v="Needs Improvement"/>
    <x v="0"/>
    <n v="36"/>
    <s v="Needs Improvement"/>
    <x v="0"/>
    <s v="Technical Skills"/>
    <s v="Strengthen technical skills and practical knowledge"/>
  </r>
  <r>
    <n v="41"/>
    <n v="0"/>
    <n v="1"/>
    <n v="15"/>
    <n v="1"/>
    <n v="4.9464927519206103"/>
    <n v="96"/>
    <n v="59"/>
    <n v="79"/>
    <n v="1"/>
    <n v="1"/>
    <s v="C1055"/>
    <s v="Male"/>
    <s v="Bachelor's Type 1"/>
    <s v="Senior Level"/>
    <s v="Strong"/>
    <s v="Intermediate"/>
    <s v="Strong"/>
    <x v="0"/>
    <n v="80"/>
    <s v="Job Ready"/>
    <x v="2"/>
    <s v="Technical Skills"/>
    <s v="Strengthen technical skills and practical knowledge"/>
  </r>
  <r>
    <n v="41"/>
    <n v="1"/>
    <n v="3"/>
    <n v="13"/>
    <n v="3"/>
    <n v="10.583565941513699"/>
    <n v="20"/>
    <n v="8"/>
    <n v="80"/>
    <n v="2"/>
    <n v="0"/>
    <s v="C1056"/>
    <s v="Female"/>
    <s v="Master's"/>
    <s v="Senior Level"/>
    <s v="Low"/>
    <s v="Beginner"/>
    <s v="Strong"/>
    <x v="1"/>
    <n v="41"/>
    <s v="Needs Improvement"/>
    <x v="0"/>
    <s v="Technical Skills"/>
    <s v="Strengthen technical skills and practical knowledge"/>
  </r>
  <r>
    <n v="22"/>
    <n v="1"/>
    <n v="3"/>
    <n v="7"/>
    <n v="2"/>
    <n v="24.727217507927801"/>
    <n v="63"/>
    <n v="35"/>
    <n v="21"/>
    <n v="2"/>
    <n v="0"/>
    <s v="C1057"/>
    <s v="Female"/>
    <s v="Master's"/>
    <s v="Senior Level"/>
    <s v="Average"/>
    <s v="Beginner"/>
    <s v="Needs Improvement"/>
    <x v="1"/>
    <n v="44"/>
    <s v="Needs Improvement"/>
    <x v="2"/>
    <s v="Personality &amp; Communication"/>
    <s v="Work on communication and personality development"/>
  </r>
  <r>
    <n v="46"/>
    <n v="1"/>
    <n v="2"/>
    <n v="2"/>
    <n v="3"/>
    <n v="19.074357491090598"/>
    <n v="94"/>
    <n v="72"/>
    <n v="12"/>
    <n v="1"/>
    <n v="1"/>
    <s v="C1058"/>
    <s v="Female"/>
    <s v="Bachelor's Type 2"/>
    <s v="Entry Level"/>
    <s v="Strong"/>
    <s v="Intermediate"/>
    <s v="Needs Improvement"/>
    <x v="0"/>
    <n v="57"/>
    <s v="Developing"/>
    <x v="2"/>
    <s v="Personality &amp; Communication"/>
    <s v="Work on communication and personality development"/>
  </r>
  <r>
    <n v="37"/>
    <n v="1"/>
    <n v="3"/>
    <n v="11"/>
    <n v="2"/>
    <n v="18.936350977304901"/>
    <n v="51"/>
    <n v="79"/>
    <n v="11"/>
    <n v="1"/>
    <n v="1"/>
    <s v="C1059"/>
    <s v="Female"/>
    <s v="Master's"/>
    <s v="Senior Level"/>
    <s v="Average"/>
    <s v="Advanced"/>
    <s v="Needs Improvement"/>
    <x v="0"/>
    <n v="56"/>
    <s v="Developing"/>
    <x v="1"/>
    <s v="Personality &amp; Communication"/>
    <s v="Work on communication and personality development"/>
  </r>
  <r>
    <n v="31"/>
    <n v="1"/>
    <n v="2"/>
    <n v="15"/>
    <n v="4"/>
    <n v="27.463372407179499"/>
    <n v="33"/>
    <n v="35"/>
    <n v="9"/>
    <n v="2"/>
    <n v="0"/>
    <s v="C1060"/>
    <s v="Female"/>
    <s v="Bachelor's Type 2"/>
    <s v="Senior Level"/>
    <s v="Low"/>
    <s v="Beginner"/>
    <s v="Needs Improvement"/>
    <x v="1"/>
    <n v="40"/>
    <s v="Needs Improvement"/>
    <x v="1"/>
    <s v="Personality &amp; Communication"/>
    <s v="Work on communication and personality development"/>
  </r>
  <r>
    <n v="20"/>
    <n v="1"/>
    <n v="2"/>
    <n v="11"/>
    <n v="3"/>
    <n v="30.2197960794728"/>
    <n v="95"/>
    <n v="47"/>
    <n v="64"/>
    <n v="1"/>
    <n v="1"/>
    <s v="C1061"/>
    <s v="Female"/>
    <s v="Bachelor's Type 2"/>
    <s v="Senior Level"/>
    <s v="Strong"/>
    <s v="Beginner"/>
    <s v="Good"/>
    <x v="0"/>
    <n v="69"/>
    <s v="Developing"/>
    <x v="2"/>
    <s v="Technical Skills"/>
    <s v="Strengthen technical skills and practical knowledge"/>
  </r>
  <r>
    <n v="41"/>
    <n v="1"/>
    <n v="2"/>
    <n v="13"/>
    <n v="3"/>
    <n v="40.843078513809502"/>
    <n v="34"/>
    <n v="50"/>
    <n v="95"/>
    <n v="3"/>
    <n v="0"/>
    <s v="C1062"/>
    <s v="Female"/>
    <s v="Bachelor's Type 2"/>
    <s v="Senior Level"/>
    <s v="Low"/>
    <s v="Intermediate"/>
    <s v="Strong"/>
    <x v="1"/>
    <n v="60"/>
    <s v="Developing"/>
    <x v="0"/>
    <s v="Interview Preparation"/>
    <s v="Improve interview preparation and communication"/>
  </r>
  <r>
    <n v="31"/>
    <n v="1"/>
    <n v="2"/>
    <n v="6"/>
    <n v="5"/>
    <n v="18.048328173124201"/>
    <n v="14"/>
    <n v="96"/>
    <n v="29"/>
    <n v="2"/>
    <n v="0"/>
    <s v="C1063"/>
    <s v="Female"/>
    <s v="Bachelor's Type 2"/>
    <s v="Mid Level"/>
    <s v="Low"/>
    <s v="Advanced"/>
    <s v="Needs Improvement"/>
    <x v="1"/>
    <n v="47"/>
    <s v="Needs Improvement"/>
    <x v="1"/>
    <s v="Interview Preparation"/>
    <s v="Improve interview preparation and communication"/>
  </r>
  <r>
    <n v="24"/>
    <n v="1"/>
    <n v="2"/>
    <n v="0"/>
    <n v="3"/>
    <n v="41.2733141520293"/>
    <n v="95"/>
    <n v="94"/>
    <n v="7"/>
    <n v="2"/>
    <n v="0"/>
    <s v="C1064"/>
    <s v="Female"/>
    <s v="Bachelor's Type 2"/>
    <s v="Entry Level"/>
    <s v="Strong"/>
    <s v="Advanced"/>
    <s v="Needs Improvement"/>
    <x v="1"/>
    <n v="61"/>
    <s v="Developing"/>
    <x v="2"/>
    <s v="Personality &amp; Communication"/>
    <s v="Work on communication and personality development"/>
  </r>
  <r>
    <n v="49"/>
    <n v="0"/>
    <n v="2"/>
    <n v="0"/>
    <n v="2"/>
    <n v="17.930561455631601"/>
    <n v="5"/>
    <n v="69"/>
    <n v="20"/>
    <n v="2"/>
    <n v="0"/>
    <s v="C1065"/>
    <s v="Male"/>
    <s v="Bachelor's Type 2"/>
    <s v="Entry Level"/>
    <s v="Low"/>
    <s v="Intermediate"/>
    <s v="Needs Improvement"/>
    <x v="1"/>
    <n v="29"/>
    <s v="Needs Improvement"/>
    <x v="1"/>
    <s v="Interview Preparation"/>
    <s v="Improve interview preparation and communication"/>
  </r>
  <r>
    <n v="49"/>
    <n v="0"/>
    <n v="2"/>
    <n v="6"/>
    <n v="5"/>
    <n v="3.7716494470616899"/>
    <n v="84"/>
    <n v="73"/>
    <n v="21"/>
    <n v="1"/>
    <n v="1"/>
    <s v="C1066"/>
    <s v="Male"/>
    <s v="Bachelor's Type 2"/>
    <s v="Mid Level"/>
    <s v="Strong"/>
    <s v="Intermediate"/>
    <s v="Needs Improvement"/>
    <x v="0"/>
    <n v="60"/>
    <s v="Developing"/>
    <x v="2"/>
    <s v="Personality &amp; Communication"/>
    <s v="Work on communication and personality development"/>
  </r>
  <r>
    <n v="46"/>
    <n v="0"/>
    <n v="2"/>
    <n v="14"/>
    <n v="3"/>
    <n v="28.7093825502395"/>
    <n v="96"/>
    <n v="79"/>
    <n v="17"/>
    <n v="3"/>
    <n v="0"/>
    <s v="C1067"/>
    <s v="Male"/>
    <s v="Bachelor's Type 2"/>
    <s v="Senior Level"/>
    <s v="Strong"/>
    <s v="Advanced"/>
    <s v="Needs Improvement"/>
    <x v="1"/>
    <n v="72"/>
    <s v="Developing"/>
    <x v="2"/>
    <s v="Personality &amp; Communication"/>
    <s v="Work on communication and personality development"/>
  </r>
  <r>
    <n v="44"/>
    <n v="0"/>
    <n v="1"/>
    <n v="14"/>
    <n v="3"/>
    <n v="30.395116244740699"/>
    <n v="31"/>
    <n v="67"/>
    <n v="65"/>
    <n v="1"/>
    <n v="1"/>
    <s v="C1068"/>
    <s v="Male"/>
    <s v="Bachelor's Type 1"/>
    <s v="Senior Level"/>
    <s v="Low"/>
    <s v="Intermediate"/>
    <s v="Good"/>
    <x v="0"/>
    <n v="59"/>
    <s v="Developing"/>
    <x v="1"/>
    <s v="Interview Preparation"/>
    <s v="Improve interview preparation and communication"/>
  </r>
  <r>
    <n v="36"/>
    <n v="0"/>
    <n v="4"/>
    <n v="9"/>
    <n v="4"/>
    <n v="47.727012281093003"/>
    <n v="51"/>
    <n v="21"/>
    <n v="47"/>
    <n v="2"/>
    <n v="0"/>
    <s v="C1069"/>
    <s v="Male"/>
    <s v="PhD"/>
    <s v="Senior Level"/>
    <s v="Average"/>
    <s v="Beginner"/>
    <s v="Needs Improvement"/>
    <x v="1"/>
    <n v="45"/>
    <s v="Needs Improvement"/>
    <x v="2"/>
    <s v="Technical Skills"/>
    <s v="Strengthen technical skills and practical knowledge"/>
  </r>
  <r>
    <n v="35"/>
    <n v="1"/>
    <n v="3"/>
    <n v="8"/>
    <n v="3"/>
    <n v="37.3030663031237"/>
    <n v="82"/>
    <n v="76"/>
    <n v="43"/>
    <n v="2"/>
    <n v="1"/>
    <s v="C1070"/>
    <s v="Female"/>
    <s v="Master's"/>
    <s v="Senior Level"/>
    <s v="Strong"/>
    <s v="Advanced"/>
    <s v="Needs Improvement"/>
    <x v="0"/>
    <n v="68"/>
    <s v="Developing"/>
    <x v="2"/>
    <s v="Personality &amp; Communication"/>
    <s v="Work on communication and personality development"/>
  </r>
  <r>
    <n v="50"/>
    <n v="1"/>
    <n v="2"/>
    <n v="6"/>
    <n v="1"/>
    <n v="46.8886326247219"/>
    <n v="96"/>
    <n v="79"/>
    <n v="8"/>
    <n v="1"/>
    <n v="1"/>
    <s v="C1071"/>
    <s v="Female"/>
    <s v="Bachelor's Type 2"/>
    <s v="Mid Level"/>
    <s v="Strong"/>
    <s v="Advanced"/>
    <s v="Needs Improvement"/>
    <x v="0"/>
    <n v="63"/>
    <s v="Developing"/>
    <x v="2"/>
    <s v="Personality &amp; Communication"/>
    <s v="Work on communication and personality development"/>
  </r>
  <r>
    <n v="34"/>
    <n v="1"/>
    <n v="1"/>
    <n v="9"/>
    <n v="5"/>
    <n v="46.417360512150402"/>
    <n v="27"/>
    <n v="92"/>
    <n v="66"/>
    <n v="2"/>
    <n v="0"/>
    <s v="C1072"/>
    <s v="Female"/>
    <s v="Bachelor's Type 1"/>
    <s v="Senior Level"/>
    <s v="Low"/>
    <s v="Advanced"/>
    <s v="Good"/>
    <x v="1"/>
    <n v="60"/>
    <s v="Developing"/>
    <x v="1"/>
    <s v="Interview Preparation"/>
    <s v="Improve interview preparation and communication"/>
  </r>
  <r>
    <n v="42"/>
    <n v="1"/>
    <n v="3"/>
    <n v="4"/>
    <n v="1"/>
    <n v="31.2287055129121"/>
    <n v="94"/>
    <n v="5"/>
    <n v="53"/>
    <n v="3"/>
    <n v="0"/>
    <s v="C1073"/>
    <s v="Female"/>
    <s v="Master's"/>
    <s v="Mid Level"/>
    <s v="Strong"/>
    <s v="Beginner"/>
    <s v="Good"/>
    <x v="1"/>
    <n v="48"/>
    <s v="Needs Improvement"/>
    <x v="2"/>
    <s v="Technical Skills"/>
    <s v="Strengthen technical skills and practical knowledge"/>
  </r>
  <r>
    <n v="34"/>
    <n v="1"/>
    <n v="3"/>
    <n v="7"/>
    <n v="5"/>
    <n v="27.388103266822299"/>
    <n v="84"/>
    <n v="25"/>
    <n v="25"/>
    <n v="2"/>
    <n v="0"/>
    <s v="C1074"/>
    <s v="Female"/>
    <s v="Master's"/>
    <s v="Senior Level"/>
    <s v="Strong"/>
    <s v="Beginner"/>
    <s v="Needs Improvement"/>
    <x v="1"/>
    <n v="48"/>
    <s v="Needs Improvement"/>
    <x v="2"/>
    <s v="Technical Skills"/>
    <s v="Strengthen technical skills and practical knowledge"/>
  </r>
  <r>
    <n v="24"/>
    <n v="1"/>
    <n v="3"/>
    <n v="1"/>
    <n v="4"/>
    <n v="28.872048358179899"/>
    <n v="97"/>
    <n v="74"/>
    <n v="84"/>
    <n v="3"/>
    <n v="1"/>
    <s v="C1075"/>
    <s v="Female"/>
    <s v="Master's"/>
    <s v="Entry Level"/>
    <s v="Strong"/>
    <s v="Intermediate"/>
    <s v="Strong"/>
    <x v="0"/>
    <n v="73"/>
    <s v="Developing"/>
    <x v="2"/>
    <s v="Technical Skills"/>
    <s v="Strengthen technical skills and practical knowledge"/>
  </r>
  <r>
    <n v="40"/>
    <n v="1"/>
    <n v="2"/>
    <n v="8"/>
    <n v="3"/>
    <n v="49.916540383862298"/>
    <n v="63"/>
    <n v="87"/>
    <n v="93"/>
    <n v="3"/>
    <n v="0"/>
    <s v="C1076"/>
    <s v="Female"/>
    <s v="Bachelor's Type 2"/>
    <s v="Senior Level"/>
    <s v="Average"/>
    <s v="Advanced"/>
    <s v="Strong"/>
    <x v="1"/>
    <n v="74"/>
    <s v="Developing"/>
    <x v="0"/>
    <s v="Interview Preparation"/>
    <s v="Improve interview preparation and communication"/>
  </r>
  <r>
    <n v="33"/>
    <n v="0"/>
    <n v="2"/>
    <n v="5"/>
    <n v="3"/>
    <n v="39.658384587347904"/>
    <n v="78"/>
    <n v="92"/>
    <n v="91"/>
    <n v="2"/>
    <n v="0"/>
    <s v="C1077"/>
    <s v="Male"/>
    <s v="Bachelor's Type 2"/>
    <s v="Mid Level"/>
    <s v="Strong"/>
    <s v="Advanced"/>
    <s v="Strong"/>
    <x v="1"/>
    <n v="77"/>
    <s v="Job Ready"/>
    <x v="1"/>
    <s v="Interview Preparation"/>
    <s v="Improve interview preparation and communication"/>
  </r>
  <r>
    <n v="21"/>
    <n v="0"/>
    <n v="1"/>
    <n v="12"/>
    <n v="3"/>
    <n v="6.3132952396197899"/>
    <n v="77"/>
    <n v="2"/>
    <n v="99"/>
    <n v="2"/>
    <n v="0"/>
    <s v="C1078"/>
    <s v="Male"/>
    <s v="Bachelor's Type 1"/>
    <s v="Senior Level"/>
    <s v="Strong"/>
    <s v="Beginner"/>
    <s v="Strong"/>
    <x v="1"/>
    <n v="58"/>
    <s v="Developing"/>
    <x v="0"/>
    <s v="Technical Skills"/>
    <s v="Strengthen technical skills and practical knowledge"/>
  </r>
  <r>
    <n v="30"/>
    <n v="0"/>
    <n v="1"/>
    <n v="8"/>
    <n v="5"/>
    <n v="39.921420339069897"/>
    <n v="18"/>
    <n v="51"/>
    <n v="25"/>
    <n v="2"/>
    <n v="0"/>
    <s v="C1079"/>
    <s v="Male"/>
    <s v="Bachelor's Type 1"/>
    <s v="Senior Level"/>
    <s v="Low"/>
    <s v="Intermediate"/>
    <s v="Needs Improvement"/>
    <x v="1"/>
    <n v="36"/>
    <s v="Needs Improvement"/>
    <x v="1"/>
    <s v="Interview Preparation"/>
    <s v="Improve interview preparation and communication"/>
  </r>
  <r>
    <n v="38"/>
    <n v="0"/>
    <n v="3"/>
    <n v="15"/>
    <n v="3"/>
    <n v="9.5269024449112898"/>
    <n v="14"/>
    <n v="73"/>
    <n v="33"/>
    <n v="2"/>
    <n v="0"/>
    <s v="C1080"/>
    <s v="Male"/>
    <s v="Master's"/>
    <s v="Senior Level"/>
    <s v="Low"/>
    <s v="Intermediate"/>
    <s v="Needs Improvement"/>
    <x v="1"/>
    <n v="51"/>
    <s v="Developing"/>
    <x v="1"/>
    <s v="Interview Preparation"/>
    <s v="Improve interview preparation and communication"/>
  </r>
  <r>
    <n v="26"/>
    <n v="1"/>
    <n v="3"/>
    <n v="1"/>
    <n v="1"/>
    <n v="23.367527450281202"/>
    <n v="5"/>
    <n v="59"/>
    <n v="7"/>
    <n v="1"/>
    <n v="1"/>
    <s v="C1081"/>
    <s v="Female"/>
    <s v="Master's"/>
    <s v="Entry Level"/>
    <s v="Low"/>
    <s v="Intermediate"/>
    <s v="Needs Improvement"/>
    <x v="0"/>
    <n v="25"/>
    <s v="Needs Improvement"/>
    <x v="1"/>
    <s v="Interview Preparation"/>
    <s v="Improve interview preparation and communication"/>
  </r>
  <r>
    <n v="25"/>
    <n v="1"/>
    <n v="2"/>
    <n v="2"/>
    <n v="3"/>
    <n v="11.522983608826699"/>
    <n v="72"/>
    <n v="62"/>
    <n v="9"/>
    <n v="3"/>
    <n v="0"/>
    <s v="C1082"/>
    <s v="Female"/>
    <s v="Bachelor's Type 2"/>
    <s v="Entry Level"/>
    <s v="Average"/>
    <s v="Intermediate"/>
    <s v="Needs Improvement"/>
    <x v="1"/>
    <n v="47"/>
    <s v="Needs Improvement"/>
    <x v="2"/>
    <s v="Personality &amp; Communication"/>
    <s v="Work on communication and personality development"/>
  </r>
  <r>
    <n v="47"/>
    <n v="1"/>
    <n v="3"/>
    <n v="11"/>
    <n v="4"/>
    <n v="35.4791532766614"/>
    <n v="100"/>
    <n v="64"/>
    <n v="47"/>
    <n v="2"/>
    <n v="1"/>
    <s v="C1083"/>
    <s v="Female"/>
    <s v="Master's"/>
    <s v="Senior Level"/>
    <s v="Strong"/>
    <s v="Intermediate"/>
    <s v="Needs Improvement"/>
    <x v="0"/>
    <n v="73"/>
    <s v="Developing"/>
    <x v="2"/>
    <s v="Personality &amp; Communication"/>
    <s v="Work on communication and personality development"/>
  </r>
  <r>
    <n v="21"/>
    <n v="0"/>
    <n v="2"/>
    <n v="7"/>
    <n v="1"/>
    <n v="44.865486809651699"/>
    <n v="83"/>
    <n v="51"/>
    <n v="54"/>
    <n v="2"/>
    <n v="0"/>
    <s v="C1084"/>
    <s v="Male"/>
    <s v="Bachelor's Type 2"/>
    <s v="Senior Level"/>
    <s v="Strong"/>
    <s v="Intermediate"/>
    <s v="Good"/>
    <x v="1"/>
    <n v="61"/>
    <s v="Developing"/>
    <x v="2"/>
    <s v="Technical Skills"/>
    <s v="Strengthen technical skills and practical knowledge"/>
  </r>
  <r>
    <n v="25"/>
    <n v="1"/>
    <n v="2"/>
    <n v="0"/>
    <n v="3"/>
    <n v="15.518094268334"/>
    <n v="97"/>
    <n v="89"/>
    <n v="53"/>
    <n v="2"/>
    <n v="0"/>
    <s v="C1085"/>
    <s v="Female"/>
    <s v="Bachelor's Type 2"/>
    <s v="Entry Level"/>
    <s v="Strong"/>
    <s v="Advanced"/>
    <s v="Good"/>
    <x v="1"/>
    <n v="69"/>
    <s v="Developing"/>
    <x v="2"/>
    <s v="Personality &amp; Communication"/>
    <s v="Work on communication and personality development"/>
  </r>
  <r>
    <n v="37"/>
    <n v="1"/>
    <n v="2"/>
    <n v="14"/>
    <n v="3"/>
    <n v="5.1005370604093798"/>
    <n v="37"/>
    <n v="75"/>
    <n v="77"/>
    <n v="2"/>
    <n v="0"/>
    <s v="C1086"/>
    <s v="Female"/>
    <s v="Bachelor's Type 2"/>
    <s v="Senior Level"/>
    <s v="Low"/>
    <s v="Advanced"/>
    <s v="Strong"/>
    <x v="1"/>
    <n v="66"/>
    <s v="Developing"/>
    <x v="0"/>
    <s v="Interview Preparation"/>
    <s v="Improve interview preparation and communication"/>
  </r>
  <r>
    <n v="21"/>
    <n v="1"/>
    <n v="4"/>
    <n v="9"/>
    <n v="2"/>
    <n v="15.924654903748101"/>
    <n v="25"/>
    <n v="13"/>
    <n v="39"/>
    <n v="3"/>
    <n v="0"/>
    <s v="C1087"/>
    <s v="Female"/>
    <s v="PhD"/>
    <s v="Senior Level"/>
    <s v="Low"/>
    <s v="Beginner"/>
    <s v="Needs Improvement"/>
    <x v="1"/>
    <n v="33"/>
    <s v="Needs Improvement"/>
    <x v="0"/>
    <s v="Technical Skills"/>
    <s v="Strengthen technical skills and practical knowledge"/>
  </r>
  <r>
    <n v="37"/>
    <n v="0"/>
    <n v="1"/>
    <n v="14"/>
    <n v="5"/>
    <n v="34.618092896609703"/>
    <n v="81"/>
    <n v="88"/>
    <n v="14"/>
    <n v="2"/>
    <n v="0"/>
    <s v="C1088"/>
    <s v="Male"/>
    <s v="Bachelor's Type 1"/>
    <s v="Senior Level"/>
    <s v="Strong"/>
    <s v="Advanced"/>
    <s v="Needs Improvement"/>
    <x v="1"/>
    <n v="70"/>
    <s v="Developing"/>
    <x v="1"/>
    <s v="Personality &amp; Communication"/>
    <s v="Work on communication and personality development"/>
  </r>
  <r>
    <n v="49"/>
    <n v="1"/>
    <n v="4"/>
    <n v="14"/>
    <n v="1"/>
    <n v="17.438006377722498"/>
    <n v="91"/>
    <n v="71"/>
    <n v="80"/>
    <n v="1"/>
    <n v="1"/>
    <s v="C1089"/>
    <s v="Female"/>
    <s v="PhD"/>
    <s v="Senior Level"/>
    <s v="Strong"/>
    <s v="Intermediate"/>
    <s v="Strong"/>
    <x v="0"/>
    <n v="84"/>
    <s v="Job Ready"/>
    <x v="2"/>
    <s v="Technical Skills"/>
    <s v="Strengthen technical skills and practical knowledge"/>
  </r>
  <r>
    <n v="34"/>
    <n v="0"/>
    <n v="3"/>
    <n v="14"/>
    <n v="2"/>
    <n v="14.9056083776901"/>
    <n v="50"/>
    <n v="67"/>
    <n v="17"/>
    <n v="1"/>
    <n v="1"/>
    <s v="C1090"/>
    <s v="Male"/>
    <s v="Master's"/>
    <s v="Senior Level"/>
    <s v="Average"/>
    <s v="Intermediate"/>
    <s v="Needs Improvement"/>
    <x v="0"/>
    <n v="56"/>
    <s v="Developing"/>
    <x v="1"/>
    <s v="Personality &amp; Communication"/>
    <s v="Work on communication and personality development"/>
  </r>
  <r>
    <n v="46"/>
    <n v="0"/>
    <n v="1"/>
    <n v="6"/>
    <n v="4"/>
    <n v="10.2217595292132"/>
    <n v="72"/>
    <n v="27"/>
    <n v="95"/>
    <n v="3"/>
    <n v="0"/>
    <s v="C1091"/>
    <s v="Male"/>
    <s v="Bachelor's Type 1"/>
    <s v="Mid Level"/>
    <s v="Average"/>
    <s v="Beginner"/>
    <s v="Strong"/>
    <x v="1"/>
    <n v="57"/>
    <s v="Developing"/>
    <x v="0"/>
    <s v="Technical Skills"/>
    <s v="Strengthen technical skills and practical knowledge"/>
  </r>
  <r>
    <n v="38"/>
    <n v="0"/>
    <n v="2"/>
    <n v="6"/>
    <n v="5"/>
    <n v="25.875821343721601"/>
    <n v="95"/>
    <n v="70"/>
    <n v="22"/>
    <n v="2"/>
    <n v="0"/>
    <s v="C1092"/>
    <s v="Male"/>
    <s v="Bachelor's Type 2"/>
    <s v="Mid Level"/>
    <s v="Strong"/>
    <s v="Intermediate"/>
    <s v="Needs Improvement"/>
    <x v="1"/>
    <n v="62"/>
    <s v="Developing"/>
    <x v="2"/>
    <s v="Personality &amp; Communication"/>
    <s v="Work on communication and personality development"/>
  </r>
  <r>
    <n v="50"/>
    <n v="0"/>
    <n v="3"/>
    <n v="12"/>
    <n v="1"/>
    <n v="14.797441407859299"/>
    <n v="52"/>
    <n v="9"/>
    <n v="61"/>
    <n v="3"/>
    <n v="0"/>
    <s v="C1093"/>
    <s v="Male"/>
    <s v="Master's"/>
    <s v="Senior Level"/>
    <s v="Average"/>
    <s v="Beginner"/>
    <s v="Good"/>
    <x v="1"/>
    <n v="46"/>
    <s v="Needs Improvement"/>
    <x v="0"/>
    <s v="Technical Skills"/>
    <s v="Strengthen technical skills and practical knowledge"/>
  </r>
  <r>
    <n v="21"/>
    <n v="1"/>
    <n v="2"/>
    <n v="0"/>
    <n v="3"/>
    <n v="37.550517456974099"/>
    <n v="55"/>
    <n v="56"/>
    <n v="45"/>
    <n v="1"/>
    <n v="0"/>
    <s v="C1094"/>
    <s v="Female"/>
    <s v="Bachelor's Type 2"/>
    <s v="Entry Level"/>
    <s v="Average"/>
    <s v="Intermediate"/>
    <s v="Needs Improvement"/>
    <x v="1"/>
    <n v="45"/>
    <s v="Needs Improvement"/>
    <x v="1"/>
    <s v="Personality &amp; Communication"/>
    <s v="Work on communication and personality development"/>
  </r>
  <r>
    <n v="39"/>
    <n v="0"/>
    <n v="4"/>
    <n v="15"/>
    <n v="1"/>
    <n v="4.8311200996101302"/>
    <n v="58"/>
    <n v="99"/>
    <n v="86"/>
    <n v="1"/>
    <n v="1"/>
    <s v="C1095"/>
    <s v="Male"/>
    <s v="PhD"/>
    <s v="Senior Level"/>
    <s v="Average"/>
    <s v="Advanced"/>
    <s v="Strong"/>
    <x v="0"/>
    <n v="84"/>
    <s v="Job Ready"/>
    <x v="1"/>
    <s v="Interview Preparation"/>
    <s v="Improve interview preparation and communication"/>
  </r>
  <r>
    <n v="44"/>
    <n v="0"/>
    <n v="4"/>
    <n v="8"/>
    <n v="3"/>
    <n v="34.201651655565797"/>
    <n v="69"/>
    <n v="65"/>
    <n v="98"/>
    <n v="1"/>
    <n v="1"/>
    <s v="C1096"/>
    <s v="Male"/>
    <s v="PhD"/>
    <s v="Senior Level"/>
    <s v="Average"/>
    <s v="Intermediate"/>
    <s v="Strong"/>
    <x v="0"/>
    <n v="73"/>
    <s v="Developing"/>
    <x v="0"/>
    <s v="Technical Skills"/>
    <s v="Strengthen technical skills and practical knowledge"/>
  </r>
  <r>
    <n v="25"/>
    <n v="1"/>
    <n v="2"/>
    <n v="7"/>
    <n v="5"/>
    <n v="12.8780007283884"/>
    <n v="77"/>
    <n v="89"/>
    <n v="38"/>
    <n v="2"/>
    <n v="0"/>
    <s v="C1097"/>
    <s v="Female"/>
    <s v="Bachelor's Type 2"/>
    <s v="Senior Level"/>
    <s v="Strong"/>
    <s v="Advanced"/>
    <s v="Needs Improvement"/>
    <x v="1"/>
    <n v="67"/>
    <s v="Developing"/>
    <x v="1"/>
    <s v="Personality &amp; Communication"/>
    <s v="Work on communication and personality development"/>
  </r>
  <r>
    <n v="20"/>
    <n v="1"/>
    <n v="2"/>
    <n v="3"/>
    <n v="3"/>
    <n v="25.463963052580102"/>
    <n v="91"/>
    <n v="49"/>
    <n v="14"/>
    <n v="2"/>
    <n v="0"/>
    <s v="C1098"/>
    <s v="Female"/>
    <s v="Bachelor's Type 2"/>
    <s v="Mid Level"/>
    <s v="Strong"/>
    <s v="Beginner"/>
    <s v="Needs Improvement"/>
    <x v="1"/>
    <n v="50"/>
    <s v="Developing"/>
    <x v="2"/>
    <s v="Personality &amp; Communication"/>
    <s v="Work on communication and personality development"/>
  </r>
  <r>
    <n v="43"/>
    <n v="0"/>
    <n v="4"/>
    <n v="9"/>
    <n v="4"/>
    <n v="15.304496101563"/>
    <n v="57"/>
    <n v="13"/>
    <n v="52"/>
    <n v="1"/>
    <n v="1"/>
    <s v="C1099"/>
    <s v="Male"/>
    <s v="PhD"/>
    <s v="Senior Level"/>
    <s v="Average"/>
    <s v="Beginner"/>
    <s v="Good"/>
    <x v="0"/>
    <n v="45"/>
    <s v="Needs Improvement"/>
    <x v="2"/>
    <s v="Technical Skills"/>
    <s v="Strengthen technical skills and practical knowledge"/>
  </r>
  <r>
    <n v="34"/>
    <n v="1"/>
    <n v="2"/>
    <n v="10"/>
    <n v="3"/>
    <n v="37.138433800539701"/>
    <n v="87"/>
    <n v="15"/>
    <n v="87"/>
    <n v="2"/>
    <n v="0"/>
    <s v="C1100"/>
    <s v="Female"/>
    <s v="Bachelor's Type 2"/>
    <s v="Senior Level"/>
    <s v="Strong"/>
    <s v="Beginner"/>
    <s v="Strong"/>
    <x v="1"/>
    <n v="61"/>
    <s v="Developing"/>
    <x v="2"/>
    <s v="Technical Skills"/>
    <s v="Strengthen technical skills and practical knowledge"/>
  </r>
  <r>
    <n v="47"/>
    <n v="0"/>
    <n v="1"/>
    <n v="4"/>
    <n v="4"/>
    <n v="48.265352012581801"/>
    <n v="12"/>
    <n v="53"/>
    <n v="63"/>
    <n v="2"/>
    <n v="0"/>
    <s v="C1101"/>
    <s v="Male"/>
    <s v="Bachelor's Type 1"/>
    <s v="Mid Level"/>
    <s v="Low"/>
    <s v="Intermediate"/>
    <s v="Good"/>
    <x v="1"/>
    <n v="39"/>
    <s v="Needs Improvement"/>
    <x v="0"/>
    <s v="Interview Preparation"/>
    <s v="Improve interview preparation and communication"/>
  </r>
  <r>
    <n v="49"/>
    <n v="0"/>
    <n v="1"/>
    <n v="1"/>
    <n v="5"/>
    <n v="46.853838973490603"/>
    <n v="42"/>
    <n v="42"/>
    <n v="62"/>
    <n v="1"/>
    <n v="0"/>
    <s v="C1102"/>
    <s v="Male"/>
    <s v="Bachelor's Type 1"/>
    <s v="Entry Level"/>
    <s v="Low"/>
    <s v="Beginner"/>
    <s v="Good"/>
    <x v="1"/>
    <n v="41"/>
    <s v="Needs Improvement"/>
    <x v="0"/>
    <s v="Interview Preparation"/>
    <s v="Improve interview preparation and communication"/>
  </r>
  <r>
    <n v="42"/>
    <n v="0"/>
    <n v="2"/>
    <n v="12"/>
    <n v="5"/>
    <n v="30.171310757204498"/>
    <n v="75"/>
    <n v="41"/>
    <n v="91"/>
    <n v="2"/>
    <n v="0"/>
    <s v="C1103"/>
    <s v="Male"/>
    <s v="Bachelor's Type 2"/>
    <s v="Senior Level"/>
    <s v="Strong"/>
    <s v="Beginner"/>
    <s v="Strong"/>
    <x v="1"/>
    <n v="68"/>
    <s v="Developing"/>
    <x v="0"/>
    <s v="Technical Skills"/>
    <s v="Strengthen technical skills and practical knowledge"/>
  </r>
  <r>
    <n v="29"/>
    <n v="0"/>
    <n v="4"/>
    <n v="15"/>
    <n v="1"/>
    <n v="24.130515162848901"/>
    <n v="50"/>
    <n v="80"/>
    <n v="79"/>
    <n v="2"/>
    <n v="1"/>
    <s v="C1104"/>
    <s v="Male"/>
    <s v="PhD"/>
    <s v="Senior Level"/>
    <s v="Average"/>
    <s v="Advanced"/>
    <s v="Strong"/>
    <x v="0"/>
    <n v="75"/>
    <s v="Job Ready"/>
    <x v="1"/>
    <s v="Interview Preparation"/>
    <s v="Improve interview preparation and communication"/>
  </r>
  <r>
    <n v="38"/>
    <n v="1"/>
    <n v="3"/>
    <n v="8"/>
    <n v="4"/>
    <n v="41.915025471969003"/>
    <n v="18"/>
    <n v="21"/>
    <n v="15"/>
    <n v="1"/>
    <n v="1"/>
    <s v="C1105"/>
    <s v="Female"/>
    <s v="Master's"/>
    <s v="Senior Level"/>
    <s v="Low"/>
    <s v="Beginner"/>
    <s v="Needs Improvement"/>
    <x v="0"/>
    <n v="26"/>
    <s v="Needs Improvement"/>
    <x v="1"/>
    <s v="Personality &amp; Communication"/>
    <s v="Work on communication and personality development"/>
  </r>
  <r>
    <n v="36"/>
    <n v="0"/>
    <n v="2"/>
    <n v="14"/>
    <n v="4"/>
    <n v="35.166318131386497"/>
    <n v="20"/>
    <n v="67"/>
    <n v="69"/>
    <n v="1"/>
    <n v="1"/>
    <s v="C1106"/>
    <s v="Male"/>
    <s v="Bachelor's Type 2"/>
    <s v="Senior Level"/>
    <s v="Low"/>
    <s v="Intermediate"/>
    <s v="Good"/>
    <x v="0"/>
    <n v="56"/>
    <s v="Developing"/>
    <x v="0"/>
    <s v="Interview Preparation"/>
    <s v="Improve interview preparation and communication"/>
  </r>
  <r>
    <n v="24"/>
    <n v="1"/>
    <n v="1"/>
    <n v="11"/>
    <n v="2"/>
    <n v="10.1782057108466"/>
    <n v="90"/>
    <n v="18"/>
    <n v="65"/>
    <n v="2"/>
    <n v="0"/>
    <s v="C1107"/>
    <s v="Female"/>
    <s v="Bachelor's Type 1"/>
    <s v="Senior Level"/>
    <s v="Strong"/>
    <s v="Beginner"/>
    <s v="Good"/>
    <x v="1"/>
    <n v="59"/>
    <s v="Developing"/>
    <x v="2"/>
    <s v="Technical Skills"/>
    <s v="Strengthen technical skills and practical knowledge"/>
  </r>
  <r>
    <n v="48"/>
    <n v="1"/>
    <n v="2"/>
    <n v="11"/>
    <n v="2"/>
    <n v="42.045960680649998"/>
    <n v="82"/>
    <n v="65"/>
    <n v="12"/>
    <n v="2"/>
    <n v="0"/>
    <s v="C1108"/>
    <s v="Female"/>
    <s v="Bachelor's Type 2"/>
    <s v="Senior Level"/>
    <s v="Strong"/>
    <s v="Intermediate"/>
    <s v="Needs Improvement"/>
    <x v="1"/>
    <n v="60"/>
    <s v="Developing"/>
    <x v="2"/>
    <s v="Personality &amp; Communication"/>
    <s v="Work on communication and personality development"/>
  </r>
  <r>
    <n v="23"/>
    <n v="1"/>
    <n v="3"/>
    <n v="5"/>
    <n v="2"/>
    <n v="22.444219469735501"/>
    <n v="23"/>
    <n v="38"/>
    <n v="46"/>
    <n v="3"/>
    <n v="0"/>
    <s v="C1109"/>
    <s v="Female"/>
    <s v="Master's"/>
    <s v="Mid Level"/>
    <s v="Low"/>
    <s v="Beginner"/>
    <s v="Needs Improvement"/>
    <x v="1"/>
    <n v="36"/>
    <s v="Needs Improvement"/>
    <x v="0"/>
    <s v="Interview Preparation"/>
    <s v="Improve interview preparation and communication"/>
  </r>
  <r>
    <n v="29"/>
    <n v="1"/>
    <n v="1"/>
    <n v="2"/>
    <n v="3"/>
    <n v="10.449282998558701"/>
    <n v="25"/>
    <n v="72"/>
    <n v="8"/>
    <n v="2"/>
    <n v="0"/>
    <s v="C1110"/>
    <s v="Female"/>
    <s v="Bachelor's Type 1"/>
    <s v="Entry Level"/>
    <s v="Low"/>
    <s v="Intermediate"/>
    <s v="Needs Improvement"/>
    <x v="1"/>
    <n v="35"/>
    <s v="Needs Improvement"/>
    <x v="1"/>
    <s v="Personality &amp; Communication"/>
    <s v="Work on communication and personality development"/>
  </r>
  <r>
    <n v="43"/>
    <n v="0"/>
    <n v="2"/>
    <n v="11"/>
    <n v="2"/>
    <n v="15.089867519824599"/>
    <n v="44"/>
    <n v="18"/>
    <n v="62"/>
    <n v="1"/>
    <n v="1"/>
    <s v="C1111"/>
    <s v="Male"/>
    <s v="Bachelor's Type 2"/>
    <s v="Senior Level"/>
    <s v="Low"/>
    <s v="Beginner"/>
    <s v="Good"/>
    <x v="0"/>
    <n v="45"/>
    <s v="Needs Improvement"/>
    <x v="0"/>
    <s v="Technical Skills"/>
    <s v="Strengthen technical skills and practical knowledge"/>
  </r>
  <r>
    <n v="36"/>
    <n v="1"/>
    <n v="1"/>
    <n v="6"/>
    <n v="4"/>
    <n v="14.3763515124171"/>
    <n v="27"/>
    <n v="15"/>
    <n v="33"/>
    <n v="3"/>
    <n v="0"/>
    <s v="C1112"/>
    <s v="Female"/>
    <s v="Bachelor's Type 1"/>
    <s v="Mid Level"/>
    <s v="Low"/>
    <s v="Beginner"/>
    <s v="Needs Improvement"/>
    <x v="1"/>
    <n v="28"/>
    <s v="Needs Improvement"/>
    <x v="0"/>
    <s v="Technical Skills"/>
    <s v="Strengthen technical skills and practical knowledge"/>
  </r>
  <r>
    <n v="29"/>
    <n v="0"/>
    <n v="2"/>
    <n v="8"/>
    <n v="3"/>
    <n v="26.960348730172999"/>
    <n v="81"/>
    <n v="53"/>
    <n v="80"/>
    <n v="3"/>
    <n v="1"/>
    <s v="C1113"/>
    <s v="Male"/>
    <s v="Bachelor's Type 2"/>
    <s v="Senior Level"/>
    <s v="Strong"/>
    <s v="Intermediate"/>
    <s v="Strong"/>
    <x v="0"/>
    <n v="67"/>
    <s v="Developing"/>
    <x v="2"/>
    <s v="Technical Skills"/>
    <s v="Strengthen technical skills and practical knowledge"/>
  </r>
  <r>
    <n v="36"/>
    <n v="1"/>
    <n v="4"/>
    <n v="2"/>
    <n v="5"/>
    <n v="12.7185045338937"/>
    <n v="99"/>
    <n v="24"/>
    <n v="90"/>
    <n v="2"/>
    <n v="0"/>
    <s v="C1114"/>
    <s v="Female"/>
    <s v="PhD"/>
    <s v="Entry Level"/>
    <s v="Strong"/>
    <s v="Beginner"/>
    <s v="Strong"/>
    <x v="1"/>
    <n v="62"/>
    <s v="Developing"/>
    <x v="2"/>
    <s v="Technical Skills"/>
    <s v="Strengthen technical skills and practical knowledge"/>
  </r>
  <r>
    <n v="47"/>
    <n v="1"/>
    <n v="2"/>
    <n v="15"/>
    <n v="1"/>
    <n v="7.1783243700788004"/>
    <n v="28"/>
    <n v="17"/>
    <n v="28"/>
    <n v="3"/>
    <n v="0"/>
    <s v="C1115"/>
    <s v="Female"/>
    <s v="Bachelor's Type 2"/>
    <s v="Senior Level"/>
    <s v="Low"/>
    <s v="Beginner"/>
    <s v="Needs Improvement"/>
    <x v="1"/>
    <n v="37"/>
    <s v="Needs Improvement"/>
    <x v="2"/>
    <s v="Technical Skills"/>
    <s v="Strengthen technical skills and practical knowledge"/>
  </r>
  <r>
    <n v="39"/>
    <n v="0"/>
    <n v="2"/>
    <n v="1"/>
    <n v="2"/>
    <n v="7.1845425306880299"/>
    <n v="16"/>
    <n v="22"/>
    <n v="36"/>
    <n v="2"/>
    <n v="0"/>
    <s v="C1116"/>
    <s v="Male"/>
    <s v="Bachelor's Type 2"/>
    <s v="Entry Level"/>
    <s v="Low"/>
    <s v="Beginner"/>
    <s v="Needs Improvement"/>
    <x v="1"/>
    <n v="22"/>
    <s v="Needs Improvement"/>
    <x v="0"/>
    <s v="Interview Preparation"/>
    <s v="Improve interview preparation and communication"/>
  </r>
  <r>
    <n v="43"/>
    <n v="0"/>
    <n v="2"/>
    <n v="15"/>
    <n v="5"/>
    <n v="30.163809856954799"/>
    <n v="67"/>
    <n v="84"/>
    <n v="42"/>
    <n v="2"/>
    <n v="0"/>
    <s v="C1117"/>
    <s v="Male"/>
    <s v="Bachelor's Type 2"/>
    <s v="Senior Level"/>
    <s v="Average"/>
    <s v="Advanced"/>
    <s v="Needs Improvement"/>
    <x v="1"/>
    <n v="71"/>
    <s v="Developing"/>
    <x v="1"/>
    <s v="Personality &amp; Communication"/>
    <s v="Work on communication and personality development"/>
  </r>
  <r>
    <n v="24"/>
    <n v="0"/>
    <n v="4"/>
    <n v="6"/>
    <n v="4"/>
    <n v="37.7379644424689"/>
    <n v="43"/>
    <n v="10"/>
    <n v="85"/>
    <n v="2"/>
    <n v="0"/>
    <s v="C1118"/>
    <s v="Male"/>
    <s v="PhD"/>
    <s v="Mid Level"/>
    <s v="Low"/>
    <s v="Beginner"/>
    <s v="Strong"/>
    <x v="1"/>
    <n v="44"/>
    <s v="Needs Improvement"/>
    <x v="0"/>
    <s v="Technical Skills"/>
    <s v="Strengthen technical skills and practical knowledge"/>
  </r>
  <r>
    <n v="21"/>
    <n v="1"/>
    <n v="1"/>
    <n v="6"/>
    <n v="1"/>
    <n v="17.076650441917"/>
    <n v="60"/>
    <n v="38"/>
    <n v="63"/>
    <n v="2"/>
    <n v="0"/>
    <s v="C1119"/>
    <s v="Female"/>
    <s v="Bachelor's Type 1"/>
    <s v="Mid Level"/>
    <s v="Average"/>
    <s v="Beginner"/>
    <s v="Good"/>
    <x v="1"/>
    <n v="51"/>
    <s v="Developing"/>
    <x v="0"/>
    <s v="Technical Skills"/>
    <s v="Strengthen technical skills and practical knowledge"/>
  </r>
  <r>
    <n v="25"/>
    <n v="1"/>
    <n v="2"/>
    <n v="3"/>
    <n v="5"/>
    <n v="2.7325354907008501"/>
    <n v="92"/>
    <n v="67"/>
    <n v="23"/>
    <n v="1"/>
    <n v="1"/>
    <s v="C1120"/>
    <s v="Female"/>
    <s v="Bachelor's Type 2"/>
    <s v="Mid Level"/>
    <s v="Strong"/>
    <s v="Intermediate"/>
    <s v="Needs Improvement"/>
    <x v="0"/>
    <n v="58"/>
    <s v="Developing"/>
    <x v="2"/>
    <s v="Personality &amp; Communication"/>
    <s v="Work on communication and personality development"/>
  </r>
  <r>
    <n v="40"/>
    <n v="0"/>
    <n v="2"/>
    <n v="10"/>
    <n v="1"/>
    <n v="7.3612443468505298"/>
    <n v="67"/>
    <n v="24"/>
    <n v="70"/>
    <n v="3"/>
    <n v="0"/>
    <s v="C1121"/>
    <s v="Male"/>
    <s v="Bachelor's Type 2"/>
    <s v="Senior Level"/>
    <s v="Average"/>
    <s v="Beginner"/>
    <s v="Good"/>
    <x v="1"/>
    <n v="54"/>
    <s v="Developing"/>
    <x v="0"/>
    <s v="Technical Skills"/>
    <s v="Strengthen technical skills and practical knowledge"/>
  </r>
  <r>
    <n v="21"/>
    <n v="0"/>
    <n v="3"/>
    <n v="8"/>
    <n v="2"/>
    <n v="46.734728016852799"/>
    <n v="73"/>
    <n v="62"/>
    <n v="33"/>
    <n v="3"/>
    <n v="1"/>
    <s v="C1122"/>
    <s v="Male"/>
    <s v="Master's"/>
    <s v="Senior Level"/>
    <s v="Average"/>
    <s v="Intermediate"/>
    <s v="Needs Improvement"/>
    <x v="0"/>
    <n v="59"/>
    <s v="Developing"/>
    <x v="2"/>
    <s v="Personality &amp; Communication"/>
    <s v="Work on communication and personality development"/>
  </r>
  <r>
    <n v="32"/>
    <n v="0"/>
    <n v="2"/>
    <n v="15"/>
    <n v="4"/>
    <n v="25.677182979472601"/>
    <n v="24"/>
    <n v="95"/>
    <n v="47"/>
    <n v="2"/>
    <n v="0"/>
    <s v="C1123"/>
    <s v="Male"/>
    <s v="Bachelor's Type 2"/>
    <s v="Senior Level"/>
    <s v="Low"/>
    <s v="Advanced"/>
    <s v="Needs Improvement"/>
    <x v="1"/>
    <n v="63"/>
    <s v="Developing"/>
    <x v="1"/>
    <s v="Interview Preparation"/>
    <s v="Improve interview preparation and communication"/>
  </r>
  <r>
    <n v="49"/>
    <n v="0"/>
    <n v="1"/>
    <n v="13"/>
    <n v="1"/>
    <n v="23.678640480758698"/>
    <n v="94"/>
    <n v="29"/>
    <n v="11"/>
    <n v="2"/>
    <n v="0"/>
    <s v="C1124"/>
    <s v="Male"/>
    <s v="Bachelor's Type 1"/>
    <s v="Senior Level"/>
    <s v="Strong"/>
    <s v="Beginner"/>
    <s v="Needs Improvement"/>
    <x v="1"/>
    <n v="55"/>
    <s v="Developing"/>
    <x v="2"/>
    <s v="Personality &amp; Communication"/>
    <s v="Work on communication and personality development"/>
  </r>
  <r>
    <n v="30"/>
    <n v="1"/>
    <n v="2"/>
    <n v="7"/>
    <n v="5"/>
    <n v="2.9024589155045399"/>
    <n v="66"/>
    <n v="44"/>
    <n v="22"/>
    <n v="1"/>
    <n v="0"/>
    <s v="C1125"/>
    <s v="Female"/>
    <s v="Bachelor's Type 2"/>
    <s v="Senior Level"/>
    <s v="Average"/>
    <s v="Beginner"/>
    <s v="Needs Improvement"/>
    <x v="1"/>
    <n v="47"/>
    <s v="Needs Improvement"/>
    <x v="2"/>
    <s v="Personality &amp; Communication"/>
    <s v="Work on communication and personality development"/>
  </r>
  <r>
    <n v="30"/>
    <n v="0"/>
    <n v="3"/>
    <n v="12"/>
    <n v="2"/>
    <n v="37.4318511158449"/>
    <n v="1"/>
    <n v="89"/>
    <n v="78"/>
    <n v="1"/>
    <n v="1"/>
    <s v="C1126"/>
    <s v="Male"/>
    <s v="Master's"/>
    <s v="Senior Level"/>
    <s v="Low"/>
    <s v="Advanced"/>
    <s v="Strong"/>
    <x v="0"/>
    <n v="58"/>
    <s v="Developing"/>
    <x v="1"/>
    <s v="Interview Preparation"/>
    <s v="Improve interview preparation and communication"/>
  </r>
  <r>
    <n v="35"/>
    <n v="0"/>
    <n v="1"/>
    <n v="12"/>
    <n v="2"/>
    <n v="27.4034040466039"/>
    <n v="88"/>
    <n v="60"/>
    <n v="96"/>
    <n v="1"/>
    <n v="1"/>
    <s v="C1127"/>
    <s v="Male"/>
    <s v="Bachelor's Type 1"/>
    <s v="Senior Level"/>
    <s v="Strong"/>
    <s v="Intermediate"/>
    <s v="Strong"/>
    <x v="0"/>
    <n v="78"/>
    <s v="Job Ready"/>
    <x v="0"/>
    <s v="Technical Skills"/>
    <s v="Strengthen technical skills and practical knowledge"/>
  </r>
  <r>
    <n v="30"/>
    <n v="0"/>
    <n v="3"/>
    <n v="0"/>
    <n v="5"/>
    <n v="11.104046804326"/>
    <n v="48"/>
    <n v="99"/>
    <n v="12"/>
    <n v="2"/>
    <n v="0"/>
    <s v="C1128"/>
    <s v="Male"/>
    <s v="Master's"/>
    <s v="Entry Level"/>
    <s v="Low"/>
    <s v="Advanced"/>
    <s v="Needs Improvement"/>
    <x v="1"/>
    <n v="50"/>
    <s v="Developing"/>
    <x v="1"/>
    <s v="Personality &amp; Communication"/>
    <s v="Work on communication and personality development"/>
  </r>
  <r>
    <n v="38"/>
    <n v="0"/>
    <n v="1"/>
    <n v="0"/>
    <n v="5"/>
    <n v="6.5036880090528504"/>
    <n v="69"/>
    <n v="50"/>
    <n v="86"/>
    <n v="3"/>
    <n v="0"/>
    <s v="C1129"/>
    <s v="Male"/>
    <s v="Bachelor's Type 1"/>
    <s v="Entry Level"/>
    <s v="Average"/>
    <s v="Intermediate"/>
    <s v="Strong"/>
    <x v="1"/>
    <n v="55"/>
    <s v="Developing"/>
    <x v="0"/>
    <s v="Technical Skills"/>
    <s v="Strengthen technical skills and practical knowledge"/>
  </r>
  <r>
    <n v="34"/>
    <n v="1"/>
    <n v="2"/>
    <n v="4"/>
    <n v="1"/>
    <n v="20.169393181599901"/>
    <n v="25"/>
    <n v="97"/>
    <n v="95"/>
    <n v="1"/>
    <n v="1"/>
    <s v="C1130"/>
    <s v="Female"/>
    <s v="Bachelor's Type 2"/>
    <s v="Mid Level"/>
    <s v="Low"/>
    <s v="Advanced"/>
    <s v="Strong"/>
    <x v="0"/>
    <n v="62"/>
    <s v="Developing"/>
    <x v="1"/>
    <s v="Interview Preparation"/>
    <s v="Improve interview preparation and communication"/>
  </r>
  <r>
    <n v="44"/>
    <n v="0"/>
    <n v="2"/>
    <n v="5"/>
    <n v="3"/>
    <n v="42.858098209751198"/>
    <n v="71"/>
    <n v="8"/>
    <n v="44"/>
    <n v="1"/>
    <n v="0"/>
    <s v="C1131"/>
    <s v="Male"/>
    <s v="Bachelor's Type 2"/>
    <s v="Mid Level"/>
    <s v="Average"/>
    <s v="Beginner"/>
    <s v="Needs Improvement"/>
    <x v="1"/>
    <n v="40"/>
    <s v="Needs Improvement"/>
    <x v="2"/>
    <s v="Technical Skills"/>
    <s v="Strengthen technical skills and practical knowledge"/>
  </r>
  <r>
    <n v="42"/>
    <n v="1"/>
    <n v="3"/>
    <n v="2"/>
    <n v="2"/>
    <n v="44.264727960051196"/>
    <n v="98"/>
    <n v="75"/>
    <n v="98"/>
    <n v="2"/>
    <n v="1"/>
    <s v="C1132"/>
    <s v="Female"/>
    <s v="Master's"/>
    <s v="Entry Level"/>
    <s v="Strong"/>
    <s v="Advanced"/>
    <s v="Strong"/>
    <x v="0"/>
    <n v="77"/>
    <s v="Job Ready"/>
    <x v="2"/>
    <s v="Technical Skills"/>
    <s v="Strengthen technical skills and practical knowledge"/>
  </r>
  <r>
    <n v="42"/>
    <n v="0"/>
    <n v="2"/>
    <n v="12"/>
    <n v="1"/>
    <n v="31.142319019781802"/>
    <n v="26"/>
    <n v="1"/>
    <n v="64"/>
    <n v="1"/>
    <n v="1"/>
    <s v="C1133"/>
    <s v="Male"/>
    <s v="Bachelor's Type 2"/>
    <s v="Senior Level"/>
    <s v="Low"/>
    <s v="Beginner"/>
    <s v="Good"/>
    <x v="0"/>
    <n v="35"/>
    <s v="Needs Improvement"/>
    <x v="0"/>
    <s v="Technical Skills"/>
    <s v="Strengthen technical skills and practical knowledge"/>
  </r>
  <r>
    <n v="35"/>
    <n v="0"/>
    <n v="3"/>
    <n v="8"/>
    <n v="5"/>
    <n v="37.376821361507098"/>
    <n v="88"/>
    <n v="4"/>
    <n v="46"/>
    <n v="3"/>
    <n v="0"/>
    <s v="C1134"/>
    <s v="Male"/>
    <s v="Master's"/>
    <s v="Senior Level"/>
    <s v="Strong"/>
    <s v="Beginner"/>
    <s v="Needs Improvement"/>
    <x v="1"/>
    <n v="49"/>
    <s v="Needs Improvement"/>
    <x v="2"/>
    <s v="Technical Skills"/>
    <s v="Strengthen technical skills and practical knowledge"/>
  </r>
  <r>
    <n v="50"/>
    <n v="1"/>
    <n v="3"/>
    <n v="11"/>
    <n v="1"/>
    <n v="6.7577893701435103"/>
    <n v="17"/>
    <n v="61"/>
    <n v="57"/>
    <n v="2"/>
    <n v="0"/>
    <s v="C1135"/>
    <s v="Female"/>
    <s v="Master's"/>
    <s v="Senior Level"/>
    <s v="Low"/>
    <s v="Intermediate"/>
    <s v="Good"/>
    <x v="1"/>
    <n v="50"/>
    <s v="Developing"/>
    <x v="1"/>
    <s v="Interview Preparation"/>
    <s v="Improve interview preparation and communication"/>
  </r>
  <r>
    <n v="30"/>
    <n v="0"/>
    <n v="2"/>
    <n v="9"/>
    <n v="5"/>
    <n v="30.406303273392702"/>
    <n v="53"/>
    <n v="68"/>
    <n v="4"/>
    <n v="1"/>
    <n v="1"/>
    <s v="C1136"/>
    <s v="Male"/>
    <s v="Bachelor's Type 2"/>
    <s v="Senior Level"/>
    <s v="Average"/>
    <s v="Intermediate"/>
    <s v="Needs Improvement"/>
    <x v="0"/>
    <n v="49"/>
    <s v="Needs Improvement"/>
    <x v="1"/>
    <s v="Personality &amp; Communication"/>
    <s v="Work on communication and personality development"/>
  </r>
  <r>
    <n v="41"/>
    <n v="1"/>
    <n v="3"/>
    <n v="13"/>
    <n v="4"/>
    <n v="34.348285174358999"/>
    <n v="0"/>
    <n v="51"/>
    <n v="76"/>
    <n v="1"/>
    <n v="1"/>
    <s v="C1137"/>
    <s v="Female"/>
    <s v="Master's"/>
    <s v="Senior Level"/>
    <s v="Low"/>
    <s v="Intermediate"/>
    <s v="Strong"/>
    <x v="0"/>
    <n v="47"/>
    <s v="Needs Improvement"/>
    <x v="0"/>
    <s v="Interview Preparation"/>
    <s v="Improve interview preparation and communication"/>
  </r>
  <r>
    <n v="35"/>
    <n v="1"/>
    <n v="3"/>
    <n v="14"/>
    <n v="5"/>
    <n v="11.0356421456896"/>
    <n v="60"/>
    <n v="85"/>
    <n v="4"/>
    <n v="1"/>
    <n v="1"/>
    <s v="C1138"/>
    <s v="Female"/>
    <s v="Master's"/>
    <s v="Senior Level"/>
    <s v="Average"/>
    <s v="Advanced"/>
    <s v="Needs Improvement"/>
    <x v="0"/>
    <n v="62"/>
    <s v="Developing"/>
    <x v="1"/>
    <s v="Personality &amp; Communication"/>
    <s v="Work on communication and personality development"/>
  </r>
  <r>
    <n v="27"/>
    <n v="0"/>
    <n v="1"/>
    <n v="5"/>
    <n v="5"/>
    <n v="45.0077366455129"/>
    <n v="2"/>
    <n v="4"/>
    <n v="59"/>
    <n v="2"/>
    <n v="0"/>
    <s v="C1139"/>
    <s v="Male"/>
    <s v="Bachelor's Type 1"/>
    <s v="Mid Level"/>
    <s v="Low"/>
    <s v="Beginner"/>
    <s v="Good"/>
    <x v="1"/>
    <n v="21"/>
    <s v="Needs Improvement"/>
    <x v="0"/>
    <s v="Interview Preparation"/>
    <s v="Improve interview preparation and communication"/>
  </r>
  <r>
    <n v="23"/>
    <n v="1"/>
    <n v="2"/>
    <n v="3"/>
    <n v="5"/>
    <n v="10.7498368760509"/>
    <n v="67"/>
    <n v="58"/>
    <n v="95"/>
    <n v="1"/>
    <n v="1"/>
    <s v="C1140"/>
    <s v="Female"/>
    <s v="Bachelor's Type 2"/>
    <s v="Mid Level"/>
    <s v="Average"/>
    <s v="Intermediate"/>
    <s v="Strong"/>
    <x v="0"/>
    <n v="62"/>
    <s v="Developing"/>
    <x v="0"/>
    <s v="Technical Skills"/>
    <s v="Strengthen technical skills and practical knowledge"/>
  </r>
  <r>
    <n v="27"/>
    <n v="1"/>
    <n v="4"/>
    <n v="11"/>
    <n v="3"/>
    <n v="16.673867992322499"/>
    <n v="40"/>
    <n v="67"/>
    <n v="20"/>
    <n v="2"/>
    <n v="0"/>
    <s v="C1141"/>
    <s v="Female"/>
    <s v="PhD"/>
    <s v="Senior Level"/>
    <s v="Low"/>
    <s v="Intermediate"/>
    <s v="Needs Improvement"/>
    <x v="1"/>
    <n v="52"/>
    <s v="Developing"/>
    <x v="1"/>
    <s v="Personality &amp; Communication"/>
    <s v="Work on communication and personality development"/>
  </r>
  <r>
    <n v="23"/>
    <n v="1"/>
    <n v="1"/>
    <n v="6"/>
    <n v="5"/>
    <n v="32.0278423511729"/>
    <n v="36"/>
    <n v="8"/>
    <n v="23"/>
    <n v="2"/>
    <n v="0"/>
    <s v="C1142"/>
    <s v="Female"/>
    <s v="Bachelor's Type 1"/>
    <s v="Mid Level"/>
    <s v="Low"/>
    <s v="Beginner"/>
    <s v="Needs Improvement"/>
    <x v="1"/>
    <n v="26"/>
    <s v="Needs Improvement"/>
    <x v="2"/>
    <s v="Technical Skills"/>
    <s v="Strengthen technical skills and practical knowledge"/>
  </r>
  <r>
    <n v="43"/>
    <n v="1"/>
    <n v="3"/>
    <n v="7"/>
    <n v="2"/>
    <n v="32.917503256536499"/>
    <n v="50"/>
    <n v="92"/>
    <n v="17"/>
    <n v="1"/>
    <n v="1"/>
    <s v="C1143"/>
    <s v="Female"/>
    <s v="Master's"/>
    <s v="Senior Level"/>
    <s v="Average"/>
    <s v="Advanced"/>
    <s v="Needs Improvement"/>
    <x v="0"/>
    <n v="57"/>
    <s v="Developing"/>
    <x v="1"/>
    <s v="Personality &amp; Communication"/>
    <s v="Work on communication and personality development"/>
  </r>
  <r>
    <n v="44"/>
    <n v="1"/>
    <n v="4"/>
    <n v="8"/>
    <n v="2"/>
    <n v="35.969237049368303"/>
    <n v="14"/>
    <n v="21"/>
    <n v="20"/>
    <n v="1"/>
    <n v="1"/>
    <s v="C1144"/>
    <s v="Female"/>
    <s v="PhD"/>
    <s v="Senior Level"/>
    <s v="Low"/>
    <s v="Beginner"/>
    <s v="Needs Improvement"/>
    <x v="0"/>
    <n v="28"/>
    <s v="Needs Improvement"/>
    <x v="1"/>
    <s v="Interview Preparation"/>
    <s v="Improve interview preparation and communication"/>
  </r>
  <r>
    <n v="22"/>
    <n v="1"/>
    <n v="1"/>
    <n v="12"/>
    <n v="1"/>
    <n v="6.6005856534102803"/>
    <n v="7"/>
    <n v="26"/>
    <n v="53"/>
    <n v="2"/>
    <n v="0"/>
    <s v="C1145"/>
    <s v="Female"/>
    <s v="Bachelor's Type 1"/>
    <s v="Senior Level"/>
    <s v="Low"/>
    <s v="Beginner"/>
    <s v="Good"/>
    <x v="1"/>
    <n v="35"/>
    <s v="Needs Improvement"/>
    <x v="0"/>
    <s v="Interview Preparation"/>
    <s v="Improve interview preparation and communication"/>
  </r>
  <r>
    <n v="22"/>
    <n v="1"/>
    <n v="2"/>
    <n v="15"/>
    <n v="3"/>
    <n v="43.473221496427698"/>
    <n v="37"/>
    <n v="9"/>
    <n v="9"/>
    <n v="2"/>
    <n v="0"/>
    <s v="C1146"/>
    <s v="Female"/>
    <s v="Bachelor's Type 2"/>
    <s v="Senior Level"/>
    <s v="Low"/>
    <s v="Beginner"/>
    <s v="Needs Improvement"/>
    <x v="1"/>
    <n v="33"/>
    <s v="Needs Improvement"/>
    <x v="2"/>
    <s v="Technical Skills"/>
    <s v="Strengthen technical skills and practical knowledge"/>
  </r>
  <r>
    <n v="46"/>
    <n v="1"/>
    <n v="2"/>
    <n v="10"/>
    <n v="1"/>
    <n v="27.6423566141629"/>
    <n v="82"/>
    <n v="79"/>
    <n v="23"/>
    <n v="3"/>
    <n v="0"/>
    <s v="C1147"/>
    <s v="Female"/>
    <s v="Bachelor's Type 2"/>
    <s v="Senior Level"/>
    <s v="Strong"/>
    <s v="Advanced"/>
    <s v="Needs Improvement"/>
    <x v="1"/>
    <n v="65"/>
    <s v="Developing"/>
    <x v="2"/>
    <s v="Personality &amp; Communication"/>
    <s v="Work on communication and personality development"/>
  </r>
  <r>
    <n v="48"/>
    <n v="0"/>
    <n v="2"/>
    <n v="5"/>
    <n v="2"/>
    <n v="24.5660897052534"/>
    <n v="55"/>
    <n v="60"/>
    <n v="84"/>
    <n v="1"/>
    <n v="1"/>
    <s v="C1148"/>
    <s v="Male"/>
    <s v="Bachelor's Type 2"/>
    <s v="Mid Level"/>
    <s v="Average"/>
    <s v="Intermediate"/>
    <s v="Strong"/>
    <x v="0"/>
    <n v="59"/>
    <s v="Developing"/>
    <x v="0"/>
    <s v="Interview Preparation"/>
    <s v="Improve interview preparation and communication"/>
  </r>
  <r>
    <n v="37"/>
    <n v="0"/>
    <n v="1"/>
    <n v="14"/>
    <n v="2"/>
    <n v="50.054881225675402"/>
    <n v="46"/>
    <n v="50"/>
    <n v="88"/>
    <n v="1"/>
    <n v="1"/>
    <s v="C1149"/>
    <s v="Male"/>
    <s v="Bachelor's Type 1"/>
    <s v="Senior Level"/>
    <s v="Low"/>
    <s v="Intermediate"/>
    <s v="Strong"/>
    <x v="0"/>
    <n v="63"/>
    <s v="Developing"/>
    <x v="0"/>
    <s v="Interview Preparation"/>
    <s v="Improve interview preparation and communication"/>
  </r>
  <r>
    <n v="48"/>
    <n v="1"/>
    <n v="1"/>
    <n v="5"/>
    <n v="4"/>
    <n v="38.018914847050901"/>
    <n v="89"/>
    <n v="9"/>
    <n v="59"/>
    <n v="1"/>
    <n v="0"/>
    <s v="C1150"/>
    <s v="Female"/>
    <s v="Bachelor's Type 1"/>
    <s v="Mid Level"/>
    <s v="Strong"/>
    <s v="Beginner"/>
    <s v="Good"/>
    <x v="1"/>
    <n v="49"/>
    <s v="Needs Improvement"/>
    <x v="2"/>
    <s v="Technical Skills"/>
    <s v="Strengthen technical skills and practical knowledge"/>
  </r>
  <r>
    <n v="45"/>
    <n v="0"/>
    <n v="2"/>
    <n v="7"/>
    <n v="5"/>
    <n v="6.9003013309687402"/>
    <n v="9"/>
    <n v="5"/>
    <n v="56"/>
    <n v="2"/>
    <n v="0"/>
    <s v="C1151"/>
    <s v="Male"/>
    <s v="Bachelor's Type 2"/>
    <s v="Senior Level"/>
    <s v="Low"/>
    <s v="Beginner"/>
    <s v="Good"/>
    <x v="1"/>
    <n v="25"/>
    <s v="Needs Improvement"/>
    <x v="0"/>
    <s v="Technical Skills"/>
    <s v="Strengthen technical skills and practical knowledge"/>
  </r>
  <r>
    <n v="38"/>
    <n v="1"/>
    <n v="3"/>
    <n v="11"/>
    <n v="2"/>
    <n v="38.826958361312002"/>
    <n v="77"/>
    <n v="61"/>
    <n v="22"/>
    <n v="2"/>
    <n v="1"/>
    <s v="C1152"/>
    <s v="Female"/>
    <s v="Master's"/>
    <s v="Senior Level"/>
    <s v="Strong"/>
    <s v="Intermediate"/>
    <s v="Needs Improvement"/>
    <x v="0"/>
    <n v="61"/>
    <s v="Developing"/>
    <x v="2"/>
    <s v="Personality &amp; Communication"/>
    <s v="Work on communication and personality development"/>
  </r>
  <r>
    <n v="38"/>
    <n v="1"/>
    <n v="3"/>
    <n v="4"/>
    <n v="1"/>
    <n v="5.7624466986434699"/>
    <n v="48"/>
    <n v="4"/>
    <n v="21"/>
    <n v="3"/>
    <n v="0"/>
    <s v="C1153"/>
    <s v="Female"/>
    <s v="Master's"/>
    <s v="Mid Level"/>
    <s v="Low"/>
    <s v="Beginner"/>
    <s v="Needs Improvement"/>
    <x v="1"/>
    <n v="28"/>
    <s v="Needs Improvement"/>
    <x v="2"/>
    <s v="Technical Skills"/>
    <s v="Strengthen technical skills and practical knowledge"/>
  </r>
  <r>
    <n v="40"/>
    <n v="0"/>
    <n v="2"/>
    <n v="13"/>
    <n v="1"/>
    <n v="2.3735281256492402"/>
    <n v="40"/>
    <n v="69"/>
    <n v="67"/>
    <n v="2"/>
    <n v="0"/>
    <s v="C1154"/>
    <s v="Male"/>
    <s v="Bachelor's Type 2"/>
    <s v="Senior Level"/>
    <s v="Low"/>
    <s v="Intermediate"/>
    <s v="Good"/>
    <x v="1"/>
    <n v="62"/>
    <s v="Developing"/>
    <x v="1"/>
    <s v="Interview Preparation"/>
    <s v="Improve interview preparation and communication"/>
  </r>
  <r>
    <n v="24"/>
    <n v="1"/>
    <n v="1"/>
    <n v="2"/>
    <n v="5"/>
    <n v="21.181294763494801"/>
    <n v="82"/>
    <n v="62"/>
    <n v="33"/>
    <n v="1"/>
    <n v="1"/>
    <s v="C1155"/>
    <s v="Female"/>
    <s v="Bachelor's Type 1"/>
    <s v="Entry Level"/>
    <s v="Strong"/>
    <s v="Intermediate"/>
    <s v="Needs Improvement"/>
    <x v="0"/>
    <n v="54"/>
    <s v="Developing"/>
    <x v="2"/>
    <s v="Personality &amp; Communication"/>
    <s v="Work on communication and personality development"/>
  </r>
  <r>
    <n v="37"/>
    <n v="1"/>
    <n v="2"/>
    <n v="11"/>
    <n v="5"/>
    <n v="50.678908640960898"/>
    <n v="29"/>
    <n v="55"/>
    <n v="69"/>
    <n v="2"/>
    <n v="0"/>
    <s v="C1156"/>
    <s v="Female"/>
    <s v="Bachelor's Type 2"/>
    <s v="Senior Level"/>
    <s v="Low"/>
    <s v="Intermediate"/>
    <s v="Good"/>
    <x v="1"/>
    <n v="53"/>
    <s v="Developing"/>
    <x v="0"/>
    <s v="Interview Preparation"/>
    <s v="Improve interview preparation and communication"/>
  </r>
  <r>
    <n v="47"/>
    <n v="1"/>
    <n v="2"/>
    <n v="2"/>
    <n v="4"/>
    <n v="9.74419680974313"/>
    <n v="4"/>
    <n v="58"/>
    <n v="27"/>
    <n v="3"/>
    <n v="0"/>
    <s v="C1157"/>
    <s v="Female"/>
    <s v="Bachelor's Type 2"/>
    <s v="Entry Level"/>
    <s v="Low"/>
    <s v="Intermediate"/>
    <s v="Needs Improvement"/>
    <x v="1"/>
    <n v="29"/>
    <s v="Needs Improvement"/>
    <x v="1"/>
    <s v="Interview Preparation"/>
    <s v="Improve interview preparation and communication"/>
  </r>
  <r>
    <n v="29"/>
    <n v="1"/>
    <n v="4"/>
    <n v="12"/>
    <n v="3"/>
    <n v="34.632217176339502"/>
    <n v="94"/>
    <n v="62"/>
    <n v="94"/>
    <n v="2"/>
    <n v="1"/>
    <s v="C1158"/>
    <s v="Female"/>
    <s v="PhD"/>
    <s v="Senior Level"/>
    <s v="Strong"/>
    <s v="Intermediate"/>
    <s v="Strong"/>
    <x v="0"/>
    <n v="83"/>
    <s v="Job Ready"/>
    <x v="2"/>
    <s v="Technical Skills"/>
    <s v="Strengthen technical skills and practical knowledge"/>
  </r>
  <r>
    <n v="48"/>
    <n v="0"/>
    <n v="3"/>
    <n v="5"/>
    <n v="1"/>
    <n v="9.6698033103059604"/>
    <n v="70"/>
    <n v="88"/>
    <n v="98"/>
    <n v="2"/>
    <n v="0"/>
    <s v="C1159"/>
    <s v="Male"/>
    <s v="Master's"/>
    <s v="Mid Level"/>
    <s v="Average"/>
    <s v="Advanced"/>
    <s v="Strong"/>
    <x v="1"/>
    <n v="76"/>
    <s v="Job Ready"/>
    <x v="0"/>
    <s v="Interview Preparation"/>
    <s v="Improve interview preparation and communication"/>
  </r>
  <r>
    <n v="41"/>
    <n v="1"/>
    <n v="3"/>
    <n v="1"/>
    <n v="5"/>
    <n v="37.239348747919301"/>
    <n v="82"/>
    <n v="58"/>
    <n v="38"/>
    <n v="3"/>
    <n v="0"/>
    <s v="C1160"/>
    <s v="Female"/>
    <s v="Master's"/>
    <s v="Entry Level"/>
    <s v="Strong"/>
    <s v="Intermediate"/>
    <s v="Needs Improvement"/>
    <x v="1"/>
    <n v="54"/>
    <s v="Developing"/>
    <x v="2"/>
    <s v="Personality &amp; Communication"/>
    <s v="Work on communication and personality development"/>
  </r>
  <r>
    <n v="40"/>
    <n v="1"/>
    <n v="4"/>
    <n v="15"/>
    <n v="1"/>
    <n v="26.267683411891301"/>
    <n v="30"/>
    <n v="50"/>
    <n v="41"/>
    <n v="2"/>
    <n v="0"/>
    <s v="C1161"/>
    <s v="Female"/>
    <s v="PhD"/>
    <s v="Senior Level"/>
    <s v="Low"/>
    <s v="Intermediate"/>
    <s v="Needs Improvement"/>
    <x v="1"/>
    <n v="52"/>
    <s v="Developing"/>
    <x v="1"/>
    <s v="Interview Preparation"/>
    <s v="Improve interview preparation and communication"/>
  </r>
  <r>
    <n v="25"/>
    <n v="1"/>
    <n v="1"/>
    <n v="5"/>
    <n v="5"/>
    <n v="34.998585504468799"/>
    <n v="51"/>
    <n v="49"/>
    <n v="22"/>
    <n v="2"/>
    <n v="0"/>
    <s v="C1162"/>
    <s v="Female"/>
    <s v="Bachelor's Type 1"/>
    <s v="Mid Level"/>
    <s v="Average"/>
    <s v="Beginner"/>
    <s v="Needs Improvement"/>
    <x v="1"/>
    <n v="42"/>
    <s v="Needs Improvement"/>
    <x v="2"/>
    <s v="Personality &amp; Communication"/>
    <s v="Work on communication and personality development"/>
  </r>
  <r>
    <n v="20"/>
    <n v="0"/>
    <n v="3"/>
    <n v="15"/>
    <n v="2"/>
    <n v="11.143658795711699"/>
    <n v="87"/>
    <n v="3"/>
    <n v="69"/>
    <n v="1"/>
    <n v="1"/>
    <s v="C1163"/>
    <s v="Male"/>
    <s v="Master's"/>
    <s v="Senior Level"/>
    <s v="Strong"/>
    <s v="Beginner"/>
    <s v="Good"/>
    <x v="0"/>
    <n v="60"/>
    <s v="Developing"/>
    <x v="2"/>
    <s v="Technical Skills"/>
    <s v="Strengthen technical skills and practical knowledge"/>
  </r>
  <r>
    <n v="24"/>
    <n v="1"/>
    <n v="2"/>
    <n v="12"/>
    <n v="1"/>
    <n v="38.281416626025099"/>
    <n v="97"/>
    <n v="47"/>
    <n v="79"/>
    <n v="2"/>
    <n v="0"/>
    <s v="C1164"/>
    <s v="Female"/>
    <s v="Bachelor's Type 2"/>
    <s v="Senior Level"/>
    <s v="Strong"/>
    <s v="Beginner"/>
    <s v="Strong"/>
    <x v="1"/>
    <n v="74"/>
    <s v="Developing"/>
    <x v="2"/>
    <s v="Technical Skills"/>
    <s v="Strengthen technical skills and practical knowledge"/>
  </r>
  <r>
    <n v="28"/>
    <n v="0"/>
    <n v="4"/>
    <n v="5"/>
    <n v="2"/>
    <n v="50.7809529811353"/>
    <n v="22"/>
    <n v="31"/>
    <n v="1"/>
    <n v="1"/>
    <n v="0"/>
    <s v="C1165"/>
    <s v="Male"/>
    <s v="PhD"/>
    <s v="Mid Level"/>
    <s v="Low"/>
    <s v="Beginner"/>
    <s v="Needs Improvement"/>
    <x v="1"/>
    <n v="26"/>
    <s v="Needs Improvement"/>
    <x v="1"/>
    <s v="Personality &amp; Communication"/>
    <s v="Work on communication and personality development"/>
  </r>
  <r>
    <n v="31"/>
    <n v="0"/>
    <n v="2"/>
    <n v="7"/>
    <n v="1"/>
    <n v="34.282525031297901"/>
    <n v="47"/>
    <n v="50"/>
    <n v="23"/>
    <n v="2"/>
    <n v="0"/>
    <s v="C1166"/>
    <s v="Male"/>
    <s v="Bachelor's Type 2"/>
    <s v="Senior Level"/>
    <s v="Low"/>
    <s v="Intermediate"/>
    <s v="Needs Improvement"/>
    <x v="1"/>
    <n v="43"/>
    <s v="Needs Improvement"/>
    <x v="1"/>
    <s v="Personality &amp; Communication"/>
    <s v="Work on communication and personality development"/>
  </r>
  <r>
    <n v="45"/>
    <n v="1"/>
    <n v="3"/>
    <n v="6"/>
    <n v="3"/>
    <n v="25.6739999036438"/>
    <n v="39"/>
    <n v="51"/>
    <n v="16"/>
    <n v="1"/>
    <n v="1"/>
    <s v="C1167"/>
    <s v="Female"/>
    <s v="Master's"/>
    <s v="Mid Level"/>
    <s v="Low"/>
    <s v="Intermediate"/>
    <s v="Needs Improvement"/>
    <x v="0"/>
    <n v="40"/>
    <s v="Needs Improvement"/>
    <x v="1"/>
    <s v="Personality &amp; Communication"/>
    <s v="Work on communication and personality development"/>
  </r>
  <r>
    <n v="33"/>
    <n v="1"/>
    <n v="3"/>
    <n v="7"/>
    <n v="4"/>
    <n v="47.158699430963203"/>
    <n v="5"/>
    <n v="98"/>
    <n v="64"/>
    <n v="3"/>
    <n v="1"/>
    <s v="C1168"/>
    <s v="Female"/>
    <s v="Master's"/>
    <s v="Senior Level"/>
    <s v="Low"/>
    <s v="Advanced"/>
    <s v="Good"/>
    <x v="0"/>
    <n v="54"/>
    <s v="Developing"/>
    <x v="1"/>
    <s v="Interview Preparation"/>
    <s v="Improve interview preparation and communication"/>
  </r>
  <r>
    <n v="21"/>
    <n v="0"/>
    <n v="1"/>
    <n v="13"/>
    <n v="2"/>
    <n v="1.7925921115938099"/>
    <n v="37"/>
    <n v="73"/>
    <n v="69"/>
    <n v="3"/>
    <n v="0"/>
    <s v="C1169"/>
    <s v="Male"/>
    <s v="Bachelor's Type 1"/>
    <s v="Senior Level"/>
    <s v="Low"/>
    <s v="Intermediate"/>
    <s v="Good"/>
    <x v="1"/>
    <n v="62"/>
    <s v="Developing"/>
    <x v="1"/>
    <s v="Interview Preparation"/>
    <s v="Improve interview preparation and communication"/>
  </r>
  <r>
    <n v="36"/>
    <n v="1"/>
    <n v="2"/>
    <n v="8"/>
    <n v="5"/>
    <n v="37.496175964290998"/>
    <n v="40"/>
    <n v="33"/>
    <n v="68"/>
    <n v="2"/>
    <n v="0"/>
    <s v="C1170"/>
    <s v="Female"/>
    <s v="Bachelor's Type 2"/>
    <s v="Senior Level"/>
    <s v="Low"/>
    <s v="Beginner"/>
    <s v="Good"/>
    <x v="1"/>
    <n v="46"/>
    <s v="Needs Improvement"/>
    <x v="0"/>
    <s v="Technical Skills"/>
    <s v="Strengthen technical skills and practical knowledge"/>
  </r>
  <r>
    <n v="33"/>
    <n v="0"/>
    <n v="3"/>
    <n v="5"/>
    <n v="3"/>
    <n v="45.437325840690598"/>
    <n v="99"/>
    <n v="35"/>
    <n v="59"/>
    <n v="1"/>
    <n v="1"/>
    <s v="C1171"/>
    <s v="Male"/>
    <s v="Master's"/>
    <s v="Mid Level"/>
    <s v="Strong"/>
    <s v="Beginner"/>
    <s v="Good"/>
    <x v="0"/>
    <n v="61"/>
    <s v="Developing"/>
    <x v="2"/>
    <s v="Technical Skills"/>
    <s v="Strengthen technical skills and practical knowledge"/>
  </r>
  <r>
    <n v="45"/>
    <n v="0"/>
    <n v="2"/>
    <n v="13"/>
    <n v="1"/>
    <n v="4.08372918104787"/>
    <n v="26"/>
    <n v="69"/>
    <n v="49"/>
    <n v="1"/>
    <n v="1"/>
    <s v="C1172"/>
    <s v="Male"/>
    <s v="Bachelor's Type 2"/>
    <s v="Senior Level"/>
    <s v="Low"/>
    <s v="Intermediate"/>
    <s v="Needs Improvement"/>
    <x v="0"/>
    <n v="54"/>
    <s v="Developing"/>
    <x v="1"/>
    <s v="Interview Preparation"/>
    <s v="Improve interview preparation and communication"/>
  </r>
  <r>
    <n v="32"/>
    <n v="1"/>
    <n v="2"/>
    <n v="15"/>
    <n v="2"/>
    <n v="23.503208520787901"/>
    <n v="74"/>
    <n v="42"/>
    <n v="92"/>
    <n v="2"/>
    <n v="0"/>
    <s v="C1173"/>
    <s v="Female"/>
    <s v="Bachelor's Type 2"/>
    <s v="Senior Level"/>
    <s v="Average"/>
    <s v="Beginner"/>
    <s v="Strong"/>
    <x v="1"/>
    <n v="71"/>
    <s v="Developing"/>
    <x v="0"/>
    <s v="Technical Skills"/>
    <s v="Strengthen technical skills and practical knowledge"/>
  </r>
  <r>
    <n v="46"/>
    <n v="1"/>
    <n v="2"/>
    <n v="2"/>
    <n v="1"/>
    <n v="11.2359726974999"/>
    <n v="68"/>
    <n v="15"/>
    <n v="11"/>
    <n v="2"/>
    <n v="0"/>
    <s v="C1174"/>
    <s v="Female"/>
    <s v="Bachelor's Type 2"/>
    <s v="Entry Level"/>
    <s v="Average"/>
    <s v="Beginner"/>
    <s v="Needs Improvement"/>
    <x v="1"/>
    <n v="32"/>
    <s v="Needs Improvement"/>
    <x v="2"/>
    <s v="Personality &amp; Communication"/>
    <s v="Work on communication and personality development"/>
  </r>
  <r>
    <n v="28"/>
    <n v="0"/>
    <n v="1"/>
    <n v="9"/>
    <n v="1"/>
    <n v="29.325908279391498"/>
    <n v="56"/>
    <n v="58"/>
    <n v="46"/>
    <n v="2"/>
    <n v="0"/>
    <s v="C1175"/>
    <s v="Male"/>
    <s v="Bachelor's Type 1"/>
    <s v="Senior Level"/>
    <s v="Average"/>
    <s v="Intermediate"/>
    <s v="Needs Improvement"/>
    <x v="1"/>
    <n v="55"/>
    <s v="Developing"/>
    <x v="1"/>
    <s v="Personality &amp; Communication"/>
    <s v="Work on communication and personality development"/>
  </r>
  <r>
    <n v="45"/>
    <n v="0"/>
    <n v="3"/>
    <n v="2"/>
    <n v="1"/>
    <n v="33.477147930183001"/>
    <n v="16"/>
    <n v="52"/>
    <n v="66"/>
    <n v="2"/>
    <n v="0"/>
    <s v="C1176"/>
    <s v="Male"/>
    <s v="Master's"/>
    <s v="Entry Level"/>
    <s v="Low"/>
    <s v="Intermediate"/>
    <s v="Good"/>
    <x v="1"/>
    <n v="39"/>
    <s v="Needs Improvement"/>
    <x v="0"/>
    <s v="Interview Preparation"/>
    <s v="Improve interview preparation and communication"/>
  </r>
  <r>
    <n v="44"/>
    <n v="0"/>
    <n v="2"/>
    <n v="15"/>
    <n v="4"/>
    <n v="16.1311591464377"/>
    <n v="70"/>
    <n v="18"/>
    <n v="64"/>
    <n v="2"/>
    <n v="0"/>
    <s v="C1177"/>
    <s v="Male"/>
    <s v="Bachelor's Type 2"/>
    <s v="Senior Level"/>
    <s v="Average"/>
    <s v="Beginner"/>
    <s v="Good"/>
    <x v="1"/>
    <n v="57"/>
    <s v="Developing"/>
    <x v="2"/>
    <s v="Technical Skills"/>
    <s v="Strengthen technical skills and practical knowledge"/>
  </r>
  <r>
    <n v="34"/>
    <n v="0"/>
    <n v="1"/>
    <n v="10"/>
    <n v="4"/>
    <n v="23.999083483905"/>
    <n v="90"/>
    <n v="97"/>
    <n v="26"/>
    <n v="2"/>
    <n v="0"/>
    <s v="C1178"/>
    <s v="Male"/>
    <s v="Bachelor's Type 1"/>
    <s v="Senior Level"/>
    <s v="Strong"/>
    <s v="Advanced"/>
    <s v="Needs Improvement"/>
    <x v="1"/>
    <n v="74"/>
    <s v="Developing"/>
    <x v="1"/>
    <s v="Personality &amp; Communication"/>
    <s v="Work on communication and personality development"/>
  </r>
  <r>
    <n v="44"/>
    <n v="1"/>
    <n v="2"/>
    <n v="11"/>
    <n v="5"/>
    <n v="14.9669742638279"/>
    <n v="46"/>
    <n v="88"/>
    <n v="47"/>
    <n v="2"/>
    <n v="0"/>
    <s v="C1179"/>
    <s v="Female"/>
    <s v="Bachelor's Type 2"/>
    <s v="Senior Level"/>
    <s v="Low"/>
    <s v="Advanced"/>
    <s v="Needs Improvement"/>
    <x v="1"/>
    <n v="63"/>
    <s v="Developing"/>
    <x v="1"/>
    <s v="Interview Preparation"/>
    <s v="Improve interview preparation and communication"/>
  </r>
  <r>
    <n v="41"/>
    <n v="1"/>
    <n v="2"/>
    <n v="0"/>
    <n v="2"/>
    <n v="19.469558222755602"/>
    <n v="78"/>
    <n v="94"/>
    <n v="87"/>
    <n v="2"/>
    <n v="0"/>
    <s v="C1180"/>
    <s v="Female"/>
    <s v="Bachelor's Type 2"/>
    <s v="Entry Level"/>
    <s v="Strong"/>
    <s v="Advanced"/>
    <s v="Strong"/>
    <x v="1"/>
    <n v="72"/>
    <s v="Developing"/>
    <x v="1"/>
    <s v="Interview Preparation"/>
    <s v="Improve interview preparation and communication"/>
  </r>
  <r>
    <n v="34"/>
    <n v="1"/>
    <n v="1"/>
    <n v="10"/>
    <n v="3"/>
    <n v="8.97699783442118"/>
    <n v="12"/>
    <n v="40"/>
    <n v="61"/>
    <n v="2"/>
    <n v="0"/>
    <s v="C1181"/>
    <s v="Female"/>
    <s v="Bachelor's Type 1"/>
    <s v="Senior Level"/>
    <s v="Low"/>
    <s v="Beginner"/>
    <s v="Good"/>
    <x v="1"/>
    <n v="40"/>
    <s v="Needs Improvement"/>
    <x v="0"/>
    <s v="Interview Preparation"/>
    <s v="Improve interview preparation and communication"/>
  </r>
  <r>
    <n v="43"/>
    <n v="1"/>
    <n v="2"/>
    <n v="14"/>
    <n v="3"/>
    <n v="45.277972179281498"/>
    <n v="10"/>
    <n v="80"/>
    <n v="43"/>
    <n v="1"/>
    <n v="1"/>
    <s v="C1182"/>
    <s v="Female"/>
    <s v="Bachelor's Type 2"/>
    <s v="Senior Level"/>
    <s v="Low"/>
    <s v="Advanced"/>
    <s v="Needs Improvement"/>
    <x v="0"/>
    <n v="52"/>
    <s v="Developing"/>
    <x v="1"/>
    <s v="Interview Preparation"/>
    <s v="Improve interview preparation and communication"/>
  </r>
  <r>
    <n v="49"/>
    <n v="1"/>
    <n v="2"/>
    <n v="12"/>
    <n v="3"/>
    <n v="1.5005205279568199"/>
    <n v="89"/>
    <n v="46"/>
    <n v="18"/>
    <n v="1"/>
    <n v="1"/>
    <s v="C1183"/>
    <s v="Female"/>
    <s v="Bachelor's Type 2"/>
    <s v="Senior Level"/>
    <s v="Strong"/>
    <s v="Beginner"/>
    <s v="Needs Improvement"/>
    <x v="0"/>
    <n v="59"/>
    <s v="Developing"/>
    <x v="2"/>
    <s v="Personality &amp; Communication"/>
    <s v="Work on communication and personality development"/>
  </r>
  <r>
    <n v="30"/>
    <n v="0"/>
    <n v="2"/>
    <n v="14"/>
    <n v="1"/>
    <n v="45.120459322189397"/>
    <n v="85"/>
    <n v="93"/>
    <n v="58"/>
    <n v="2"/>
    <n v="0"/>
    <s v="C1184"/>
    <s v="Male"/>
    <s v="Bachelor's Type 2"/>
    <s v="Senior Level"/>
    <s v="Strong"/>
    <s v="Advanced"/>
    <s v="Good"/>
    <x v="1"/>
    <n v="82"/>
    <s v="Job Ready"/>
    <x v="1"/>
    <s v="Personality &amp; Communication"/>
    <s v="Work on communication and personality development"/>
  </r>
  <r>
    <n v="50"/>
    <n v="1"/>
    <n v="3"/>
    <n v="4"/>
    <n v="4"/>
    <n v="29.583943917486899"/>
    <n v="91"/>
    <n v="53"/>
    <n v="7"/>
    <n v="1"/>
    <n v="1"/>
    <s v="C1185"/>
    <s v="Female"/>
    <s v="Master's"/>
    <s v="Mid Level"/>
    <s v="Strong"/>
    <s v="Intermediate"/>
    <s v="Needs Improvement"/>
    <x v="0"/>
    <n v="52"/>
    <s v="Developing"/>
    <x v="2"/>
    <s v="Personality &amp; Communication"/>
    <s v="Work on communication and personality development"/>
  </r>
  <r>
    <n v="35"/>
    <n v="1"/>
    <n v="2"/>
    <n v="13"/>
    <n v="2"/>
    <n v="17.582892208850801"/>
    <n v="23"/>
    <n v="54"/>
    <n v="54"/>
    <n v="2"/>
    <n v="0"/>
    <s v="C1186"/>
    <s v="Female"/>
    <s v="Bachelor's Type 2"/>
    <s v="Senior Level"/>
    <s v="Low"/>
    <s v="Intermediate"/>
    <s v="Good"/>
    <x v="1"/>
    <n v="49"/>
    <s v="Needs Improvement"/>
    <x v="1"/>
    <s v="Interview Preparation"/>
    <s v="Improve interview preparation and communication"/>
  </r>
  <r>
    <n v="48"/>
    <n v="1"/>
    <n v="2"/>
    <n v="3"/>
    <n v="1"/>
    <n v="37.152856273016397"/>
    <n v="92"/>
    <n v="94"/>
    <n v="46"/>
    <n v="2"/>
    <n v="0"/>
    <s v="C1187"/>
    <s v="Female"/>
    <s v="Bachelor's Type 2"/>
    <s v="Mid Level"/>
    <s v="Strong"/>
    <s v="Advanced"/>
    <s v="Needs Improvement"/>
    <x v="1"/>
    <n v="71"/>
    <s v="Developing"/>
    <x v="1"/>
    <s v="Personality &amp; Communication"/>
    <s v="Work on communication and personality development"/>
  </r>
  <r>
    <n v="36"/>
    <n v="1"/>
    <n v="2"/>
    <n v="8"/>
    <n v="4"/>
    <n v="26.3876075931332"/>
    <n v="72"/>
    <n v="18"/>
    <n v="1"/>
    <n v="3"/>
    <n v="0"/>
    <s v="C1188"/>
    <s v="Female"/>
    <s v="Bachelor's Type 2"/>
    <s v="Senior Level"/>
    <s v="Average"/>
    <s v="Beginner"/>
    <s v="Needs Improvement"/>
    <x v="1"/>
    <n v="38"/>
    <s v="Needs Improvement"/>
    <x v="2"/>
    <s v="Personality &amp; Communication"/>
    <s v="Work on communication and personality development"/>
  </r>
  <r>
    <n v="45"/>
    <n v="1"/>
    <n v="2"/>
    <n v="14"/>
    <n v="4"/>
    <n v="25.955432905380299"/>
    <n v="3"/>
    <n v="61"/>
    <n v="93"/>
    <n v="2"/>
    <n v="0"/>
    <s v="C1189"/>
    <s v="Female"/>
    <s v="Bachelor's Type 2"/>
    <s v="Senior Level"/>
    <s v="Low"/>
    <s v="Intermediate"/>
    <s v="Strong"/>
    <x v="1"/>
    <n v="54"/>
    <s v="Developing"/>
    <x v="0"/>
    <s v="Interview Preparation"/>
    <s v="Improve interview preparation and communication"/>
  </r>
  <r>
    <n v="23"/>
    <n v="0"/>
    <n v="2"/>
    <n v="8"/>
    <n v="2"/>
    <n v="6.5071141459483197"/>
    <n v="45"/>
    <n v="98"/>
    <n v="93"/>
    <n v="1"/>
    <n v="1"/>
    <s v="C1190"/>
    <s v="Male"/>
    <s v="Bachelor's Type 2"/>
    <s v="Senior Level"/>
    <s v="Low"/>
    <s v="Advanced"/>
    <s v="Strong"/>
    <x v="0"/>
    <n v="72"/>
    <s v="Developing"/>
    <x v="1"/>
    <s v="Interview Preparation"/>
    <s v="Improve interview preparation and communication"/>
  </r>
  <r>
    <n v="20"/>
    <n v="0"/>
    <n v="2"/>
    <n v="14"/>
    <n v="2"/>
    <n v="20.475801297270401"/>
    <n v="17"/>
    <n v="92"/>
    <n v="38"/>
    <n v="1"/>
    <n v="1"/>
    <s v="C1191"/>
    <s v="Male"/>
    <s v="Bachelor's Type 2"/>
    <s v="Senior Level"/>
    <s v="Low"/>
    <s v="Advanced"/>
    <s v="Needs Improvement"/>
    <x v="0"/>
    <n v="57"/>
    <s v="Developing"/>
    <x v="1"/>
    <s v="Interview Preparation"/>
    <s v="Improve interview preparation and communication"/>
  </r>
  <r>
    <n v="27"/>
    <n v="0"/>
    <n v="3"/>
    <n v="13"/>
    <n v="2"/>
    <n v="13.0532172928368"/>
    <n v="42"/>
    <n v="58"/>
    <n v="44"/>
    <n v="3"/>
    <n v="0"/>
    <s v="C1192"/>
    <s v="Male"/>
    <s v="Master's"/>
    <s v="Senior Level"/>
    <s v="Low"/>
    <s v="Intermediate"/>
    <s v="Needs Improvement"/>
    <x v="1"/>
    <n v="56"/>
    <s v="Developing"/>
    <x v="1"/>
    <s v="Interview Preparation"/>
    <s v="Improve interview preparation and communication"/>
  </r>
  <r>
    <n v="36"/>
    <n v="1"/>
    <n v="2"/>
    <n v="4"/>
    <n v="1"/>
    <n v="1.7847952798139799"/>
    <n v="79"/>
    <n v="64"/>
    <n v="31"/>
    <n v="1"/>
    <n v="1"/>
    <s v="C1193"/>
    <s v="Female"/>
    <s v="Bachelor's Type 2"/>
    <s v="Mid Level"/>
    <s v="Strong"/>
    <s v="Intermediate"/>
    <s v="Needs Improvement"/>
    <x v="0"/>
    <n v="56"/>
    <s v="Developing"/>
    <x v="2"/>
    <s v="Personality &amp; Communication"/>
    <s v="Work on communication and personality development"/>
  </r>
  <r>
    <n v="22"/>
    <n v="0"/>
    <n v="2"/>
    <n v="9"/>
    <n v="5"/>
    <n v="19.0049815391056"/>
    <n v="32"/>
    <n v="67"/>
    <n v="64"/>
    <n v="2"/>
    <n v="0"/>
    <s v="C1194"/>
    <s v="Male"/>
    <s v="Bachelor's Type 2"/>
    <s v="Senior Level"/>
    <s v="Low"/>
    <s v="Intermediate"/>
    <s v="Good"/>
    <x v="1"/>
    <n v="54"/>
    <s v="Developing"/>
    <x v="1"/>
    <s v="Interview Preparation"/>
    <s v="Improve interview preparation and communication"/>
  </r>
  <r>
    <n v="48"/>
    <n v="0"/>
    <n v="3"/>
    <n v="3"/>
    <n v="2"/>
    <n v="5.4911064712802302"/>
    <n v="92"/>
    <n v="27"/>
    <n v="37"/>
    <n v="2"/>
    <n v="0"/>
    <s v="C1195"/>
    <s v="Male"/>
    <s v="Master's"/>
    <s v="Mid Level"/>
    <s v="Strong"/>
    <s v="Beginner"/>
    <s v="Needs Improvement"/>
    <x v="1"/>
    <n v="50"/>
    <s v="Developing"/>
    <x v="2"/>
    <s v="Technical Skills"/>
    <s v="Strengthen technical skills and practical knowledge"/>
  </r>
  <r>
    <n v="39"/>
    <n v="1"/>
    <n v="2"/>
    <n v="6"/>
    <n v="5"/>
    <n v="13.8415018862592"/>
    <n v="9"/>
    <n v="17"/>
    <n v="76"/>
    <n v="2"/>
    <n v="0"/>
    <s v="C1196"/>
    <s v="Female"/>
    <s v="Bachelor's Type 2"/>
    <s v="Mid Level"/>
    <s v="Low"/>
    <s v="Beginner"/>
    <s v="Strong"/>
    <x v="1"/>
    <n v="32"/>
    <s v="Needs Improvement"/>
    <x v="0"/>
    <s v="Interview Preparation"/>
    <s v="Improve interview preparation and communication"/>
  </r>
  <r>
    <n v="34"/>
    <n v="1"/>
    <n v="2"/>
    <n v="14"/>
    <n v="1"/>
    <n v="5.62583105915472"/>
    <n v="72"/>
    <n v="25"/>
    <n v="10"/>
    <n v="2"/>
    <n v="0"/>
    <s v="C1197"/>
    <s v="Female"/>
    <s v="Bachelor's Type 2"/>
    <s v="Senior Level"/>
    <s v="Average"/>
    <s v="Beginner"/>
    <s v="Needs Improvement"/>
    <x v="1"/>
    <n v="48"/>
    <s v="Needs Improvement"/>
    <x v="2"/>
    <s v="Personality &amp; Communication"/>
    <s v="Work on communication and personality development"/>
  </r>
  <r>
    <n v="34"/>
    <n v="1"/>
    <n v="2"/>
    <n v="5"/>
    <n v="5"/>
    <n v="6.0470812778199399"/>
    <n v="58"/>
    <n v="18"/>
    <n v="9"/>
    <n v="2"/>
    <n v="0"/>
    <s v="C1198"/>
    <s v="Female"/>
    <s v="Bachelor's Type 2"/>
    <s v="Mid Level"/>
    <s v="Average"/>
    <s v="Beginner"/>
    <s v="Needs Improvement"/>
    <x v="1"/>
    <n v="32"/>
    <s v="Needs Improvement"/>
    <x v="2"/>
    <s v="Personality &amp; Communication"/>
    <s v="Work on communication and personality development"/>
  </r>
  <r>
    <n v="50"/>
    <n v="0"/>
    <n v="1"/>
    <n v="3"/>
    <n v="3"/>
    <n v="10.950564720759401"/>
    <n v="30"/>
    <n v="54"/>
    <n v="58"/>
    <n v="3"/>
    <n v="0"/>
    <s v="C1199"/>
    <s v="Male"/>
    <s v="Bachelor's Type 1"/>
    <s v="Mid Level"/>
    <s v="Low"/>
    <s v="Intermediate"/>
    <s v="Good"/>
    <x v="1"/>
    <n v="42"/>
    <s v="Needs Improvement"/>
    <x v="0"/>
    <s v="Interview Preparation"/>
    <s v="Improve interview preparation and communication"/>
  </r>
  <r>
    <n v="43"/>
    <n v="0"/>
    <n v="3"/>
    <n v="12"/>
    <n v="5"/>
    <n v="50.992462224320001"/>
    <n v="27"/>
    <n v="56"/>
    <n v="89"/>
    <n v="1"/>
    <n v="1"/>
    <s v="C1200"/>
    <s v="Male"/>
    <s v="Master's"/>
    <s v="Senior Level"/>
    <s v="Low"/>
    <s v="Intermediate"/>
    <s v="Strong"/>
    <x v="0"/>
    <n v="58"/>
    <s v="Developing"/>
    <x v="0"/>
    <s v="Interview Preparation"/>
    <s v="Improve interview preparation and communication"/>
  </r>
  <r>
    <n v="41"/>
    <n v="1"/>
    <n v="3"/>
    <n v="12"/>
    <n v="2"/>
    <n v="1.1092071428624299"/>
    <n v="59"/>
    <n v="5"/>
    <n v="54"/>
    <n v="3"/>
    <n v="0"/>
    <s v="C1201"/>
    <s v="Female"/>
    <s v="Master's"/>
    <s v="Senior Level"/>
    <s v="Average"/>
    <s v="Beginner"/>
    <s v="Good"/>
    <x v="1"/>
    <n v="46"/>
    <s v="Needs Improvement"/>
    <x v="2"/>
    <s v="Technical Skills"/>
    <s v="Strengthen technical skills and practical knowledge"/>
  </r>
  <r>
    <n v="33"/>
    <n v="1"/>
    <n v="4"/>
    <n v="14"/>
    <n v="1"/>
    <n v="32.933631806020202"/>
    <n v="2"/>
    <n v="0"/>
    <n v="19"/>
    <n v="2"/>
    <n v="0"/>
    <s v="C1202"/>
    <s v="Female"/>
    <s v="PhD"/>
    <s v="Senior Level"/>
    <s v="Low"/>
    <s v="Beginner"/>
    <s v="Needs Improvement"/>
    <x v="1"/>
    <n v="23"/>
    <s v="Needs Improvement"/>
    <x v="0"/>
    <s v="Technical Skills"/>
    <s v="Strengthen technical skills and practical knowledge"/>
  </r>
  <r>
    <n v="45"/>
    <n v="0"/>
    <n v="2"/>
    <n v="9"/>
    <n v="2"/>
    <n v="8.0621849013278606"/>
    <n v="54"/>
    <n v="7"/>
    <n v="80"/>
    <n v="3"/>
    <n v="0"/>
    <s v="C1203"/>
    <s v="Male"/>
    <s v="Bachelor's Type 2"/>
    <s v="Senior Level"/>
    <s v="Average"/>
    <s v="Beginner"/>
    <s v="Strong"/>
    <x v="1"/>
    <n v="46"/>
    <s v="Needs Improvement"/>
    <x v="0"/>
    <s v="Technical Skills"/>
    <s v="Strengthen technical skills and practical knowledge"/>
  </r>
  <r>
    <n v="47"/>
    <n v="0"/>
    <n v="2"/>
    <n v="1"/>
    <n v="3"/>
    <n v="47.031406835538696"/>
    <n v="13"/>
    <n v="96"/>
    <n v="16"/>
    <n v="1"/>
    <n v="0"/>
    <s v="C1204"/>
    <s v="Male"/>
    <s v="Bachelor's Type 2"/>
    <s v="Entry Level"/>
    <s v="Low"/>
    <s v="Advanced"/>
    <s v="Needs Improvement"/>
    <x v="1"/>
    <n v="39"/>
    <s v="Needs Improvement"/>
    <x v="1"/>
    <s v="Interview Preparation"/>
    <s v="Improve interview preparation and communication"/>
  </r>
  <r>
    <n v="42"/>
    <n v="1"/>
    <n v="1"/>
    <n v="0"/>
    <n v="2"/>
    <n v="5.6816446666814597"/>
    <n v="57"/>
    <n v="50"/>
    <n v="67"/>
    <n v="1"/>
    <n v="0"/>
    <s v="C1205"/>
    <s v="Female"/>
    <s v="Bachelor's Type 1"/>
    <s v="Entry Level"/>
    <s v="Average"/>
    <s v="Intermediate"/>
    <s v="Good"/>
    <x v="1"/>
    <n v="48"/>
    <s v="Needs Improvement"/>
    <x v="0"/>
    <s v="Technical Skills"/>
    <s v="Strengthen technical skills and practical knowledge"/>
  </r>
  <r>
    <n v="33"/>
    <n v="1"/>
    <n v="2"/>
    <n v="3"/>
    <n v="2"/>
    <n v="48.753159356311798"/>
    <n v="88"/>
    <n v="84"/>
    <n v="4"/>
    <n v="3"/>
    <n v="0"/>
    <s v="C1206"/>
    <s v="Female"/>
    <s v="Bachelor's Type 2"/>
    <s v="Mid Level"/>
    <s v="Strong"/>
    <s v="Advanced"/>
    <s v="Needs Improvement"/>
    <x v="1"/>
    <n v="58"/>
    <s v="Developing"/>
    <x v="2"/>
    <s v="Personality &amp; Communication"/>
    <s v="Work on communication and personality development"/>
  </r>
  <r>
    <n v="43"/>
    <n v="0"/>
    <n v="2"/>
    <n v="3"/>
    <n v="2"/>
    <n v="31.546319374173802"/>
    <n v="14"/>
    <n v="87"/>
    <n v="59"/>
    <n v="3"/>
    <n v="0"/>
    <s v="C1207"/>
    <s v="Male"/>
    <s v="Bachelor's Type 2"/>
    <s v="Mid Level"/>
    <s v="Low"/>
    <s v="Advanced"/>
    <s v="Good"/>
    <x v="1"/>
    <n v="48"/>
    <s v="Needs Improvement"/>
    <x v="1"/>
    <s v="Interview Preparation"/>
    <s v="Improve interview preparation and communication"/>
  </r>
  <r>
    <n v="21"/>
    <n v="1"/>
    <n v="4"/>
    <n v="12"/>
    <n v="4"/>
    <n v="1.0634038457745101"/>
    <n v="1"/>
    <n v="24"/>
    <n v="22"/>
    <n v="2"/>
    <n v="0"/>
    <s v="C1208"/>
    <s v="Female"/>
    <s v="PhD"/>
    <s v="Senior Level"/>
    <s v="Low"/>
    <s v="Beginner"/>
    <s v="Needs Improvement"/>
    <x v="1"/>
    <n v="29"/>
    <s v="Needs Improvement"/>
    <x v="1"/>
    <s v="Interview Preparation"/>
    <s v="Improve interview preparation and communication"/>
  </r>
  <r>
    <n v="32"/>
    <n v="0"/>
    <n v="2"/>
    <n v="0"/>
    <n v="3"/>
    <n v="45.7003598958403"/>
    <n v="23"/>
    <n v="46"/>
    <n v="45"/>
    <n v="2"/>
    <n v="0"/>
    <s v="C1209"/>
    <s v="Male"/>
    <s v="Bachelor's Type 2"/>
    <s v="Entry Level"/>
    <s v="Low"/>
    <s v="Beginner"/>
    <s v="Needs Improvement"/>
    <x v="1"/>
    <n v="32"/>
    <s v="Needs Improvement"/>
    <x v="1"/>
    <s v="Interview Preparation"/>
    <s v="Improve interview preparation and communication"/>
  </r>
  <r>
    <n v="45"/>
    <n v="0"/>
    <n v="2"/>
    <n v="5"/>
    <n v="2"/>
    <n v="27.085590068345901"/>
    <n v="77"/>
    <n v="54"/>
    <n v="51"/>
    <n v="3"/>
    <n v="0"/>
    <s v="C1210"/>
    <s v="Male"/>
    <s v="Bachelor's Type 2"/>
    <s v="Mid Level"/>
    <s v="Strong"/>
    <s v="Intermediate"/>
    <s v="Good"/>
    <x v="1"/>
    <n v="57"/>
    <s v="Developing"/>
    <x v="2"/>
    <s v="Personality &amp; Communication"/>
    <s v="Work on communication and personality development"/>
  </r>
  <r>
    <n v="33"/>
    <n v="0"/>
    <n v="2"/>
    <n v="3"/>
    <n v="2"/>
    <n v="14.1334867665242"/>
    <n v="63"/>
    <n v="63"/>
    <n v="9"/>
    <n v="1"/>
    <n v="0"/>
    <s v="C1211"/>
    <s v="Male"/>
    <s v="Bachelor's Type 2"/>
    <s v="Mid Level"/>
    <s v="Average"/>
    <s v="Intermediate"/>
    <s v="Needs Improvement"/>
    <x v="1"/>
    <n v="45"/>
    <s v="Needs Improvement"/>
    <x v="2"/>
    <s v="Personality &amp; Communication"/>
    <s v="Work on communication and personality development"/>
  </r>
  <r>
    <n v="46"/>
    <n v="0"/>
    <n v="2"/>
    <n v="0"/>
    <n v="2"/>
    <n v="39.363958875781499"/>
    <n v="70"/>
    <n v="82"/>
    <n v="45"/>
    <n v="2"/>
    <n v="0"/>
    <s v="C1212"/>
    <s v="Male"/>
    <s v="Bachelor's Type 2"/>
    <s v="Entry Level"/>
    <s v="Average"/>
    <s v="Advanced"/>
    <s v="Needs Improvement"/>
    <x v="1"/>
    <n v="57"/>
    <s v="Developing"/>
    <x v="1"/>
    <s v="Personality &amp; Communication"/>
    <s v="Work on communication and personality development"/>
  </r>
  <r>
    <n v="43"/>
    <n v="1"/>
    <n v="2"/>
    <n v="0"/>
    <n v="1"/>
    <n v="47.333277694343501"/>
    <n v="99"/>
    <n v="92"/>
    <n v="27"/>
    <n v="3"/>
    <n v="0"/>
    <s v="C1213"/>
    <s v="Female"/>
    <s v="Bachelor's Type 2"/>
    <s v="Entry Level"/>
    <s v="Strong"/>
    <s v="Advanced"/>
    <s v="Needs Improvement"/>
    <x v="1"/>
    <n v="65"/>
    <s v="Developing"/>
    <x v="2"/>
    <s v="Personality &amp; Communication"/>
    <s v="Work on communication and personality development"/>
  </r>
  <r>
    <n v="38"/>
    <n v="1"/>
    <n v="3"/>
    <n v="14"/>
    <n v="4"/>
    <n v="25.184541157339599"/>
    <n v="23"/>
    <n v="9"/>
    <n v="96"/>
    <n v="2"/>
    <n v="0"/>
    <s v="C1214"/>
    <s v="Female"/>
    <s v="Master's"/>
    <s v="Senior Level"/>
    <s v="Low"/>
    <s v="Beginner"/>
    <s v="Strong"/>
    <x v="1"/>
    <n v="47"/>
    <s v="Needs Improvement"/>
    <x v="0"/>
    <s v="Technical Skills"/>
    <s v="Strengthen technical skills and practical knowledge"/>
  </r>
  <r>
    <n v="26"/>
    <n v="0"/>
    <n v="2"/>
    <n v="12"/>
    <n v="1"/>
    <n v="16.777673722155502"/>
    <n v="26"/>
    <n v="55"/>
    <n v="42"/>
    <n v="2"/>
    <n v="0"/>
    <s v="C1215"/>
    <s v="Male"/>
    <s v="Bachelor's Type 2"/>
    <s v="Senior Level"/>
    <s v="Low"/>
    <s v="Intermediate"/>
    <s v="Needs Improvement"/>
    <x v="1"/>
    <n v="47"/>
    <s v="Needs Improvement"/>
    <x v="1"/>
    <s v="Interview Preparation"/>
    <s v="Improve interview preparation and communication"/>
  </r>
  <r>
    <n v="22"/>
    <n v="0"/>
    <n v="3"/>
    <n v="0"/>
    <n v="4"/>
    <n v="40.447256196746302"/>
    <n v="36"/>
    <n v="11"/>
    <n v="25"/>
    <n v="2"/>
    <n v="0"/>
    <s v="C1216"/>
    <s v="Male"/>
    <s v="Master's"/>
    <s v="Entry Level"/>
    <s v="Low"/>
    <s v="Beginner"/>
    <s v="Needs Improvement"/>
    <x v="1"/>
    <n v="23"/>
    <s v="Needs Improvement"/>
    <x v="2"/>
    <s v="Technical Skills"/>
    <s v="Strengthen technical skills and practical knowledge"/>
  </r>
  <r>
    <n v="34"/>
    <n v="0"/>
    <n v="2"/>
    <n v="7"/>
    <n v="2"/>
    <n v="35.089274889422697"/>
    <n v="93"/>
    <n v="32"/>
    <n v="54"/>
    <n v="2"/>
    <n v="0"/>
    <s v="C1217"/>
    <s v="Male"/>
    <s v="Bachelor's Type 2"/>
    <s v="Senior Level"/>
    <s v="Strong"/>
    <s v="Beginner"/>
    <s v="Good"/>
    <x v="1"/>
    <n v="58"/>
    <s v="Developing"/>
    <x v="2"/>
    <s v="Technical Skills"/>
    <s v="Strengthen technical skills and practical knowledge"/>
  </r>
  <r>
    <n v="42"/>
    <n v="0"/>
    <n v="3"/>
    <n v="9"/>
    <n v="3"/>
    <n v="45.437624187513599"/>
    <n v="90"/>
    <n v="70"/>
    <n v="47"/>
    <n v="1"/>
    <n v="1"/>
    <s v="C1218"/>
    <s v="Male"/>
    <s v="Master's"/>
    <s v="Senior Level"/>
    <s v="Strong"/>
    <s v="Intermediate"/>
    <s v="Needs Improvement"/>
    <x v="0"/>
    <n v="70"/>
    <s v="Developing"/>
    <x v="2"/>
    <s v="Personality &amp; Communication"/>
    <s v="Work on communication and personality development"/>
  </r>
  <r>
    <n v="33"/>
    <n v="0"/>
    <n v="3"/>
    <n v="7"/>
    <n v="5"/>
    <n v="35.625700638059598"/>
    <n v="38"/>
    <n v="16"/>
    <n v="28"/>
    <n v="3"/>
    <n v="0"/>
    <s v="C1219"/>
    <s v="Male"/>
    <s v="Master's"/>
    <s v="Senior Level"/>
    <s v="Low"/>
    <s v="Beginner"/>
    <s v="Needs Improvement"/>
    <x v="1"/>
    <n v="33"/>
    <s v="Needs Improvement"/>
    <x v="2"/>
    <s v="Technical Skills"/>
    <s v="Strengthen technical skills and practical knowledge"/>
  </r>
  <r>
    <n v="30"/>
    <n v="1"/>
    <n v="2"/>
    <n v="1"/>
    <n v="5"/>
    <n v="13.1764169449768"/>
    <n v="62"/>
    <n v="60"/>
    <n v="26"/>
    <n v="2"/>
    <n v="0"/>
    <s v="C1220"/>
    <s v="Female"/>
    <s v="Bachelor's Type 2"/>
    <s v="Entry Level"/>
    <s v="Average"/>
    <s v="Intermediate"/>
    <s v="Needs Improvement"/>
    <x v="1"/>
    <n v="45"/>
    <s v="Needs Improvement"/>
    <x v="2"/>
    <s v="Personality &amp; Communication"/>
    <s v="Work on communication and personality development"/>
  </r>
  <r>
    <n v="34"/>
    <n v="1"/>
    <n v="2"/>
    <n v="10"/>
    <n v="2"/>
    <n v="47.582962487950901"/>
    <n v="78"/>
    <n v="9"/>
    <n v="17"/>
    <n v="3"/>
    <n v="0"/>
    <s v="C1221"/>
    <s v="Female"/>
    <s v="Bachelor's Type 2"/>
    <s v="Senior Level"/>
    <s v="Strong"/>
    <s v="Beginner"/>
    <s v="Needs Improvement"/>
    <x v="1"/>
    <n v="42"/>
    <s v="Needs Improvement"/>
    <x v="2"/>
    <s v="Technical Skills"/>
    <s v="Strengthen technical skills and practical knowledge"/>
  </r>
  <r>
    <n v="47"/>
    <n v="1"/>
    <n v="4"/>
    <n v="12"/>
    <n v="1"/>
    <n v="6.2417873602995604"/>
    <n v="25"/>
    <n v="30"/>
    <n v="59"/>
    <n v="3"/>
    <n v="0"/>
    <s v="C1222"/>
    <s v="Female"/>
    <s v="PhD"/>
    <s v="Senior Level"/>
    <s v="Low"/>
    <s v="Beginner"/>
    <s v="Good"/>
    <x v="1"/>
    <n v="45"/>
    <s v="Needs Improvement"/>
    <x v="0"/>
    <s v="Interview Preparation"/>
    <s v="Improve interview preparation and communication"/>
  </r>
  <r>
    <n v="32"/>
    <n v="1"/>
    <n v="2"/>
    <n v="6"/>
    <n v="3"/>
    <n v="14.3971375053423"/>
    <n v="64"/>
    <n v="59"/>
    <n v="73"/>
    <n v="1"/>
    <n v="1"/>
    <s v="C1223"/>
    <s v="Female"/>
    <s v="Bachelor's Type 2"/>
    <s v="Mid Level"/>
    <s v="Average"/>
    <s v="Intermediate"/>
    <s v="Good"/>
    <x v="0"/>
    <n v="60"/>
    <s v="Developing"/>
    <x v="0"/>
    <s v="Technical Skills"/>
    <s v="Strengthen technical skills and practical knowledge"/>
  </r>
  <r>
    <n v="37"/>
    <n v="0"/>
    <n v="4"/>
    <n v="13"/>
    <n v="4"/>
    <n v="27.0097303861942"/>
    <n v="3"/>
    <n v="69"/>
    <n v="68"/>
    <n v="1"/>
    <n v="1"/>
    <s v="C1224"/>
    <s v="Male"/>
    <s v="PhD"/>
    <s v="Senior Level"/>
    <s v="Low"/>
    <s v="Intermediate"/>
    <s v="Good"/>
    <x v="0"/>
    <n v="53"/>
    <s v="Developing"/>
    <x v="1"/>
    <s v="Interview Preparation"/>
    <s v="Improve interview preparation and communication"/>
  </r>
  <r>
    <n v="45"/>
    <n v="0"/>
    <n v="1"/>
    <n v="7"/>
    <n v="2"/>
    <n v="29.287101303545001"/>
    <n v="28"/>
    <n v="16"/>
    <n v="73"/>
    <n v="2"/>
    <n v="0"/>
    <s v="C1225"/>
    <s v="Male"/>
    <s v="Bachelor's Type 1"/>
    <s v="Senior Level"/>
    <s v="Low"/>
    <s v="Beginner"/>
    <s v="Good"/>
    <x v="1"/>
    <n v="37"/>
    <s v="Needs Improvement"/>
    <x v="0"/>
    <s v="Technical Skills"/>
    <s v="Strengthen technical skills and practical knowledge"/>
  </r>
  <r>
    <n v="25"/>
    <n v="0"/>
    <n v="2"/>
    <n v="7"/>
    <n v="3"/>
    <n v="1.76552933134527"/>
    <n v="0"/>
    <n v="49"/>
    <n v="20"/>
    <n v="2"/>
    <n v="0"/>
    <s v="C1226"/>
    <s v="Male"/>
    <s v="Bachelor's Type 2"/>
    <s v="Senior Level"/>
    <s v="Low"/>
    <s v="Beginner"/>
    <s v="Needs Improvement"/>
    <x v="1"/>
    <n v="28"/>
    <s v="Needs Improvement"/>
    <x v="1"/>
    <s v="Interview Preparation"/>
    <s v="Improve interview preparation and communication"/>
  </r>
  <r>
    <n v="22"/>
    <n v="0"/>
    <n v="3"/>
    <n v="10"/>
    <n v="3"/>
    <n v="40.028636291047"/>
    <n v="49"/>
    <n v="36"/>
    <n v="23"/>
    <n v="2"/>
    <n v="0"/>
    <s v="C1227"/>
    <s v="Male"/>
    <s v="Master's"/>
    <s v="Senior Level"/>
    <s v="Low"/>
    <s v="Beginner"/>
    <s v="Needs Improvement"/>
    <x v="1"/>
    <n v="44"/>
    <s v="Needs Improvement"/>
    <x v="2"/>
    <s v="Personality &amp; Communication"/>
    <s v="Work on communication and personality development"/>
  </r>
  <r>
    <n v="38"/>
    <n v="0"/>
    <n v="4"/>
    <n v="9"/>
    <n v="4"/>
    <n v="19.080365921269401"/>
    <n v="85"/>
    <n v="81"/>
    <n v="2"/>
    <n v="2"/>
    <n v="1"/>
    <s v="C1228"/>
    <s v="Male"/>
    <s v="PhD"/>
    <s v="Senior Level"/>
    <s v="Strong"/>
    <s v="Advanced"/>
    <s v="Needs Improvement"/>
    <x v="0"/>
    <n v="64"/>
    <s v="Developing"/>
    <x v="2"/>
    <s v="Personality &amp; Communication"/>
    <s v="Work on communication and personality development"/>
  </r>
  <r>
    <n v="34"/>
    <n v="1"/>
    <n v="2"/>
    <n v="14"/>
    <n v="3"/>
    <n v="21.3209270501068"/>
    <n v="10"/>
    <n v="61"/>
    <n v="94"/>
    <n v="2"/>
    <n v="0"/>
    <s v="C1229"/>
    <s v="Female"/>
    <s v="Bachelor's Type 2"/>
    <s v="Senior Level"/>
    <s v="Low"/>
    <s v="Intermediate"/>
    <s v="Strong"/>
    <x v="1"/>
    <n v="57"/>
    <s v="Developing"/>
    <x v="0"/>
    <s v="Interview Preparation"/>
    <s v="Improve interview preparation and communication"/>
  </r>
  <r>
    <n v="44"/>
    <n v="0"/>
    <n v="3"/>
    <n v="10"/>
    <n v="1"/>
    <n v="41.468477221847202"/>
    <n v="73"/>
    <n v="89"/>
    <n v="61"/>
    <n v="1"/>
    <n v="1"/>
    <s v="C1230"/>
    <s v="Male"/>
    <s v="Master's"/>
    <s v="Senior Level"/>
    <s v="Average"/>
    <s v="Advanced"/>
    <s v="Good"/>
    <x v="0"/>
    <n v="75"/>
    <s v="Job Ready"/>
    <x v="1"/>
    <s v="Personality &amp; Communication"/>
    <s v="Work on communication and personality development"/>
  </r>
  <r>
    <n v="42"/>
    <n v="1"/>
    <n v="2"/>
    <n v="12"/>
    <n v="1"/>
    <n v="19.964169586377199"/>
    <n v="58"/>
    <n v="79"/>
    <n v="100"/>
    <n v="2"/>
    <n v="0"/>
    <s v="C1231"/>
    <s v="Female"/>
    <s v="Bachelor's Type 2"/>
    <s v="Senior Level"/>
    <s v="Average"/>
    <s v="Advanced"/>
    <s v="Strong"/>
    <x v="1"/>
    <n v="76"/>
    <s v="Job Ready"/>
    <x v="0"/>
    <s v="Interview Preparation"/>
    <s v="Improve interview preparation and communication"/>
  </r>
  <r>
    <n v="24"/>
    <n v="1"/>
    <n v="1"/>
    <n v="6"/>
    <n v="1"/>
    <n v="3.3612438247377399"/>
    <n v="61"/>
    <n v="71"/>
    <n v="1"/>
    <n v="2"/>
    <n v="0"/>
    <s v="C1232"/>
    <s v="Female"/>
    <s v="Bachelor's Type 1"/>
    <s v="Mid Level"/>
    <s v="Average"/>
    <s v="Intermediate"/>
    <s v="Needs Improvement"/>
    <x v="1"/>
    <n v="48"/>
    <s v="Needs Improvement"/>
    <x v="1"/>
    <s v="Personality &amp; Communication"/>
    <s v="Work on communication and personality development"/>
  </r>
  <r>
    <n v="47"/>
    <n v="1"/>
    <n v="2"/>
    <n v="4"/>
    <n v="3"/>
    <n v="9.8219885235175095"/>
    <n v="80"/>
    <n v="87"/>
    <n v="65"/>
    <n v="2"/>
    <n v="0"/>
    <s v="C1233"/>
    <s v="Female"/>
    <s v="Bachelor's Type 2"/>
    <s v="Mid Level"/>
    <s v="Strong"/>
    <s v="Advanced"/>
    <s v="Good"/>
    <x v="1"/>
    <n v="70"/>
    <s v="Developing"/>
    <x v="1"/>
    <s v="Personality &amp; Communication"/>
    <s v="Work on communication and personality development"/>
  </r>
  <r>
    <n v="29"/>
    <n v="1"/>
    <n v="2"/>
    <n v="0"/>
    <n v="1"/>
    <n v="48.795158619409101"/>
    <n v="35"/>
    <n v="76"/>
    <n v="41"/>
    <n v="1"/>
    <n v="0"/>
    <s v="C1234"/>
    <s v="Female"/>
    <s v="Bachelor's Type 2"/>
    <s v="Entry Level"/>
    <s v="Low"/>
    <s v="Advanced"/>
    <s v="Needs Improvement"/>
    <x v="1"/>
    <n v="44"/>
    <s v="Needs Improvement"/>
    <x v="1"/>
    <s v="Interview Preparation"/>
    <s v="Improve interview preparation and communication"/>
  </r>
  <r>
    <n v="26"/>
    <n v="0"/>
    <n v="4"/>
    <n v="11"/>
    <n v="4"/>
    <n v="4.5202681201257002"/>
    <n v="55"/>
    <n v="28"/>
    <n v="33"/>
    <n v="2"/>
    <n v="0"/>
    <s v="C1235"/>
    <s v="Male"/>
    <s v="PhD"/>
    <s v="Senior Level"/>
    <s v="Average"/>
    <s v="Beginner"/>
    <s v="Needs Improvement"/>
    <x v="1"/>
    <n v="48"/>
    <s v="Needs Improvement"/>
    <x v="2"/>
    <s v="Technical Skills"/>
    <s v="Strengthen technical skills and practical knowledge"/>
  </r>
  <r>
    <n v="44"/>
    <n v="1"/>
    <n v="2"/>
    <n v="8"/>
    <n v="3"/>
    <n v="18.746560048400799"/>
    <n v="89"/>
    <n v="31"/>
    <n v="41"/>
    <n v="1"/>
    <n v="1"/>
    <s v="C1236"/>
    <s v="Female"/>
    <s v="Bachelor's Type 2"/>
    <s v="Senior Level"/>
    <s v="Strong"/>
    <s v="Beginner"/>
    <s v="Needs Improvement"/>
    <x v="0"/>
    <n v="55"/>
    <s v="Developing"/>
    <x v="2"/>
    <s v="Technical Skills"/>
    <s v="Strengthen technical skills and practical knowledge"/>
  </r>
  <r>
    <n v="36"/>
    <n v="1"/>
    <n v="2"/>
    <n v="12"/>
    <n v="5"/>
    <n v="26.1589583525672"/>
    <n v="20"/>
    <n v="87"/>
    <n v="19"/>
    <n v="2"/>
    <n v="0"/>
    <s v="C1237"/>
    <s v="Female"/>
    <s v="Bachelor's Type 2"/>
    <s v="Senior Level"/>
    <s v="Low"/>
    <s v="Advanced"/>
    <s v="Needs Improvement"/>
    <x v="1"/>
    <n v="50"/>
    <s v="Developing"/>
    <x v="1"/>
    <s v="Personality &amp; Communication"/>
    <s v="Work on communication and personality development"/>
  </r>
  <r>
    <n v="26"/>
    <n v="1"/>
    <n v="1"/>
    <n v="15"/>
    <n v="3"/>
    <n v="25.664041366928"/>
    <n v="12"/>
    <n v="79"/>
    <n v="96"/>
    <n v="2"/>
    <n v="0"/>
    <s v="C1238"/>
    <s v="Female"/>
    <s v="Bachelor's Type 1"/>
    <s v="Senior Level"/>
    <s v="Low"/>
    <s v="Advanced"/>
    <s v="Strong"/>
    <x v="1"/>
    <n v="64"/>
    <s v="Developing"/>
    <x v="0"/>
    <s v="Interview Preparation"/>
    <s v="Improve interview preparation and communication"/>
  </r>
  <r>
    <n v="41"/>
    <n v="0"/>
    <n v="2"/>
    <n v="6"/>
    <n v="4"/>
    <n v="1.1979971506071301"/>
    <n v="8"/>
    <n v="10"/>
    <n v="67"/>
    <n v="1"/>
    <n v="1"/>
    <s v="C1239"/>
    <s v="Male"/>
    <s v="Bachelor's Type 2"/>
    <s v="Mid Level"/>
    <s v="Low"/>
    <s v="Beginner"/>
    <s v="Good"/>
    <x v="0"/>
    <n v="27"/>
    <s v="Needs Improvement"/>
    <x v="0"/>
    <s v="Interview Preparation"/>
    <s v="Improve interview preparation and communication"/>
  </r>
  <r>
    <n v="45"/>
    <n v="0"/>
    <n v="2"/>
    <n v="1"/>
    <n v="5"/>
    <n v="26.058136572874499"/>
    <n v="10"/>
    <n v="95"/>
    <n v="44"/>
    <n v="2"/>
    <n v="0"/>
    <s v="C1240"/>
    <s v="Male"/>
    <s v="Bachelor's Type 2"/>
    <s v="Entry Level"/>
    <s v="Low"/>
    <s v="Advanced"/>
    <s v="Needs Improvement"/>
    <x v="1"/>
    <n v="44"/>
    <s v="Needs Improvement"/>
    <x v="1"/>
    <s v="Interview Preparation"/>
    <s v="Improve interview preparation and communication"/>
  </r>
  <r>
    <n v="49"/>
    <n v="0"/>
    <n v="3"/>
    <n v="5"/>
    <n v="3"/>
    <n v="20.188622898870399"/>
    <n v="74"/>
    <n v="5"/>
    <n v="74"/>
    <n v="2"/>
    <n v="0"/>
    <s v="C1241"/>
    <s v="Male"/>
    <s v="Master's"/>
    <s v="Mid Level"/>
    <s v="Average"/>
    <s v="Beginner"/>
    <s v="Good"/>
    <x v="1"/>
    <n v="47"/>
    <s v="Needs Improvement"/>
    <x v="2"/>
    <s v="Technical Skills"/>
    <s v="Strengthen technical skills and practical knowledge"/>
  </r>
  <r>
    <n v="31"/>
    <n v="1"/>
    <n v="2"/>
    <n v="1"/>
    <n v="1"/>
    <n v="49.603966773727798"/>
    <n v="69"/>
    <n v="34"/>
    <n v="41"/>
    <n v="1"/>
    <n v="0"/>
    <s v="C1242"/>
    <s v="Female"/>
    <s v="Bachelor's Type 2"/>
    <s v="Entry Level"/>
    <s v="Average"/>
    <s v="Beginner"/>
    <s v="Needs Improvement"/>
    <x v="1"/>
    <n v="43"/>
    <s v="Needs Improvement"/>
    <x v="2"/>
    <s v="Technical Skills"/>
    <s v="Strengthen technical skills and practical knowledge"/>
  </r>
  <r>
    <n v="44"/>
    <n v="1"/>
    <n v="4"/>
    <n v="14"/>
    <n v="2"/>
    <n v="8.9579541996914909"/>
    <n v="0"/>
    <n v="32"/>
    <n v="46"/>
    <n v="1"/>
    <n v="1"/>
    <s v="C1243"/>
    <s v="Female"/>
    <s v="PhD"/>
    <s v="Senior Level"/>
    <s v="Low"/>
    <s v="Beginner"/>
    <s v="Needs Improvement"/>
    <x v="0"/>
    <n v="38"/>
    <s v="Needs Improvement"/>
    <x v="0"/>
    <s v="Interview Preparation"/>
    <s v="Improve interview preparation and communication"/>
  </r>
  <r>
    <n v="36"/>
    <n v="0"/>
    <n v="4"/>
    <n v="0"/>
    <n v="2"/>
    <n v="18.707709837974701"/>
    <n v="69"/>
    <n v="17"/>
    <n v="4"/>
    <n v="3"/>
    <n v="0"/>
    <s v="C1244"/>
    <s v="Male"/>
    <s v="PhD"/>
    <s v="Entry Level"/>
    <s v="Average"/>
    <s v="Beginner"/>
    <s v="Needs Improvement"/>
    <x v="1"/>
    <n v="32"/>
    <s v="Needs Improvement"/>
    <x v="2"/>
    <s v="Personality &amp; Communication"/>
    <s v="Work on communication and personality development"/>
  </r>
  <r>
    <n v="32"/>
    <n v="1"/>
    <n v="2"/>
    <n v="13"/>
    <n v="1"/>
    <n v="21.974074254490901"/>
    <n v="76"/>
    <n v="36"/>
    <n v="88"/>
    <n v="2"/>
    <n v="0"/>
    <s v="C1245"/>
    <s v="Female"/>
    <s v="Bachelor's Type 2"/>
    <s v="Senior Level"/>
    <s v="Strong"/>
    <s v="Beginner"/>
    <s v="Strong"/>
    <x v="1"/>
    <n v="67"/>
    <s v="Developing"/>
    <x v="0"/>
    <s v="Technical Skills"/>
    <s v="Strengthen technical skills and practical knowledge"/>
  </r>
  <r>
    <n v="39"/>
    <n v="0"/>
    <n v="4"/>
    <n v="6"/>
    <n v="2"/>
    <n v="20.534676855047401"/>
    <n v="85"/>
    <n v="12"/>
    <n v="48"/>
    <n v="3"/>
    <n v="0"/>
    <s v="C1246"/>
    <s v="Male"/>
    <s v="PhD"/>
    <s v="Mid Level"/>
    <s v="Strong"/>
    <s v="Beginner"/>
    <s v="Needs Improvement"/>
    <x v="1"/>
    <n v="50"/>
    <s v="Developing"/>
    <x v="2"/>
    <s v="Technical Skills"/>
    <s v="Strengthen technical skills and practical knowledge"/>
  </r>
  <r>
    <n v="44"/>
    <n v="0"/>
    <n v="3"/>
    <n v="12"/>
    <n v="2"/>
    <n v="34.291541382593103"/>
    <n v="55"/>
    <n v="73"/>
    <n v="36"/>
    <n v="2"/>
    <n v="0"/>
    <s v="C1247"/>
    <s v="Male"/>
    <s v="Master's"/>
    <s v="Senior Level"/>
    <s v="Average"/>
    <s v="Intermediate"/>
    <s v="Needs Improvement"/>
    <x v="1"/>
    <n v="61"/>
    <s v="Developing"/>
    <x v="1"/>
    <s v="Personality &amp; Communication"/>
    <s v="Work on communication and personality development"/>
  </r>
  <r>
    <n v="23"/>
    <n v="1"/>
    <n v="2"/>
    <n v="15"/>
    <n v="1"/>
    <n v="11.7756428773884"/>
    <n v="30"/>
    <n v="100"/>
    <n v="33"/>
    <n v="2"/>
    <n v="0"/>
    <s v="C1248"/>
    <s v="Female"/>
    <s v="Bachelor's Type 2"/>
    <s v="Senior Level"/>
    <s v="Low"/>
    <s v="Advanced"/>
    <s v="Needs Improvement"/>
    <x v="1"/>
    <n v="63"/>
    <s v="Developing"/>
    <x v="1"/>
    <s v="Interview Preparation"/>
    <s v="Improve interview preparation and communication"/>
  </r>
  <r>
    <n v="29"/>
    <n v="1"/>
    <n v="1"/>
    <n v="1"/>
    <n v="1"/>
    <n v="12.053577640699499"/>
    <n v="85"/>
    <n v="89"/>
    <n v="72"/>
    <n v="2"/>
    <n v="0"/>
    <s v="C1249"/>
    <s v="Female"/>
    <s v="Bachelor's Type 1"/>
    <s v="Entry Level"/>
    <s v="Strong"/>
    <s v="Advanced"/>
    <s v="Good"/>
    <x v="1"/>
    <n v="70"/>
    <s v="Developing"/>
    <x v="1"/>
    <s v="Personality &amp; Communication"/>
    <s v="Work on communication and personality development"/>
  </r>
  <r>
    <n v="22"/>
    <n v="1"/>
    <n v="2"/>
    <n v="12"/>
    <n v="3"/>
    <n v="37.460547425042598"/>
    <n v="36"/>
    <n v="80"/>
    <n v="69"/>
    <n v="2"/>
    <n v="0"/>
    <s v="C1250"/>
    <s v="Female"/>
    <s v="Bachelor's Type 2"/>
    <s v="Senior Level"/>
    <s v="Low"/>
    <s v="Advanced"/>
    <s v="Good"/>
    <x v="1"/>
    <n v="63"/>
    <s v="Developing"/>
    <x v="1"/>
    <s v="Interview Preparation"/>
    <s v="Improve interview preparation and communication"/>
  </r>
  <r>
    <n v="28"/>
    <n v="1"/>
    <n v="2"/>
    <n v="13"/>
    <n v="3"/>
    <n v="26.014525933908899"/>
    <n v="46"/>
    <n v="63"/>
    <n v="17"/>
    <n v="1"/>
    <n v="1"/>
    <s v="C1251"/>
    <s v="Female"/>
    <s v="Bachelor's Type 2"/>
    <s v="Senior Level"/>
    <s v="Low"/>
    <s v="Intermediate"/>
    <s v="Needs Improvement"/>
    <x v="0"/>
    <n v="52"/>
    <s v="Developing"/>
    <x v="1"/>
    <s v="Personality &amp; Communication"/>
    <s v="Work on communication and personality development"/>
  </r>
  <r>
    <n v="32"/>
    <n v="0"/>
    <n v="3"/>
    <n v="13"/>
    <n v="1"/>
    <n v="21.7577838028655"/>
    <n v="90"/>
    <n v="0"/>
    <n v="77"/>
    <n v="2"/>
    <n v="1"/>
    <s v="C1252"/>
    <s v="Male"/>
    <s v="Master's"/>
    <s v="Senior Level"/>
    <s v="Strong"/>
    <s v="Beginner"/>
    <s v="Strong"/>
    <x v="0"/>
    <n v="59"/>
    <s v="Developing"/>
    <x v="2"/>
    <s v="Technical Skills"/>
    <s v="Strengthen technical skills and practical knowledge"/>
  </r>
  <r>
    <n v="37"/>
    <n v="0"/>
    <n v="2"/>
    <n v="1"/>
    <n v="4"/>
    <n v="9.4601525838625893"/>
    <n v="77"/>
    <n v="62"/>
    <n v="18"/>
    <n v="2"/>
    <n v="0"/>
    <s v="C1253"/>
    <s v="Male"/>
    <s v="Bachelor's Type 2"/>
    <s v="Entry Level"/>
    <s v="Strong"/>
    <s v="Intermediate"/>
    <s v="Needs Improvement"/>
    <x v="1"/>
    <n v="49"/>
    <s v="Needs Improvement"/>
    <x v="2"/>
    <s v="Personality &amp; Communication"/>
    <s v="Work on communication and personality development"/>
  </r>
  <r>
    <n v="34"/>
    <n v="0"/>
    <n v="3"/>
    <n v="12"/>
    <n v="2"/>
    <n v="10.3763611456083"/>
    <n v="46"/>
    <n v="88"/>
    <n v="77"/>
    <n v="1"/>
    <n v="1"/>
    <s v="C1254"/>
    <s v="Male"/>
    <s v="Master's"/>
    <s v="Senior Level"/>
    <s v="Low"/>
    <s v="Advanced"/>
    <s v="Strong"/>
    <x v="0"/>
    <n v="71"/>
    <s v="Developing"/>
    <x v="1"/>
    <s v="Interview Preparation"/>
    <s v="Improve interview preparation and communication"/>
  </r>
  <r>
    <n v="23"/>
    <n v="0"/>
    <n v="2"/>
    <n v="10"/>
    <n v="3"/>
    <n v="1.5275818407950199"/>
    <n v="68"/>
    <n v="33"/>
    <n v="39"/>
    <n v="1"/>
    <n v="0"/>
    <s v="C1255"/>
    <s v="Male"/>
    <s v="Bachelor's Type 2"/>
    <s v="Senior Level"/>
    <s v="Average"/>
    <s v="Beginner"/>
    <s v="Needs Improvement"/>
    <x v="1"/>
    <n v="51"/>
    <s v="Developing"/>
    <x v="2"/>
    <s v="Technical Skills"/>
    <s v="Strengthen technical skills and practical knowledge"/>
  </r>
  <r>
    <n v="34"/>
    <n v="0"/>
    <n v="1"/>
    <n v="4"/>
    <n v="2"/>
    <n v="5.5713134430854598"/>
    <n v="57"/>
    <n v="9"/>
    <n v="16"/>
    <n v="1"/>
    <n v="0"/>
    <s v="C1256"/>
    <s v="Male"/>
    <s v="Bachelor's Type 1"/>
    <s v="Mid Level"/>
    <s v="Average"/>
    <s v="Beginner"/>
    <s v="Needs Improvement"/>
    <x v="1"/>
    <n v="30"/>
    <s v="Needs Improvement"/>
    <x v="2"/>
    <s v="Technical Skills"/>
    <s v="Strengthen technical skills and practical knowledge"/>
  </r>
  <r>
    <n v="41"/>
    <n v="1"/>
    <n v="4"/>
    <n v="13"/>
    <n v="5"/>
    <n v="28.841934734512002"/>
    <n v="35"/>
    <n v="83"/>
    <n v="59"/>
    <n v="2"/>
    <n v="0"/>
    <s v="C1257"/>
    <s v="Female"/>
    <s v="PhD"/>
    <s v="Senior Level"/>
    <s v="Low"/>
    <s v="Advanced"/>
    <s v="Good"/>
    <x v="1"/>
    <n v="65"/>
    <s v="Developing"/>
    <x v="1"/>
    <s v="Interview Preparation"/>
    <s v="Improve interview preparation and communication"/>
  </r>
  <r>
    <n v="21"/>
    <n v="0"/>
    <n v="2"/>
    <n v="4"/>
    <n v="1"/>
    <n v="45.593656500420401"/>
    <n v="31"/>
    <n v="6"/>
    <n v="98"/>
    <n v="2"/>
    <n v="0"/>
    <s v="C1258"/>
    <s v="Male"/>
    <s v="Bachelor's Type 2"/>
    <s v="Mid Level"/>
    <s v="Low"/>
    <s v="Beginner"/>
    <s v="Strong"/>
    <x v="1"/>
    <n v="37"/>
    <s v="Needs Improvement"/>
    <x v="0"/>
    <s v="Technical Skills"/>
    <s v="Strengthen technical skills and practical knowledge"/>
  </r>
  <r>
    <n v="34"/>
    <n v="0"/>
    <n v="2"/>
    <n v="15"/>
    <n v="4"/>
    <n v="15.3582382565278"/>
    <n v="97"/>
    <n v="55"/>
    <n v="92"/>
    <n v="3"/>
    <n v="1"/>
    <s v="C1259"/>
    <s v="Male"/>
    <s v="Bachelor's Type 2"/>
    <s v="Senior Level"/>
    <s v="Strong"/>
    <s v="Intermediate"/>
    <s v="Strong"/>
    <x v="0"/>
    <n v="82"/>
    <s v="Job Ready"/>
    <x v="2"/>
    <s v="Technical Skills"/>
    <s v="Strengthen technical skills and practical knowledge"/>
  </r>
  <r>
    <n v="27"/>
    <n v="0"/>
    <n v="2"/>
    <n v="6"/>
    <n v="5"/>
    <n v="17.3873612948064"/>
    <n v="63"/>
    <n v="79"/>
    <n v="41"/>
    <n v="1"/>
    <n v="1"/>
    <s v="C1260"/>
    <s v="Male"/>
    <s v="Bachelor's Type 2"/>
    <s v="Mid Level"/>
    <s v="Average"/>
    <s v="Advanced"/>
    <s v="Needs Improvement"/>
    <x v="0"/>
    <n v="59"/>
    <s v="Developing"/>
    <x v="1"/>
    <s v="Personality &amp; Communication"/>
    <s v="Work on communication and personality development"/>
  </r>
  <r>
    <n v="27"/>
    <n v="1"/>
    <n v="1"/>
    <n v="0"/>
    <n v="5"/>
    <n v="6.7802805305755998"/>
    <n v="70"/>
    <n v="36"/>
    <n v="80"/>
    <n v="1"/>
    <n v="0"/>
    <s v="C1261"/>
    <s v="Female"/>
    <s v="Bachelor's Type 1"/>
    <s v="Entry Level"/>
    <s v="Average"/>
    <s v="Beginner"/>
    <s v="Strong"/>
    <x v="1"/>
    <n v="50"/>
    <s v="Developing"/>
    <x v="0"/>
    <s v="Technical Skills"/>
    <s v="Strengthen technical skills and practical knowledge"/>
  </r>
  <r>
    <n v="36"/>
    <n v="1"/>
    <n v="2"/>
    <n v="7"/>
    <n v="5"/>
    <n v="20.431547280355101"/>
    <n v="41"/>
    <n v="28"/>
    <n v="71"/>
    <n v="2"/>
    <n v="0"/>
    <s v="C1262"/>
    <s v="Female"/>
    <s v="Bachelor's Type 2"/>
    <s v="Senior Level"/>
    <s v="Low"/>
    <s v="Beginner"/>
    <s v="Good"/>
    <x v="1"/>
    <n v="44"/>
    <s v="Needs Improvement"/>
    <x v="0"/>
    <s v="Technical Skills"/>
    <s v="Strengthen technical skills and practical knowledge"/>
  </r>
  <r>
    <n v="31"/>
    <n v="1"/>
    <n v="2"/>
    <n v="2"/>
    <n v="1"/>
    <n v="2.8610852284664499"/>
    <n v="47"/>
    <n v="11"/>
    <n v="64"/>
    <n v="3"/>
    <n v="0"/>
    <s v="C1263"/>
    <s v="Female"/>
    <s v="Bachelor's Type 2"/>
    <s v="Entry Level"/>
    <s v="Low"/>
    <s v="Beginner"/>
    <s v="Good"/>
    <x v="1"/>
    <n v="35"/>
    <s v="Needs Improvement"/>
    <x v="0"/>
    <s v="Technical Skills"/>
    <s v="Strengthen technical skills and practical knowledge"/>
  </r>
  <r>
    <n v="38"/>
    <n v="1"/>
    <n v="2"/>
    <n v="3"/>
    <n v="3"/>
    <n v="46.880034813095001"/>
    <n v="73"/>
    <n v="16"/>
    <n v="52"/>
    <n v="1"/>
    <n v="0"/>
    <s v="C1264"/>
    <s v="Female"/>
    <s v="Bachelor's Type 2"/>
    <s v="Mid Level"/>
    <s v="Average"/>
    <s v="Beginner"/>
    <s v="Good"/>
    <x v="1"/>
    <n v="43"/>
    <s v="Needs Improvement"/>
    <x v="2"/>
    <s v="Technical Skills"/>
    <s v="Strengthen technical skills and practical knowledge"/>
  </r>
  <r>
    <n v="29"/>
    <n v="0"/>
    <n v="4"/>
    <n v="14"/>
    <n v="1"/>
    <n v="34.655567406226403"/>
    <n v="80"/>
    <n v="47"/>
    <n v="99"/>
    <n v="2"/>
    <n v="1"/>
    <s v="C1265"/>
    <s v="Male"/>
    <s v="PhD"/>
    <s v="Senior Level"/>
    <s v="Strong"/>
    <s v="Beginner"/>
    <s v="Strong"/>
    <x v="0"/>
    <n v="77"/>
    <s v="Job Ready"/>
    <x v="0"/>
    <s v="Technical Skills"/>
    <s v="Strengthen technical skills and practical knowledge"/>
  </r>
  <r>
    <n v="28"/>
    <n v="0"/>
    <n v="2"/>
    <n v="8"/>
    <n v="3"/>
    <n v="50.537440469660901"/>
    <n v="29"/>
    <n v="83"/>
    <n v="6"/>
    <n v="2"/>
    <n v="0"/>
    <s v="C1266"/>
    <s v="Male"/>
    <s v="Bachelor's Type 2"/>
    <s v="Senior Level"/>
    <s v="Low"/>
    <s v="Advanced"/>
    <s v="Needs Improvement"/>
    <x v="1"/>
    <n v="45"/>
    <s v="Needs Improvement"/>
    <x v="1"/>
    <s v="Personality &amp; Communication"/>
    <s v="Work on communication and personality development"/>
  </r>
  <r>
    <n v="24"/>
    <n v="1"/>
    <n v="2"/>
    <n v="3"/>
    <n v="5"/>
    <n v="45.141158133924598"/>
    <n v="20"/>
    <n v="25"/>
    <n v="4"/>
    <n v="1"/>
    <n v="0"/>
    <s v="C1267"/>
    <s v="Female"/>
    <s v="Bachelor's Type 2"/>
    <s v="Mid Level"/>
    <s v="Low"/>
    <s v="Beginner"/>
    <s v="Needs Improvement"/>
    <x v="1"/>
    <n v="20"/>
    <s v="Needs Improvement"/>
    <x v="1"/>
    <s v="Personality &amp; Communication"/>
    <s v="Work on communication and personality development"/>
  </r>
  <r>
    <n v="25"/>
    <n v="1"/>
    <n v="2"/>
    <n v="9"/>
    <n v="5"/>
    <n v="24.649529684907598"/>
    <n v="59"/>
    <n v="82"/>
    <n v="23"/>
    <n v="2"/>
    <n v="0"/>
    <s v="C1268"/>
    <s v="Female"/>
    <s v="Bachelor's Type 2"/>
    <s v="Senior Level"/>
    <s v="Average"/>
    <s v="Advanced"/>
    <s v="Needs Improvement"/>
    <x v="1"/>
    <n v="58"/>
    <s v="Developing"/>
    <x v="1"/>
    <s v="Personality &amp; Communication"/>
    <s v="Work on communication and personality development"/>
  </r>
  <r>
    <n v="39"/>
    <n v="0"/>
    <n v="4"/>
    <n v="11"/>
    <n v="4"/>
    <n v="26.9842515575188"/>
    <n v="12"/>
    <n v="11"/>
    <n v="27"/>
    <n v="1"/>
    <n v="1"/>
    <s v="C1269"/>
    <s v="Male"/>
    <s v="PhD"/>
    <s v="Senior Level"/>
    <s v="Low"/>
    <s v="Beginner"/>
    <s v="Needs Improvement"/>
    <x v="0"/>
    <n v="28"/>
    <s v="Needs Improvement"/>
    <x v="0"/>
    <s v="Technical Skills"/>
    <s v="Strengthen technical skills and practical knowledge"/>
  </r>
  <r>
    <n v="45"/>
    <n v="0"/>
    <n v="1"/>
    <n v="14"/>
    <n v="3"/>
    <n v="10.5288023258596"/>
    <n v="0"/>
    <n v="20"/>
    <n v="61"/>
    <n v="3"/>
    <n v="0"/>
    <s v="C1270"/>
    <s v="Male"/>
    <s v="Bachelor's Type 1"/>
    <s v="Senior Level"/>
    <s v="Low"/>
    <s v="Beginner"/>
    <s v="Good"/>
    <x v="1"/>
    <n v="35"/>
    <s v="Needs Improvement"/>
    <x v="0"/>
    <s v="Interview Preparation"/>
    <s v="Improve interview preparation and communication"/>
  </r>
  <r>
    <n v="21"/>
    <n v="1"/>
    <n v="2"/>
    <n v="4"/>
    <n v="5"/>
    <n v="24.101967141977699"/>
    <n v="64"/>
    <n v="41"/>
    <n v="16"/>
    <n v="2"/>
    <n v="0"/>
    <s v="C1271"/>
    <s v="Female"/>
    <s v="Bachelor's Type 2"/>
    <s v="Mid Level"/>
    <s v="Average"/>
    <s v="Beginner"/>
    <s v="Needs Improvement"/>
    <x v="1"/>
    <n v="41"/>
    <s v="Needs Improvement"/>
    <x v="2"/>
    <s v="Personality &amp; Communication"/>
    <s v="Work on communication and personality development"/>
  </r>
  <r>
    <n v="46"/>
    <n v="1"/>
    <n v="1"/>
    <n v="6"/>
    <n v="2"/>
    <n v="46.151393674640502"/>
    <n v="32"/>
    <n v="60"/>
    <n v="100"/>
    <n v="2"/>
    <n v="0"/>
    <s v="C1272"/>
    <s v="Female"/>
    <s v="Bachelor's Type 1"/>
    <s v="Mid Level"/>
    <s v="Low"/>
    <s v="Intermediate"/>
    <s v="Strong"/>
    <x v="1"/>
    <n v="56"/>
    <s v="Developing"/>
    <x v="0"/>
    <s v="Interview Preparation"/>
    <s v="Improve interview preparation and communication"/>
  </r>
  <r>
    <n v="43"/>
    <n v="1"/>
    <n v="1"/>
    <n v="15"/>
    <n v="4"/>
    <n v="3.5426711817910501"/>
    <n v="37"/>
    <n v="57"/>
    <n v="19"/>
    <n v="2"/>
    <n v="0"/>
    <s v="C1273"/>
    <s v="Female"/>
    <s v="Bachelor's Type 1"/>
    <s v="Senior Level"/>
    <s v="Low"/>
    <s v="Intermediate"/>
    <s v="Needs Improvement"/>
    <x v="1"/>
    <n v="50"/>
    <s v="Developing"/>
    <x v="1"/>
    <s v="Personality &amp; Communication"/>
    <s v="Work on communication and personality development"/>
  </r>
  <r>
    <n v="46"/>
    <n v="1"/>
    <n v="3"/>
    <n v="3"/>
    <n v="1"/>
    <n v="44.177840149915397"/>
    <n v="24"/>
    <n v="53"/>
    <n v="2"/>
    <n v="2"/>
    <n v="0"/>
    <s v="C1274"/>
    <s v="Female"/>
    <s v="Master's"/>
    <s v="Mid Level"/>
    <s v="Low"/>
    <s v="Intermediate"/>
    <s v="Needs Improvement"/>
    <x v="1"/>
    <n v="30"/>
    <s v="Needs Improvement"/>
    <x v="1"/>
    <s v="Personality &amp; Communication"/>
    <s v="Work on communication and personality development"/>
  </r>
  <r>
    <n v="32"/>
    <n v="0"/>
    <n v="3"/>
    <n v="13"/>
    <n v="4"/>
    <n v="18.047390082130399"/>
    <n v="25"/>
    <n v="33"/>
    <n v="36"/>
    <n v="2"/>
    <n v="0"/>
    <s v="C1275"/>
    <s v="Male"/>
    <s v="Master's"/>
    <s v="Senior Level"/>
    <s v="Low"/>
    <s v="Beginner"/>
    <s v="Needs Improvement"/>
    <x v="1"/>
    <n v="41"/>
    <s v="Needs Improvement"/>
    <x v="0"/>
    <s v="Interview Preparation"/>
    <s v="Improve interview preparation and communication"/>
  </r>
  <r>
    <n v="25"/>
    <n v="0"/>
    <n v="2"/>
    <n v="0"/>
    <n v="2"/>
    <n v="45.975638254815401"/>
    <n v="76"/>
    <n v="6"/>
    <n v="89"/>
    <n v="1"/>
    <n v="1"/>
    <s v="C1276"/>
    <s v="Male"/>
    <s v="Bachelor's Type 2"/>
    <s v="Entry Level"/>
    <s v="Strong"/>
    <s v="Beginner"/>
    <s v="Strong"/>
    <x v="0"/>
    <n v="45"/>
    <s v="Needs Improvement"/>
    <x v="0"/>
    <s v="Technical Skills"/>
    <s v="Strengthen technical skills and practical knowledge"/>
  </r>
  <r>
    <n v="24"/>
    <n v="0"/>
    <n v="2"/>
    <n v="8"/>
    <n v="3"/>
    <n v="48.043995317074199"/>
    <n v="58"/>
    <n v="34"/>
    <n v="14"/>
    <n v="2"/>
    <n v="0"/>
    <s v="C1277"/>
    <s v="Male"/>
    <s v="Bachelor's Type 2"/>
    <s v="Senior Level"/>
    <s v="Average"/>
    <s v="Beginner"/>
    <s v="Needs Improvement"/>
    <x v="1"/>
    <n v="41"/>
    <s v="Needs Improvement"/>
    <x v="2"/>
    <s v="Personality &amp; Communication"/>
    <s v="Work on communication and personality development"/>
  </r>
  <r>
    <n v="44"/>
    <n v="1"/>
    <n v="2"/>
    <n v="3"/>
    <n v="1"/>
    <n v="34.5432443500953"/>
    <n v="91"/>
    <n v="14"/>
    <n v="50"/>
    <n v="1"/>
    <n v="0"/>
    <s v="C1278"/>
    <s v="Female"/>
    <s v="Bachelor's Type 2"/>
    <s v="Mid Level"/>
    <s v="Strong"/>
    <s v="Beginner"/>
    <s v="Good"/>
    <x v="1"/>
    <n v="47"/>
    <s v="Needs Improvement"/>
    <x v="2"/>
    <s v="Technical Skills"/>
    <s v="Strengthen technical skills and practical knowledge"/>
  </r>
  <r>
    <n v="20"/>
    <n v="1"/>
    <n v="4"/>
    <n v="8"/>
    <n v="1"/>
    <n v="34.221189329633802"/>
    <n v="32"/>
    <n v="64"/>
    <n v="47"/>
    <n v="2"/>
    <n v="0"/>
    <s v="C1279"/>
    <s v="Female"/>
    <s v="PhD"/>
    <s v="Senior Level"/>
    <s v="Low"/>
    <s v="Intermediate"/>
    <s v="Needs Improvement"/>
    <x v="1"/>
    <n v="51"/>
    <s v="Developing"/>
    <x v="1"/>
    <s v="Interview Preparation"/>
    <s v="Improve interview preparation and communication"/>
  </r>
  <r>
    <n v="40"/>
    <n v="0"/>
    <n v="4"/>
    <n v="5"/>
    <n v="3"/>
    <n v="23.637716885437001"/>
    <n v="100"/>
    <n v="89"/>
    <n v="7"/>
    <n v="1"/>
    <n v="1"/>
    <s v="C1280"/>
    <s v="Male"/>
    <s v="PhD"/>
    <s v="Mid Level"/>
    <s v="Strong"/>
    <s v="Advanced"/>
    <s v="Needs Improvement"/>
    <x v="0"/>
    <n v="68"/>
    <s v="Developing"/>
    <x v="2"/>
    <s v="Personality &amp; Communication"/>
    <s v="Work on communication and personality development"/>
  </r>
  <r>
    <n v="41"/>
    <n v="0"/>
    <n v="2"/>
    <n v="14"/>
    <n v="4"/>
    <n v="42.777011227185298"/>
    <n v="40"/>
    <n v="98"/>
    <n v="12"/>
    <n v="2"/>
    <n v="0"/>
    <s v="C1281"/>
    <s v="Male"/>
    <s v="Bachelor's Type 2"/>
    <s v="Senior Level"/>
    <s v="Low"/>
    <s v="Advanced"/>
    <s v="Needs Improvement"/>
    <x v="1"/>
    <n v="60"/>
    <s v="Developing"/>
    <x v="1"/>
    <s v="Personality &amp; Communication"/>
    <s v="Work on communication and personality development"/>
  </r>
  <r>
    <n v="40"/>
    <n v="0"/>
    <n v="3"/>
    <n v="0"/>
    <n v="5"/>
    <n v="49.080637921664099"/>
    <n v="29"/>
    <n v="24"/>
    <n v="47"/>
    <n v="1"/>
    <n v="0"/>
    <s v="C1282"/>
    <s v="Male"/>
    <s v="Master's"/>
    <s v="Entry Level"/>
    <s v="Low"/>
    <s v="Beginner"/>
    <s v="Needs Improvement"/>
    <x v="1"/>
    <n v="29"/>
    <s v="Needs Improvement"/>
    <x v="0"/>
    <s v="Technical Skills"/>
    <s v="Strengthen technical skills and practical knowledge"/>
  </r>
  <r>
    <n v="25"/>
    <n v="0"/>
    <n v="3"/>
    <n v="11"/>
    <n v="4"/>
    <n v="39.7540900169559"/>
    <n v="56"/>
    <n v="58"/>
    <n v="2"/>
    <n v="3"/>
    <n v="0"/>
    <s v="C1283"/>
    <s v="Male"/>
    <s v="Master's"/>
    <s v="Senior Level"/>
    <s v="Average"/>
    <s v="Intermediate"/>
    <s v="Needs Improvement"/>
    <x v="1"/>
    <n v="49"/>
    <s v="Needs Improvement"/>
    <x v="1"/>
    <s v="Personality &amp; Communication"/>
    <s v="Work on communication and personality development"/>
  </r>
  <r>
    <n v="25"/>
    <n v="1"/>
    <n v="2"/>
    <n v="2"/>
    <n v="2"/>
    <n v="32.096836687835399"/>
    <n v="48"/>
    <n v="78"/>
    <n v="64"/>
    <n v="2"/>
    <n v="0"/>
    <s v="C1284"/>
    <s v="Female"/>
    <s v="Bachelor's Type 2"/>
    <s v="Entry Level"/>
    <s v="Low"/>
    <s v="Advanced"/>
    <s v="Good"/>
    <x v="1"/>
    <n v="55"/>
    <s v="Developing"/>
    <x v="1"/>
    <s v="Interview Preparation"/>
    <s v="Improve interview preparation and communication"/>
  </r>
  <r>
    <n v="42"/>
    <n v="0"/>
    <n v="2"/>
    <n v="10"/>
    <n v="5"/>
    <n v="31.339644791066799"/>
    <n v="47"/>
    <n v="85"/>
    <n v="72"/>
    <n v="2"/>
    <n v="0"/>
    <s v="C1285"/>
    <s v="Male"/>
    <s v="Bachelor's Type 2"/>
    <s v="Senior Level"/>
    <s v="Low"/>
    <s v="Advanced"/>
    <s v="Good"/>
    <x v="1"/>
    <n v="67"/>
    <s v="Developing"/>
    <x v="1"/>
    <s v="Interview Preparation"/>
    <s v="Improve interview preparation and communication"/>
  </r>
  <r>
    <n v="35"/>
    <n v="0"/>
    <n v="2"/>
    <n v="1"/>
    <n v="4"/>
    <n v="43.473495079183103"/>
    <n v="71"/>
    <n v="5"/>
    <n v="30"/>
    <n v="3"/>
    <n v="0"/>
    <s v="C1286"/>
    <s v="Male"/>
    <s v="Bachelor's Type 2"/>
    <s v="Entry Level"/>
    <s v="Average"/>
    <s v="Beginner"/>
    <s v="Needs Improvement"/>
    <x v="1"/>
    <n v="32"/>
    <s v="Needs Improvement"/>
    <x v="2"/>
    <s v="Technical Skills"/>
    <s v="Strengthen technical skills and practical knowledge"/>
  </r>
  <r>
    <n v="23"/>
    <n v="0"/>
    <n v="3"/>
    <n v="15"/>
    <n v="3"/>
    <n v="28.060188288564898"/>
    <n v="48"/>
    <n v="51"/>
    <n v="25"/>
    <n v="2"/>
    <n v="0"/>
    <s v="C1287"/>
    <s v="Male"/>
    <s v="Master's"/>
    <s v="Senior Level"/>
    <s v="Low"/>
    <s v="Intermediate"/>
    <s v="Needs Improvement"/>
    <x v="1"/>
    <n v="53"/>
    <s v="Developing"/>
    <x v="1"/>
    <s v="Personality &amp; Communication"/>
    <s v="Work on communication and personality development"/>
  </r>
  <r>
    <n v="49"/>
    <n v="0"/>
    <n v="4"/>
    <n v="8"/>
    <n v="2"/>
    <n v="41.192994312441101"/>
    <n v="46"/>
    <n v="78"/>
    <n v="80"/>
    <n v="3"/>
    <n v="1"/>
    <s v="C1288"/>
    <s v="Male"/>
    <s v="PhD"/>
    <s v="Senior Level"/>
    <s v="Low"/>
    <s v="Advanced"/>
    <s v="Strong"/>
    <x v="0"/>
    <n v="66"/>
    <s v="Developing"/>
    <x v="0"/>
    <s v="Interview Preparation"/>
    <s v="Improve interview preparation and communication"/>
  </r>
  <r>
    <n v="30"/>
    <n v="0"/>
    <n v="3"/>
    <n v="15"/>
    <n v="2"/>
    <n v="26.444262758712199"/>
    <n v="55"/>
    <n v="87"/>
    <n v="55"/>
    <n v="1"/>
    <n v="1"/>
    <s v="C1289"/>
    <s v="Male"/>
    <s v="Master's"/>
    <s v="Senior Level"/>
    <s v="Average"/>
    <s v="Advanced"/>
    <s v="Good"/>
    <x v="0"/>
    <n v="72"/>
    <s v="Developing"/>
    <x v="1"/>
    <s v="Interview Preparation"/>
    <s v="Improve interview preparation and communication"/>
  </r>
  <r>
    <n v="49"/>
    <n v="0"/>
    <n v="3"/>
    <n v="14"/>
    <n v="2"/>
    <n v="4.1222137486961996"/>
    <n v="64"/>
    <n v="20"/>
    <n v="33"/>
    <n v="2"/>
    <n v="0"/>
    <s v="C1290"/>
    <s v="Male"/>
    <s v="Master's"/>
    <s v="Senior Level"/>
    <s v="Average"/>
    <s v="Beginner"/>
    <s v="Needs Improvement"/>
    <x v="1"/>
    <n v="50"/>
    <s v="Developing"/>
    <x v="2"/>
    <s v="Technical Skills"/>
    <s v="Strengthen technical skills and practical knowledge"/>
  </r>
  <r>
    <n v="49"/>
    <n v="0"/>
    <n v="2"/>
    <n v="11"/>
    <n v="5"/>
    <n v="20.1973504452077"/>
    <n v="11"/>
    <n v="70"/>
    <n v="8"/>
    <n v="2"/>
    <n v="0"/>
    <s v="C1291"/>
    <s v="Male"/>
    <s v="Bachelor's Type 2"/>
    <s v="Senior Level"/>
    <s v="Low"/>
    <s v="Intermediate"/>
    <s v="Needs Improvement"/>
    <x v="1"/>
    <n v="39"/>
    <s v="Needs Improvement"/>
    <x v="1"/>
    <s v="Personality &amp; Communication"/>
    <s v="Work on communication and personality development"/>
  </r>
  <r>
    <n v="49"/>
    <n v="1"/>
    <n v="3"/>
    <n v="0"/>
    <n v="1"/>
    <n v="23.222047883574898"/>
    <n v="68"/>
    <n v="92"/>
    <n v="61"/>
    <n v="3"/>
    <n v="0"/>
    <s v="C1292"/>
    <s v="Female"/>
    <s v="Master's"/>
    <s v="Entry Level"/>
    <s v="Average"/>
    <s v="Advanced"/>
    <s v="Good"/>
    <x v="1"/>
    <n v="64"/>
    <s v="Developing"/>
    <x v="1"/>
    <s v="Personality &amp; Communication"/>
    <s v="Work on communication and personality development"/>
  </r>
  <r>
    <n v="50"/>
    <n v="1"/>
    <n v="3"/>
    <n v="12"/>
    <n v="5"/>
    <n v="8.0808622493308597"/>
    <n v="87"/>
    <n v="95"/>
    <n v="12"/>
    <n v="1"/>
    <n v="1"/>
    <s v="C1293"/>
    <s v="Female"/>
    <s v="Master's"/>
    <s v="Senior Level"/>
    <s v="Strong"/>
    <s v="Advanced"/>
    <s v="Needs Improvement"/>
    <x v="0"/>
    <n v="73"/>
    <s v="Developing"/>
    <x v="1"/>
    <s v="Personality &amp; Communication"/>
    <s v="Work on communication and personality development"/>
  </r>
  <r>
    <n v="43"/>
    <n v="1"/>
    <n v="2"/>
    <n v="13"/>
    <n v="4"/>
    <n v="6.1248164594606402"/>
    <n v="5"/>
    <n v="31"/>
    <n v="68"/>
    <n v="3"/>
    <n v="0"/>
    <s v="C1294"/>
    <s v="Female"/>
    <s v="Bachelor's Type 2"/>
    <s v="Senior Level"/>
    <s v="Low"/>
    <s v="Beginner"/>
    <s v="Good"/>
    <x v="1"/>
    <n v="40"/>
    <s v="Needs Improvement"/>
    <x v="0"/>
    <s v="Interview Preparation"/>
    <s v="Improve interview preparation and communication"/>
  </r>
  <r>
    <n v="42"/>
    <n v="1"/>
    <n v="2"/>
    <n v="8"/>
    <n v="1"/>
    <n v="27.773247482847701"/>
    <n v="88"/>
    <n v="52"/>
    <n v="40"/>
    <n v="2"/>
    <n v="0"/>
    <s v="C1295"/>
    <s v="Female"/>
    <s v="Bachelor's Type 2"/>
    <s v="Senior Level"/>
    <s v="Strong"/>
    <s v="Intermediate"/>
    <s v="Needs Improvement"/>
    <x v="1"/>
    <n v="61"/>
    <s v="Developing"/>
    <x v="2"/>
    <s v="Personality &amp; Communication"/>
    <s v="Work on communication and personality development"/>
  </r>
  <r>
    <n v="28"/>
    <n v="0"/>
    <n v="3"/>
    <n v="8"/>
    <n v="4"/>
    <n v="5.2571818278041"/>
    <n v="64"/>
    <n v="58"/>
    <n v="76"/>
    <n v="3"/>
    <n v="1"/>
    <s v="C1296"/>
    <s v="Male"/>
    <s v="Master's"/>
    <s v="Senior Level"/>
    <s v="Average"/>
    <s v="Intermediate"/>
    <s v="Strong"/>
    <x v="0"/>
    <n v="64"/>
    <s v="Developing"/>
    <x v="0"/>
    <s v="Technical Skills"/>
    <s v="Strengthen technical skills and practical knowledge"/>
  </r>
  <r>
    <n v="42"/>
    <n v="1"/>
    <n v="1"/>
    <n v="7"/>
    <n v="1"/>
    <n v="16.147258394504199"/>
    <n v="24"/>
    <n v="68"/>
    <n v="0"/>
    <n v="2"/>
    <n v="0"/>
    <s v="C1297"/>
    <s v="Female"/>
    <s v="Bachelor's Type 1"/>
    <s v="Senior Level"/>
    <s v="Low"/>
    <s v="Intermediate"/>
    <s v="Needs Improvement"/>
    <x v="1"/>
    <n v="37"/>
    <s v="Needs Improvement"/>
    <x v="1"/>
    <s v="Personality &amp; Communication"/>
    <s v="Work on communication and personality development"/>
  </r>
  <r>
    <n v="22"/>
    <n v="1"/>
    <n v="3"/>
    <n v="7"/>
    <n v="5"/>
    <n v="38.229848798153697"/>
    <n v="0"/>
    <n v="61"/>
    <n v="88"/>
    <n v="1"/>
    <n v="1"/>
    <s v="C1298"/>
    <s v="Female"/>
    <s v="Master's"/>
    <s v="Senior Level"/>
    <s v="Low"/>
    <s v="Intermediate"/>
    <s v="Strong"/>
    <x v="0"/>
    <n v="47"/>
    <s v="Needs Improvement"/>
    <x v="0"/>
    <s v="Interview Preparation"/>
    <s v="Improve interview preparation and communication"/>
  </r>
  <r>
    <n v="38"/>
    <n v="0"/>
    <n v="1"/>
    <n v="10"/>
    <n v="2"/>
    <n v="49.221608978398997"/>
    <n v="31"/>
    <n v="3"/>
    <n v="46"/>
    <n v="3"/>
    <n v="0"/>
    <s v="C1299"/>
    <s v="Male"/>
    <s v="Bachelor's Type 1"/>
    <s v="Senior Level"/>
    <s v="Low"/>
    <s v="Beginner"/>
    <s v="Needs Improvement"/>
    <x v="1"/>
    <n v="32"/>
    <s v="Needs Improvement"/>
    <x v="0"/>
    <s v="Technical Skills"/>
    <s v="Strengthen technical skills and practical knowledge"/>
  </r>
  <r>
    <n v="50"/>
    <n v="0"/>
    <n v="2"/>
    <n v="13"/>
    <n v="3"/>
    <n v="36.893529027596401"/>
    <n v="2"/>
    <n v="85"/>
    <n v="3"/>
    <n v="3"/>
    <n v="0"/>
    <s v="C1300"/>
    <s v="Male"/>
    <s v="Bachelor's Type 2"/>
    <s v="Senior Level"/>
    <s v="Low"/>
    <s v="Advanced"/>
    <s v="Needs Improvement"/>
    <x v="1"/>
    <n v="42"/>
    <s v="Needs Improvement"/>
    <x v="1"/>
    <s v="Interview Preparation"/>
    <s v="Improve interview preparation and communication"/>
  </r>
  <r>
    <n v="27"/>
    <n v="1"/>
    <n v="3"/>
    <n v="11"/>
    <n v="2"/>
    <n v="50.6312774226435"/>
    <n v="48"/>
    <n v="17"/>
    <n v="99"/>
    <n v="2"/>
    <n v="0"/>
    <s v="C1301"/>
    <s v="Female"/>
    <s v="Master's"/>
    <s v="Senior Level"/>
    <s v="Low"/>
    <s v="Beginner"/>
    <s v="Strong"/>
    <x v="1"/>
    <n v="54"/>
    <s v="Developing"/>
    <x v="0"/>
    <s v="Technical Skills"/>
    <s v="Strengthen technical skills and practical knowledge"/>
  </r>
  <r>
    <n v="24"/>
    <n v="1"/>
    <n v="2"/>
    <n v="0"/>
    <n v="5"/>
    <n v="35.916898563970101"/>
    <n v="18"/>
    <n v="98"/>
    <n v="62"/>
    <n v="1"/>
    <n v="1"/>
    <s v="C1302"/>
    <s v="Female"/>
    <s v="Bachelor's Type 2"/>
    <s v="Entry Level"/>
    <s v="Low"/>
    <s v="Advanced"/>
    <s v="Good"/>
    <x v="0"/>
    <n v="50"/>
    <s v="Developing"/>
    <x v="1"/>
    <s v="Interview Preparation"/>
    <s v="Improve interview preparation and communication"/>
  </r>
  <r>
    <n v="23"/>
    <n v="0"/>
    <n v="2"/>
    <n v="10"/>
    <n v="1"/>
    <n v="15.6897235327163"/>
    <n v="59"/>
    <n v="80"/>
    <n v="51"/>
    <n v="1"/>
    <n v="1"/>
    <s v="C1303"/>
    <s v="Male"/>
    <s v="Bachelor's Type 2"/>
    <s v="Senior Level"/>
    <s v="Average"/>
    <s v="Advanced"/>
    <s v="Good"/>
    <x v="0"/>
    <n v="64"/>
    <s v="Developing"/>
    <x v="1"/>
    <s v="Personality &amp; Communication"/>
    <s v="Work on communication and personality development"/>
  </r>
  <r>
    <n v="43"/>
    <n v="1"/>
    <n v="2"/>
    <n v="7"/>
    <n v="2"/>
    <n v="34.602627025267999"/>
    <n v="28"/>
    <n v="55"/>
    <n v="9"/>
    <n v="2"/>
    <n v="0"/>
    <s v="C1304"/>
    <s v="Female"/>
    <s v="Bachelor's Type 2"/>
    <s v="Senior Level"/>
    <s v="Low"/>
    <s v="Intermediate"/>
    <s v="Needs Improvement"/>
    <x v="1"/>
    <n v="36"/>
    <s v="Needs Improvement"/>
    <x v="1"/>
    <s v="Personality &amp; Communication"/>
    <s v="Work on communication and personality development"/>
  </r>
  <r>
    <n v="50"/>
    <n v="0"/>
    <n v="3"/>
    <n v="9"/>
    <n v="5"/>
    <n v="36.107838259845103"/>
    <n v="49"/>
    <n v="23"/>
    <n v="27"/>
    <n v="1"/>
    <n v="1"/>
    <s v="C1305"/>
    <s v="Male"/>
    <s v="Master's"/>
    <s v="Senior Level"/>
    <s v="Low"/>
    <s v="Beginner"/>
    <s v="Needs Improvement"/>
    <x v="0"/>
    <n v="40"/>
    <s v="Needs Improvement"/>
    <x v="2"/>
    <s v="Technical Skills"/>
    <s v="Strengthen technical skills and practical knowledge"/>
  </r>
  <r>
    <n v="25"/>
    <n v="0"/>
    <n v="1"/>
    <n v="13"/>
    <n v="4"/>
    <n v="19.586349230823"/>
    <n v="1"/>
    <n v="65"/>
    <n v="5"/>
    <n v="2"/>
    <n v="0"/>
    <s v="C1306"/>
    <s v="Male"/>
    <s v="Bachelor's Type 1"/>
    <s v="Senior Level"/>
    <s v="Low"/>
    <s v="Intermediate"/>
    <s v="Needs Improvement"/>
    <x v="1"/>
    <n v="36"/>
    <s v="Needs Improvement"/>
    <x v="1"/>
    <s v="Interview Preparation"/>
    <s v="Improve interview preparation and communication"/>
  </r>
  <r>
    <n v="21"/>
    <n v="0"/>
    <n v="4"/>
    <n v="2"/>
    <n v="3"/>
    <n v="1.8856925304694501"/>
    <n v="72"/>
    <n v="12"/>
    <n v="26"/>
    <n v="2"/>
    <n v="0"/>
    <s v="C1307"/>
    <s v="Male"/>
    <s v="PhD"/>
    <s v="Entry Level"/>
    <s v="Average"/>
    <s v="Beginner"/>
    <s v="Needs Improvement"/>
    <x v="1"/>
    <n v="37"/>
    <s v="Needs Improvement"/>
    <x v="2"/>
    <s v="Technical Skills"/>
    <s v="Strengthen technical skills and practical knowledge"/>
  </r>
  <r>
    <n v="39"/>
    <n v="0"/>
    <n v="1"/>
    <n v="10"/>
    <n v="2"/>
    <n v="36.159989238774301"/>
    <n v="55"/>
    <n v="61"/>
    <n v="11"/>
    <n v="2"/>
    <n v="0"/>
    <s v="C1308"/>
    <s v="Male"/>
    <s v="Bachelor's Type 1"/>
    <s v="Senior Level"/>
    <s v="Average"/>
    <s v="Intermediate"/>
    <s v="Needs Improvement"/>
    <x v="1"/>
    <n v="50"/>
    <s v="Developing"/>
    <x v="1"/>
    <s v="Personality &amp; Communication"/>
    <s v="Work on communication and personality development"/>
  </r>
  <r>
    <n v="47"/>
    <n v="1"/>
    <n v="4"/>
    <n v="6"/>
    <n v="1"/>
    <n v="2.0850047637770799"/>
    <n v="16"/>
    <n v="53"/>
    <n v="61"/>
    <n v="1"/>
    <n v="1"/>
    <s v="C1309"/>
    <s v="Female"/>
    <s v="PhD"/>
    <s v="Mid Level"/>
    <s v="Low"/>
    <s v="Intermediate"/>
    <s v="Good"/>
    <x v="0"/>
    <n v="44"/>
    <s v="Needs Improvement"/>
    <x v="0"/>
    <s v="Interview Preparation"/>
    <s v="Improve interview preparation and communication"/>
  </r>
  <r>
    <n v="30"/>
    <n v="0"/>
    <n v="4"/>
    <n v="10"/>
    <n v="4"/>
    <n v="32.559403903003499"/>
    <n v="59"/>
    <n v="14"/>
    <n v="51"/>
    <n v="2"/>
    <n v="0"/>
    <s v="C1310"/>
    <s v="Male"/>
    <s v="PhD"/>
    <s v="Senior Level"/>
    <s v="Average"/>
    <s v="Beginner"/>
    <s v="Good"/>
    <x v="1"/>
    <n v="47"/>
    <s v="Needs Improvement"/>
    <x v="2"/>
    <s v="Technical Skills"/>
    <s v="Strengthen technical skills and practical knowledge"/>
  </r>
  <r>
    <n v="23"/>
    <n v="0"/>
    <n v="2"/>
    <n v="14"/>
    <n v="5"/>
    <n v="9.1808244371277503"/>
    <n v="35"/>
    <n v="68"/>
    <n v="47"/>
    <n v="2"/>
    <n v="0"/>
    <s v="C1311"/>
    <s v="Male"/>
    <s v="Bachelor's Type 2"/>
    <s v="Senior Level"/>
    <s v="Low"/>
    <s v="Intermediate"/>
    <s v="Needs Improvement"/>
    <x v="1"/>
    <n v="57"/>
    <s v="Developing"/>
    <x v="1"/>
    <s v="Interview Preparation"/>
    <s v="Improve interview preparation and communication"/>
  </r>
  <r>
    <n v="34"/>
    <n v="1"/>
    <n v="2"/>
    <n v="0"/>
    <n v="3"/>
    <n v="29.280176387402101"/>
    <n v="60"/>
    <n v="2"/>
    <n v="66"/>
    <n v="2"/>
    <n v="0"/>
    <s v="C1312"/>
    <s v="Female"/>
    <s v="Bachelor's Type 2"/>
    <s v="Entry Level"/>
    <s v="Average"/>
    <s v="Beginner"/>
    <s v="Good"/>
    <x v="1"/>
    <n v="34"/>
    <s v="Needs Improvement"/>
    <x v="0"/>
    <s v="Technical Skills"/>
    <s v="Strengthen technical skills and practical knowledge"/>
  </r>
  <r>
    <n v="25"/>
    <n v="0"/>
    <n v="2"/>
    <n v="0"/>
    <n v="1"/>
    <n v="26.195651269030002"/>
    <n v="16"/>
    <n v="36"/>
    <n v="45"/>
    <n v="2"/>
    <n v="0"/>
    <s v="C1313"/>
    <s v="Male"/>
    <s v="Bachelor's Type 2"/>
    <s v="Entry Level"/>
    <s v="Low"/>
    <s v="Beginner"/>
    <s v="Needs Improvement"/>
    <x v="1"/>
    <n v="27"/>
    <s v="Needs Improvement"/>
    <x v="0"/>
    <s v="Interview Preparation"/>
    <s v="Improve interview preparation and communication"/>
  </r>
  <r>
    <n v="41"/>
    <n v="1"/>
    <n v="2"/>
    <n v="15"/>
    <n v="5"/>
    <n v="1.6756821153091199"/>
    <n v="48"/>
    <n v="36"/>
    <n v="96"/>
    <n v="2"/>
    <n v="0"/>
    <s v="C1314"/>
    <s v="Female"/>
    <s v="Bachelor's Type 2"/>
    <s v="Senior Level"/>
    <s v="Low"/>
    <s v="Beginner"/>
    <s v="Strong"/>
    <x v="1"/>
    <n v="62"/>
    <s v="Developing"/>
    <x v="0"/>
    <s v="Technical Skills"/>
    <s v="Strengthen technical skills and practical knowledge"/>
  </r>
  <r>
    <n v="36"/>
    <n v="1"/>
    <n v="1"/>
    <n v="9"/>
    <n v="5"/>
    <n v="19.1432908497551"/>
    <n v="75"/>
    <n v="100"/>
    <n v="73"/>
    <n v="2"/>
    <n v="1"/>
    <s v="C1315"/>
    <s v="Female"/>
    <s v="Bachelor's Type 1"/>
    <s v="Senior Level"/>
    <s v="Strong"/>
    <s v="Advanced"/>
    <s v="Good"/>
    <x v="0"/>
    <n v="79"/>
    <s v="Job Ready"/>
    <x v="1"/>
    <s v="Personality &amp; Communication"/>
    <s v="Work on communication and personality development"/>
  </r>
  <r>
    <n v="49"/>
    <n v="1"/>
    <n v="1"/>
    <n v="12"/>
    <n v="2"/>
    <n v="31.054558369815101"/>
    <n v="59"/>
    <n v="2"/>
    <n v="94"/>
    <n v="3"/>
    <n v="0"/>
    <s v="C1316"/>
    <s v="Female"/>
    <s v="Bachelor's Type 1"/>
    <s v="Senior Level"/>
    <s v="Average"/>
    <s v="Beginner"/>
    <s v="Strong"/>
    <x v="1"/>
    <n v="52"/>
    <s v="Developing"/>
    <x v="0"/>
    <s v="Technical Skills"/>
    <s v="Strengthen technical skills and practical knowledge"/>
  </r>
  <r>
    <n v="43"/>
    <n v="0"/>
    <n v="1"/>
    <n v="4"/>
    <n v="2"/>
    <n v="43.430327594938902"/>
    <n v="19"/>
    <n v="62"/>
    <n v="14"/>
    <n v="2"/>
    <n v="0"/>
    <s v="C1317"/>
    <s v="Male"/>
    <s v="Bachelor's Type 1"/>
    <s v="Mid Level"/>
    <s v="Low"/>
    <s v="Intermediate"/>
    <s v="Needs Improvement"/>
    <x v="1"/>
    <n v="34"/>
    <s v="Needs Improvement"/>
    <x v="1"/>
    <s v="Personality &amp; Communication"/>
    <s v="Work on communication and personality development"/>
  </r>
  <r>
    <n v="25"/>
    <n v="1"/>
    <n v="2"/>
    <n v="4"/>
    <n v="1"/>
    <n v="45.432105691825797"/>
    <n v="49"/>
    <n v="34"/>
    <n v="70"/>
    <n v="3"/>
    <n v="0"/>
    <s v="C1318"/>
    <s v="Female"/>
    <s v="Bachelor's Type 2"/>
    <s v="Mid Level"/>
    <s v="Low"/>
    <s v="Beginner"/>
    <s v="Good"/>
    <x v="1"/>
    <n v="45"/>
    <s v="Needs Improvement"/>
    <x v="0"/>
    <s v="Technical Skills"/>
    <s v="Strengthen technical skills and practical knowledge"/>
  </r>
  <r>
    <n v="38"/>
    <n v="1"/>
    <n v="2"/>
    <n v="7"/>
    <n v="5"/>
    <n v="25.192498501661099"/>
    <n v="2"/>
    <n v="51"/>
    <n v="35"/>
    <n v="2"/>
    <n v="0"/>
    <s v="C1319"/>
    <s v="Female"/>
    <s v="Bachelor's Type 2"/>
    <s v="Senior Level"/>
    <s v="Low"/>
    <s v="Intermediate"/>
    <s v="Needs Improvement"/>
    <x v="1"/>
    <n v="32"/>
    <s v="Needs Improvement"/>
    <x v="1"/>
    <s v="Interview Preparation"/>
    <s v="Improve interview preparation and communication"/>
  </r>
  <r>
    <n v="49"/>
    <n v="0"/>
    <n v="2"/>
    <n v="6"/>
    <n v="2"/>
    <n v="37.421124364971902"/>
    <n v="42"/>
    <n v="86"/>
    <n v="13"/>
    <n v="2"/>
    <n v="0"/>
    <s v="C1320"/>
    <s v="Male"/>
    <s v="Bachelor's Type 2"/>
    <s v="Mid Level"/>
    <s v="Low"/>
    <s v="Advanced"/>
    <s v="Needs Improvement"/>
    <x v="1"/>
    <n v="50"/>
    <s v="Developing"/>
    <x v="1"/>
    <s v="Personality &amp; Communication"/>
    <s v="Work on communication and personality development"/>
  </r>
  <r>
    <n v="44"/>
    <n v="1"/>
    <n v="4"/>
    <n v="7"/>
    <n v="3"/>
    <n v="16.822728826672801"/>
    <n v="56"/>
    <n v="27"/>
    <n v="77"/>
    <n v="1"/>
    <n v="1"/>
    <s v="C1321"/>
    <s v="Female"/>
    <s v="PhD"/>
    <s v="Senior Level"/>
    <s v="Average"/>
    <s v="Beginner"/>
    <s v="Strong"/>
    <x v="0"/>
    <n v="52"/>
    <s v="Developing"/>
    <x v="0"/>
    <s v="Technical Skills"/>
    <s v="Strengthen technical skills and practical knowledge"/>
  </r>
  <r>
    <n v="21"/>
    <n v="1"/>
    <n v="2"/>
    <n v="5"/>
    <n v="3"/>
    <n v="18.1093202879328"/>
    <n v="49"/>
    <n v="93"/>
    <n v="2"/>
    <n v="2"/>
    <n v="0"/>
    <s v="C1322"/>
    <s v="Female"/>
    <s v="Bachelor's Type 2"/>
    <s v="Mid Level"/>
    <s v="Low"/>
    <s v="Advanced"/>
    <s v="Needs Improvement"/>
    <x v="1"/>
    <n v="51"/>
    <s v="Developing"/>
    <x v="1"/>
    <s v="Personality &amp; Communication"/>
    <s v="Work on communication and personality development"/>
  </r>
  <r>
    <n v="34"/>
    <n v="1"/>
    <n v="2"/>
    <n v="5"/>
    <n v="5"/>
    <n v="10.723175959115601"/>
    <n v="67"/>
    <n v="17"/>
    <n v="66"/>
    <n v="2"/>
    <n v="0"/>
    <s v="C1323"/>
    <s v="Female"/>
    <s v="Bachelor's Type 2"/>
    <s v="Mid Level"/>
    <s v="Average"/>
    <s v="Beginner"/>
    <s v="Good"/>
    <x v="1"/>
    <n v="46"/>
    <s v="Needs Improvement"/>
    <x v="2"/>
    <s v="Technical Skills"/>
    <s v="Strengthen technical skills and practical knowledge"/>
  </r>
  <r>
    <n v="30"/>
    <n v="1"/>
    <n v="2"/>
    <n v="1"/>
    <n v="2"/>
    <n v="29.0974054996619"/>
    <n v="80"/>
    <n v="35"/>
    <n v="85"/>
    <n v="1"/>
    <n v="1"/>
    <s v="C1324"/>
    <s v="Female"/>
    <s v="Bachelor's Type 2"/>
    <s v="Entry Level"/>
    <s v="Strong"/>
    <s v="Beginner"/>
    <s v="Strong"/>
    <x v="0"/>
    <n v="55"/>
    <s v="Developing"/>
    <x v="0"/>
    <s v="Technical Skills"/>
    <s v="Strengthen technical skills and practical knowledge"/>
  </r>
  <r>
    <n v="27"/>
    <n v="1"/>
    <n v="3"/>
    <n v="5"/>
    <n v="1"/>
    <n v="16.7282075463682"/>
    <n v="49"/>
    <n v="32"/>
    <n v="18"/>
    <n v="2"/>
    <n v="0"/>
    <s v="C1325"/>
    <s v="Female"/>
    <s v="Master's"/>
    <s v="Mid Level"/>
    <s v="Low"/>
    <s v="Beginner"/>
    <s v="Needs Improvement"/>
    <x v="1"/>
    <n v="37"/>
    <s v="Needs Improvement"/>
    <x v="2"/>
    <s v="Personality &amp; Communication"/>
    <s v="Work on communication and personality development"/>
  </r>
  <r>
    <n v="45"/>
    <n v="0"/>
    <n v="4"/>
    <n v="4"/>
    <n v="1"/>
    <n v="5.2185448219252502"/>
    <n v="36"/>
    <n v="63"/>
    <n v="98"/>
    <n v="1"/>
    <n v="1"/>
    <s v="C1326"/>
    <s v="Male"/>
    <s v="PhD"/>
    <s v="Mid Level"/>
    <s v="Low"/>
    <s v="Intermediate"/>
    <s v="Strong"/>
    <x v="0"/>
    <n v="58"/>
    <s v="Developing"/>
    <x v="0"/>
    <s v="Interview Preparation"/>
    <s v="Improve interview preparation and communication"/>
  </r>
  <r>
    <n v="38"/>
    <n v="1"/>
    <n v="3"/>
    <n v="12"/>
    <n v="1"/>
    <n v="35.250304333158901"/>
    <n v="45"/>
    <n v="25"/>
    <n v="75"/>
    <n v="2"/>
    <n v="0"/>
    <s v="C1327"/>
    <s v="Female"/>
    <s v="Master's"/>
    <s v="Senior Level"/>
    <s v="Low"/>
    <s v="Beginner"/>
    <s v="Strong"/>
    <x v="1"/>
    <n v="52"/>
    <s v="Developing"/>
    <x v="0"/>
    <s v="Technical Skills"/>
    <s v="Strengthen technical skills and practical knowledge"/>
  </r>
  <r>
    <n v="32"/>
    <n v="1"/>
    <n v="4"/>
    <n v="15"/>
    <n v="3"/>
    <n v="36.387660380269899"/>
    <n v="41"/>
    <n v="47"/>
    <n v="53"/>
    <n v="2"/>
    <n v="0"/>
    <s v="C1328"/>
    <s v="Female"/>
    <s v="PhD"/>
    <s v="Senior Level"/>
    <s v="Low"/>
    <s v="Beginner"/>
    <s v="Good"/>
    <x v="1"/>
    <n v="57"/>
    <s v="Developing"/>
    <x v="0"/>
    <s v="Interview Preparation"/>
    <s v="Improve interview preparation and communication"/>
  </r>
  <r>
    <n v="31"/>
    <n v="0"/>
    <n v="1"/>
    <n v="2"/>
    <n v="2"/>
    <n v="18.999620938952798"/>
    <n v="14"/>
    <n v="39"/>
    <n v="68"/>
    <n v="2"/>
    <n v="0"/>
    <s v="C1329"/>
    <s v="Male"/>
    <s v="Bachelor's Type 1"/>
    <s v="Entry Level"/>
    <s v="Low"/>
    <s v="Beginner"/>
    <s v="Good"/>
    <x v="1"/>
    <n v="34"/>
    <s v="Needs Improvement"/>
    <x v="0"/>
    <s v="Interview Preparation"/>
    <s v="Improve interview preparation and communication"/>
  </r>
  <r>
    <n v="24"/>
    <n v="0"/>
    <n v="3"/>
    <n v="5"/>
    <n v="2"/>
    <n v="4.83616997280114"/>
    <n v="32"/>
    <n v="16"/>
    <n v="9"/>
    <n v="3"/>
    <n v="0"/>
    <s v="C1330"/>
    <s v="Male"/>
    <s v="Master's"/>
    <s v="Mid Level"/>
    <s v="Low"/>
    <s v="Beginner"/>
    <s v="Needs Improvement"/>
    <x v="1"/>
    <n v="25"/>
    <s v="Needs Improvement"/>
    <x v="2"/>
    <s v="Personality &amp; Communication"/>
    <s v="Work on communication and personality development"/>
  </r>
  <r>
    <n v="25"/>
    <n v="0"/>
    <n v="3"/>
    <n v="7"/>
    <n v="3"/>
    <n v="22.314885870171199"/>
    <n v="79"/>
    <n v="39"/>
    <n v="32"/>
    <n v="2"/>
    <n v="0"/>
    <s v="C1331"/>
    <s v="Male"/>
    <s v="Master's"/>
    <s v="Senior Level"/>
    <s v="Strong"/>
    <s v="Beginner"/>
    <s v="Needs Improvement"/>
    <x v="1"/>
    <n v="53"/>
    <s v="Developing"/>
    <x v="2"/>
    <s v="Personality &amp; Communication"/>
    <s v="Work on communication and personality development"/>
  </r>
  <r>
    <n v="45"/>
    <n v="1"/>
    <n v="2"/>
    <n v="8"/>
    <n v="1"/>
    <n v="23.1167729025107"/>
    <n v="10"/>
    <n v="6"/>
    <n v="12"/>
    <n v="2"/>
    <n v="0"/>
    <s v="C1332"/>
    <s v="Female"/>
    <s v="Bachelor's Type 2"/>
    <s v="Senior Level"/>
    <s v="Low"/>
    <s v="Beginner"/>
    <s v="Needs Improvement"/>
    <x v="1"/>
    <n v="18"/>
    <s v="Needs Improvement"/>
    <x v="0"/>
    <s v="Technical Skills"/>
    <s v="Strengthen technical skills and practical knowledge"/>
  </r>
  <r>
    <n v="41"/>
    <n v="0"/>
    <n v="4"/>
    <n v="0"/>
    <n v="1"/>
    <n v="34.433544244894598"/>
    <n v="19"/>
    <n v="56"/>
    <n v="98"/>
    <n v="2"/>
    <n v="0"/>
    <s v="C1333"/>
    <s v="Male"/>
    <s v="PhD"/>
    <s v="Entry Level"/>
    <s v="Low"/>
    <s v="Intermediate"/>
    <s v="Strong"/>
    <x v="1"/>
    <n v="47"/>
    <s v="Needs Improvement"/>
    <x v="0"/>
    <s v="Interview Preparation"/>
    <s v="Improve interview preparation and communication"/>
  </r>
  <r>
    <n v="23"/>
    <n v="1"/>
    <n v="1"/>
    <n v="2"/>
    <n v="5"/>
    <n v="16.770819562934101"/>
    <n v="23"/>
    <n v="7"/>
    <n v="50"/>
    <n v="3"/>
    <n v="0"/>
    <s v="C1334"/>
    <s v="Female"/>
    <s v="Bachelor's Type 1"/>
    <s v="Entry Level"/>
    <s v="Low"/>
    <s v="Beginner"/>
    <s v="Good"/>
    <x v="1"/>
    <n v="24"/>
    <s v="Needs Improvement"/>
    <x v="0"/>
    <s v="Technical Skills"/>
    <s v="Strengthen technical skills and practical knowledge"/>
  </r>
  <r>
    <n v="38"/>
    <n v="1"/>
    <n v="2"/>
    <n v="2"/>
    <n v="4"/>
    <n v="35.129963989065203"/>
    <n v="63"/>
    <n v="55"/>
    <n v="31"/>
    <n v="2"/>
    <n v="0"/>
    <s v="C1335"/>
    <s v="Female"/>
    <s v="Bachelor's Type 2"/>
    <s v="Entry Level"/>
    <s v="Average"/>
    <s v="Intermediate"/>
    <s v="Needs Improvement"/>
    <x v="1"/>
    <n v="46"/>
    <s v="Needs Improvement"/>
    <x v="2"/>
    <s v="Personality &amp; Communication"/>
    <s v="Work on communication and personality development"/>
  </r>
  <r>
    <n v="39"/>
    <n v="0"/>
    <n v="2"/>
    <n v="10"/>
    <n v="2"/>
    <n v="44.574427087869402"/>
    <n v="79"/>
    <n v="30"/>
    <n v="74"/>
    <n v="2"/>
    <n v="0"/>
    <s v="C1336"/>
    <s v="Male"/>
    <s v="Bachelor's Type 2"/>
    <s v="Senior Level"/>
    <s v="Strong"/>
    <s v="Beginner"/>
    <s v="Good"/>
    <x v="1"/>
    <n v="60"/>
    <s v="Developing"/>
    <x v="2"/>
    <s v="Technical Skills"/>
    <s v="Strengthen technical skills and practical knowledge"/>
  </r>
  <r>
    <n v="20"/>
    <n v="0"/>
    <n v="2"/>
    <n v="7"/>
    <n v="2"/>
    <n v="12.874302118109901"/>
    <n v="93"/>
    <n v="58"/>
    <n v="23"/>
    <n v="1"/>
    <n v="1"/>
    <s v="C1337"/>
    <s v="Male"/>
    <s v="Bachelor's Type 2"/>
    <s v="Senior Level"/>
    <s v="Strong"/>
    <s v="Intermediate"/>
    <s v="Needs Improvement"/>
    <x v="0"/>
    <n v="59"/>
    <s v="Developing"/>
    <x v="2"/>
    <s v="Personality &amp; Communication"/>
    <s v="Work on communication and personality development"/>
  </r>
  <r>
    <n v="39"/>
    <n v="1"/>
    <n v="3"/>
    <n v="0"/>
    <n v="2"/>
    <n v="49.9459778059949"/>
    <n v="97"/>
    <n v="57"/>
    <n v="34"/>
    <n v="2"/>
    <n v="0"/>
    <s v="C1338"/>
    <s v="Female"/>
    <s v="Master's"/>
    <s v="Entry Level"/>
    <s v="Strong"/>
    <s v="Intermediate"/>
    <s v="Needs Improvement"/>
    <x v="1"/>
    <n v="57"/>
    <s v="Developing"/>
    <x v="2"/>
    <s v="Personality &amp; Communication"/>
    <s v="Work on communication and personality development"/>
  </r>
  <r>
    <n v="36"/>
    <n v="0"/>
    <n v="2"/>
    <n v="4"/>
    <n v="4"/>
    <n v="20.318406856840301"/>
    <n v="64"/>
    <n v="11"/>
    <n v="82"/>
    <n v="1"/>
    <n v="0"/>
    <s v="C1339"/>
    <s v="Male"/>
    <s v="Bachelor's Type 2"/>
    <s v="Mid Level"/>
    <s v="Average"/>
    <s v="Beginner"/>
    <s v="Strong"/>
    <x v="1"/>
    <n v="45"/>
    <s v="Needs Improvement"/>
    <x v="0"/>
    <s v="Technical Skills"/>
    <s v="Strengthen technical skills and practical knowledge"/>
  </r>
  <r>
    <n v="31"/>
    <n v="1"/>
    <n v="2"/>
    <n v="2"/>
    <n v="5"/>
    <n v="14.362934257353"/>
    <n v="87"/>
    <n v="47"/>
    <n v="69"/>
    <n v="2"/>
    <n v="0"/>
    <s v="C1340"/>
    <s v="Female"/>
    <s v="Bachelor's Type 2"/>
    <s v="Entry Level"/>
    <s v="Strong"/>
    <s v="Beginner"/>
    <s v="Good"/>
    <x v="1"/>
    <n v="59"/>
    <s v="Developing"/>
    <x v="2"/>
    <s v="Technical Skills"/>
    <s v="Strengthen technical skills and practical knowledge"/>
  </r>
  <r>
    <n v="34"/>
    <n v="0"/>
    <n v="2"/>
    <n v="1"/>
    <n v="4"/>
    <n v="22.075559125514499"/>
    <n v="87"/>
    <n v="30"/>
    <n v="39"/>
    <n v="3"/>
    <n v="0"/>
    <s v="C1341"/>
    <s v="Male"/>
    <s v="Bachelor's Type 2"/>
    <s v="Entry Level"/>
    <s v="Strong"/>
    <s v="Beginner"/>
    <s v="Needs Improvement"/>
    <x v="1"/>
    <n v="46"/>
    <s v="Needs Improvement"/>
    <x v="2"/>
    <s v="Technical Skills"/>
    <s v="Strengthen technical skills and practical knowledge"/>
  </r>
  <r>
    <n v="20"/>
    <n v="0"/>
    <n v="3"/>
    <n v="14"/>
    <n v="1"/>
    <n v="5.7198737951929504"/>
    <n v="72"/>
    <n v="82"/>
    <n v="53"/>
    <n v="2"/>
    <n v="1"/>
    <s v="C1342"/>
    <s v="Male"/>
    <s v="Master's"/>
    <s v="Senior Level"/>
    <s v="Average"/>
    <s v="Advanced"/>
    <s v="Good"/>
    <x v="0"/>
    <n v="75"/>
    <s v="Job Ready"/>
    <x v="1"/>
    <s v="Personality &amp; Communication"/>
    <s v="Work on communication and personality development"/>
  </r>
  <r>
    <n v="45"/>
    <n v="0"/>
    <n v="1"/>
    <n v="7"/>
    <n v="1"/>
    <n v="7.2852953256057802"/>
    <n v="85"/>
    <n v="62"/>
    <n v="43"/>
    <n v="2"/>
    <n v="0"/>
    <s v="C1343"/>
    <s v="Male"/>
    <s v="Bachelor's Type 1"/>
    <s v="Senior Level"/>
    <s v="Strong"/>
    <s v="Intermediate"/>
    <s v="Needs Improvement"/>
    <x v="1"/>
    <n v="62"/>
    <s v="Developing"/>
    <x v="2"/>
    <s v="Personality &amp; Communication"/>
    <s v="Work on communication and personality development"/>
  </r>
  <r>
    <n v="33"/>
    <n v="1"/>
    <n v="2"/>
    <n v="2"/>
    <n v="2"/>
    <n v="21.7217023484165"/>
    <n v="75"/>
    <n v="73"/>
    <n v="61"/>
    <n v="2"/>
    <n v="0"/>
    <s v="C1344"/>
    <s v="Female"/>
    <s v="Bachelor's Type 2"/>
    <s v="Entry Level"/>
    <s v="Strong"/>
    <s v="Intermediate"/>
    <s v="Good"/>
    <x v="1"/>
    <n v="61"/>
    <s v="Developing"/>
    <x v="2"/>
    <s v="Personality &amp; Communication"/>
    <s v="Work on communication and personality development"/>
  </r>
  <r>
    <n v="25"/>
    <n v="0"/>
    <n v="4"/>
    <n v="6"/>
    <n v="3"/>
    <n v="39.122226096955004"/>
    <n v="16"/>
    <n v="38"/>
    <n v="98"/>
    <n v="2"/>
    <n v="0"/>
    <s v="C1345"/>
    <s v="Male"/>
    <s v="PhD"/>
    <s v="Mid Level"/>
    <s v="Low"/>
    <s v="Beginner"/>
    <s v="Strong"/>
    <x v="1"/>
    <n v="47"/>
    <s v="Needs Improvement"/>
    <x v="0"/>
    <s v="Interview Preparation"/>
    <s v="Improve interview preparation and communication"/>
  </r>
  <r>
    <n v="24"/>
    <n v="1"/>
    <n v="3"/>
    <n v="11"/>
    <n v="2"/>
    <n v="46.0156119787245"/>
    <n v="88"/>
    <n v="75"/>
    <n v="67"/>
    <n v="2"/>
    <n v="1"/>
    <s v="C1346"/>
    <s v="Female"/>
    <s v="Master's"/>
    <s v="Senior Level"/>
    <s v="Strong"/>
    <s v="Advanced"/>
    <s v="Good"/>
    <x v="0"/>
    <n v="77"/>
    <s v="Job Ready"/>
    <x v="2"/>
    <s v="Personality &amp; Communication"/>
    <s v="Work on communication and personality development"/>
  </r>
  <r>
    <n v="49"/>
    <n v="1"/>
    <n v="2"/>
    <n v="10"/>
    <n v="3"/>
    <n v="34.240899535813497"/>
    <n v="91"/>
    <n v="19"/>
    <n v="32"/>
    <n v="2"/>
    <n v="0"/>
    <s v="C1347"/>
    <s v="Female"/>
    <s v="Bachelor's Type 2"/>
    <s v="Senior Level"/>
    <s v="Strong"/>
    <s v="Beginner"/>
    <s v="Needs Improvement"/>
    <x v="1"/>
    <n v="52"/>
    <s v="Developing"/>
    <x v="2"/>
    <s v="Technical Skills"/>
    <s v="Strengthen technical skills and practical knowledge"/>
  </r>
  <r>
    <n v="30"/>
    <n v="1"/>
    <n v="3"/>
    <n v="0"/>
    <n v="4"/>
    <n v="6.2609777619084799"/>
    <n v="60"/>
    <n v="100"/>
    <n v="76"/>
    <n v="1"/>
    <n v="1"/>
    <s v="C1348"/>
    <s v="Female"/>
    <s v="Master's"/>
    <s v="Entry Level"/>
    <s v="Average"/>
    <s v="Advanced"/>
    <s v="Strong"/>
    <x v="0"/>
    <n v="67"/>
    <s v="Developing"/>
    <x v="1"/>
    <s v="Interview Preparation"/>
    <s v="Improve interview preparation and communication"/>
  </r>
  <r>
    <n v="50"/>
    <n v="1"/>
    <n v="3"/>
    <n v="5"/>
    <n v="1"/>
    <n v="34.600988109026702"/>
    <n v="14"/>
    <n v="47"/>
    <n v="55"/>
    <n v="1"/>
    <n v="0"/>
    <s v="C1349"/>
    <s v="Female"/>
    <s v="Master's"/>
    <s v="Mid Level"/>
    <s v="Low"/>
    <s v="Beginner"/>
    <s v="Good"/>
    <x v="1"/>
    <n v="38"/>
    <s v="Needs Improvement"/>
    <x v="0"/>
    <s v="Interview Preparation"/>
    <s v="Improve interview preparation and communication"/>
  </r>
  <r>
    <n v="23"/>
    <n v="0"/>
    <n v="3"/>
    <n v="2"/>
    <n v="3"/>
    <n v="32.771396035148598"/>
    <n v="93"/>
    <n v="70"/>
    <n v="35"/>
    <n v="2"/>
    <n v="0"/>
    <s v="C1350"/>
    <s v="Male"/>
    <s v="Master's"/>
    <s v="Entry Level"/>
    <s v="Strong"/>
    <s v="Intermediate"/>
    <s v="Needs Improvement"/>
    <x v="1"/>
    <n v="62"/>
    <s v="Developing"/>
    <x v="2"/>
    <s v="Personality &amp; Communication"/>
    <s v="Work on communication and personality development"/>
  </r>
  <r>
    <n v="32"/>
    <n v="1"/>
    <n v="2"/>
    <n v="7"/>
    <n v="4"/>
    <n v="41.288195914666503"/>
    <n v="50"/>
    <n v="53"/>
    <n v="53"/>
    <n v="2"/>
    <n v="0"/>
    <s v="C1351"/>
    <s v="Female"/>
    <s v="Bachelor's Type 2"/>
    <s v="Senior Level"/>
    <s v="Average"/>
    <s v="Intermediate"/>
    <s v="Good"/>
    <x v="1"/>
    <n v="51"/>
    <s v="Developing"/>
    <x v="1"/>
    <s v="Interview Preparation"/>
    <s v="Improve interview preparation and communication"/>
  </r>
  <r>
    <n v="30"/>
    <n v="1"/>
    <n v="2"/>
    <n v="5"/>
    <n v="1"/>
    <n v="42.262433332609"/>
    <n v="26"/>
    <n v="77"/>
    <n v="18"/>
    <n v="1"/>
    <n v="0"/>
    <s v="C1352"/>
    <s v="Female"/>
    <s v="Bachelor's Type 2"/>
    <s v="Mid Level"/>
    <s v="Low"/>
    <s v="Advanced"/>
    <s v="Needs Improvement"/>
    <x v="1"/>
    <n v="42"/>
    <s v="Needs Improvement"/>
    <x v="1"/>
    <s v="Personality &amp; Communication"/>
    <s v="Work on communication and personality development"/>
  </r>
  <r>
    <n v="22"/>
    <n v="0"/>
    <n v="2"/>
    <n v="11"/>
    <n v="3"/>
    <n v="44.410153788948897"/>
    <n v="85"/>
    <n v="74"/>
    <n v="42"/>
    <n v="2"/>
    <n v="0"/>
    <s v="C1353"/>
    <s v="Male"/>
    <s v="Bachelor's Type 2"/>
    <s v="Senior Level"/>
    <s v="Strong"/>
    <s v="Intermediate"/>
    <s v="Needs Improvement"/>
    <x v="1"/>
    <n v="70"/>
    <s v="Developing"/>
    <x v="2"/>
    <s v="Personality &amp; Communication"/>
    <s v="Work on communication and personality development"/>
  </r>
  <r>
    <n v="20"/>
    <n v="1"/>
    <n v="2"/>
    <n v="1"/>
    <n v="2"/>
    <n v="21.706575728954899"/>
    <n v="73"/>
    <n v="70"/>
    <n v="11"/>
    <n v="1"/>
    <n v="1"/>
    <s v="C1354"/>
    <s v="Female"/>
    <s v="Bachelor's Type 2"/>
    <s v="Entry Level"/>
    <s v="Average"/>
    <s v="Intermediate"/>
    <s v="Needs Improvement"/>
    <x v="0"/>
    <n v="49"/>
    <s v="Needs Improvement"/>
    <x v="2"/>
    <s v="Personality &amp; Communication"/>
    <s v="Work on communication and personality development"/>
  </r>
  <r>
    <n v="25"/>
    <n v="0"/>
    <n v="2"/>
    <n v="5"/>
    <n v="2"/>
    <n v="35.893219767607199"/>
    <n v="60"/>
    <n v="28"/>
    <n v="10"/>
    <n v="1"/>
    <n v="0"/>
    <s v="C1355"/>
    <s v="Male"/>
    <s v="Bachelor's Type 2"/>
    <s v="Mid Level"/>
    <s v="Average"/>
    <s v="Beginner"/>
    <s v="Needs Improvement"/>
    <x v="1"/>
    <n v="36"/>
    <s v="Needs Improvement"/>
    <x v="2"/>
    <s v="Personality &amp; Communication"/>
    <s v="Work on communication and personality development"/>
  </r>
  <r>
    <n v="37"/>
    <n v="1"/>
    <n v="1"/>
    <n v="6"/>
    <n v="2"/>
    <n v="14.4125179461155"/>
    <n v="57"/>
    <n v="73"/>
    <n v="69"/>
    <n v="2"/>
    <n v="0"/>
    <s v="C1356"/>
    <s v="Female"/>
    <s v="Bachelor's Type 1"/>
    <s v="Mid Level"/>
    <s v="Average"/>
    <s v="Intermediate"/>
    <s v="Good"/>
    <x v="1"/>
    <n v="61"/>
    <s v="Developing"/>
    <x v="1"/>
    <s v="Interview Preparation"/>
    <s v="Improve interview preparation and communication"/>
  </r>
  <r>
    <n v="43"/>
    <n v="0"/>
    <n v="2"/>
    <n v="4"/>
    <n v="4"/>
    <n v="50.966813999175201"/>
    <n v="30"/>
    <n v="92"/>
    <n v="11"/>
    <n v="2"/>
    <n v="0"/>
    <s v="C1357"/>
    <s v="Male"/>
    <s v="Bachelor's Type 2"/>
    <s v="Mid Level"/>
    <s v="Low"/>
    <s v="Advanced"/>
    <s v="Needs Improvement"/>
    <x v="1"/>
    <n v="45"/>
    <s v="Needs Improvement"/>
    <x v="1"/>
    <s v="Personality &amp; Communication"/>
    <s v="Work on communication and personality development"/>
  </r>
  <r>
    <n v="29"/>
    <n v="1"/>
    <n v="2"/>
    <n v="2"/>
    <n v="2"/>
    <n v="9.76671206884299"/>
    <n v="90"/>
    <n v="72"/>
    <n v="90"/>
    <n v="2"/>
    <n v="0"/>
    <s v="C1358"/>
    <s v="Female"/>
    <s v="Bachelor's Type 2"/>
    <s v="Entry Level"/>
    <s v="Strong"/>
    <s v="Intermediate"/>
    <s v="Strong"/>
    <x v="1"/>
    <n v="71"/>
    <s v="Developing"/>
    <x v="2"/>
    <s v="Technical Skills"/>
    <s v="Strengthen technical skills and practical knowledge"/>
  </r>
  <r>
    <n v="24"/>
    <n v="0"/>
    <n v="2"/>
    <n v="3"/>
    <n v="5"/>
    <n v="1.50572158304179"/>
    <n v="11"/>
    <n v="99"/>
    <n v="40"/>
    <n v="2"/>
    <n v="0"/>
    <s v="C1359"/>
    <s v="Male"/>
    <s v="Bachelor's Type 2"/>
    <s v="Mid Level"/>
    <s v="Low"/>
    <s v="Advanced"/>
    <s v="Needs Improvement"/>
    <x v="1"/>
    <n v="47"/>
    <s v="Needs Improvement"/>
    <x v="1"/>
    <s v="Interview Preparation"/>
    <s v="Improve interview preparation and communication"/>
  </r>
  <r>
    <n v="42"/>
    <n v="1"/>
    <n v="3"/>
    <n v="3"/>
    <n v="1"/>
    <n v="8.4404357259088005"/>
    <n v="45"/>
    <n v="47"/>
    <n v="24"/>
    <n v="3"/>
    <n v="0"/>
    <s v="C1360"/>
    <s v="Female"/>
    <s v="Master's"/>
    <s v="Mid Level"/>
    <s v="Low"/>
    <s v="Beginner"/>
    <s v="Needs Improvement"/>
    <x v="1"/>
    <n v="39"/>
    <s v="Needs Improvement"/>
    <x v="1"/>
    <s v="Personality &amp; Communication"/>
    <s v="Work on communication and personality development"/>
  </r>
  <r>
    <n v="29"/>
    <n v="1"/>
    <n v="2"/>
    <n v="5"/>
    <n v="4"/>
    <n v="39.793614477206297"/>
    <n v="30"/>
    <n v="73"/>
    <n v="2"/>
    <n v="2"/>
    <n v="0"/>
    <s v="C1361"/>
    <s v="Female"/>
    <s v="Bachelor's Type 2"/>
    <s v="Mid Level"/>
    <s v="Low"/>
    <s v="Intermediate"/>
    <s v="Needs Improvement"/>
    <x v="1"/>
    <n v="39"/>
    <s v="Needs Improvement"/>
    <x v="1"/>
    <s v="Personality &amp; Communication"/>
    <s v="Work on communication and personality development"/>
  </r>
  <r>
    <n v="31"/>
    <n v="0"/>
    <n v="1"/>
    <n v="9"/>
    <n v="2"/>
    <n v="23.339183825410501"/>
    <n v="31"/>
    <n v="82"/>
    <n v="2"/>
    <n v="1"/>
    <n v="1"/>
    <s v="C1362"/>
    <s v="Male"/>
    <s v="Bachelor's Type 1"/>
    <s v="Senior Level"/>
    <s v="Low"/>
    <s v="Advanced"/>
    <s v="Needs Improvement"/>
    <x v="0"/>
    <n v="46"/>
    <s v="Needs Improvement"/>
    <x v="1"/>
    <s v="Personality &amp; Communication"/>
    <s v="Work on communication and personality development"/>
  </r>
  <r>
    <n v="21"/>
    <n v="0"/>
    <n v="3"/>
    <n v="0"/>
    <n v="1"/>
    <n v="23.375012390521398"/>
    <n v="31"/>
    <n v="55"/>
    <n v="83"/>
    <n v="2"/>
    <n v="0"/>
    <s v="C1363"/>
    <s v="Male"/>
    <s v="Master's"/>
    <s v="Entry Level"/>
    <s v="Low"/>
    <s v="Intermediate"/>
    <s v="Strong"/>
    <x v="1"/>
    <n v="46"/>
    <s v="Needs Improvement"/>
    <x v="0"/>
    <s v="Interview Preparation"/>
    <s v="Improve interview preparation and communication"/>
  </r>
  <r>
    <n v="32"/>
    <n v="0"/>
    <n v="1"/>
    <n v="10"/>
    <n v="3"/>
    <n v="48.751145980583402"/>
    <n v="98"/>
    <n v="94"/>
    <n v="27"/>
    <n v="1"/>
    <n v="1"/>
    <s v="C1364"/>
    <s v="Male"/>
    <s v="Bachelor's Type 1"/>
    <s v="Senior Level"/>
    <s v="Strong"/>
    <s v="Advanced"/>
    <s v="Needs Improvement"/>
    <x v="0"/>
    <n v="76"/>
    <s v="Job Ready"/>
    <x v="2"/>
    <s v="Personality &amp; Communication"/>
    <s v="Work on communication and personality development"/>
  </r>
  <r>
    <n v="27"/>
    <n v="0"/>
    <n v="3"/>
    <n v="3"/>
    <n v="2"/>
    <n v="46.9817454014037"/>
    <n v="52"/>
    <n v="16"/>
    <n v="22"/>
    <n v="3"/>
    <n v="0"/>
    <s v="C1365"/>
    <s v="Male"/>
    <s v="Master's"/>
    <s v="Mid Level"/>
    <s v="Average"/>
    <s v="Beginner"/>
    <s v="Needs Improvement"/>
    <x v="1"/>
    <n v="32"/>
    <s v="Needs Improvement"/>
    <x v="2"/>
    <s v="Technical Skills"/>
    <s v="Strengthen technical skills and practical knowledge"/>
  </r>
  <r>
    <n v="21"/>
    <n v="1"/>
    <n v="3"/>
    <n v="9"/>
    <n v="1"/>
    <n v="16.559736890200401"/>
    <n v="60"/>
    <n v="8"/>
    <n v="47"/>
    <n v="1"/>
    <n v="1"/>
    <s v="C1366"/>
    <s v="Female"/>
    <s v="Master's"/>
    <s v="Senior Level"/>
    <s v="Average"/>
    <s v="Beginner"/>
    <s v="Needs Improvement"/>
    <x v="0"/>
    <n v="43"/>
    <s v="Needs Improvement"/>
    <x v="2"/>
    <s v="Technical Skills"/>
    <s v="Strengthen technical skills and practical knowledge"/>
  </r>
  <r>
    <n v="39"/>
    <n v="1"/>
    <n v="2"/>
    <n v="12"/>
    <n v="5"/>
    <n v="11.4529064390433"/>
    <n v="45"/>
    <n v="96"/>
    <n v="66"/>
    <n v="2"/>
    <n v="0"/>
    <s v="C1367"/>
    <s v="Female"/>
    <s v="Bachelor's Type 2"/>
    <s v="Senior Level"/>
    <s v="Low"/>
    <s v="Advanced"/>
    <s v="Good"/>
    <x v="1"/>
    <n v="70"/>
    <s v="Developing"/>
    <x v="1"/>
    <s v="Interview Preparation"/>
    <s v="Improve interview preparation and communication"/>
  </r>
  <r>
    <n v="20"/>
    <n v="0"/>
    <n v="3"/>
    <n v="3"/>
    <n v="3"/>
    <n v="43.4241104966869"/>
    <n v="84"/>
    <n v="33"/>
    <n v="41"/>
    <n v="1"/>
    <n v="1"/>
    <s v="C1368"/>
    <s v="Male"/>
    <s v="Master's"/>
    <s v="Mid Level"/>
    <s v="Strong"/>
    <s v="Beginner"/>
    <s v="Needs Improvement"/>
    <x v="0"/>
    <n v="50"/>
    <s v="Developing"/>
    <x v="2"/>
    <s v="Technical Skills"/>
    <s v="Strengthen technical skills and practical knowledge"/>
  </r>
  <r>
    <n v="50"/>
    <n v="1"/>
    <n v="2"/>
    <n v="9"/>
    <n v="5"/>
    <n v="46.300953552218097"/>
    <n v="73"/>
    <n v="44"/>
    <n v="87"/>
    <n v="3"/>
    <n v="0"/>
    <s v="C1369"/>
    <s v="Female"/>
    <s v="Bachelor's Type 2"/>
    <s v="Senior Level"/>
    <s v="Average"/>
    <s v="Beginner"/>
    <s v="Strong"/>
    <x v="1"/>
    <n v="64"/>
    <s v="Developing"/>
    <x v="0"/>
    <s v="Technical Skills"/>
    <s v="Strengthen technical skills and practical knowledge"/>
  </r>
  <r>
    <n v="24"/>
    <n v="0"/>
    <n v="2"/>
    <n v="15"/>
    <n v="1"/>
    <n v="28.0798461399243"/>
    <n v="79"/>
    <n v="87"/>
    <n v="39"/>
    <n v="2"/>
    <n v="0"/>
    <s v="C1370"/>
    <s v="Male"/>
    <s v="Bachelor's Type 2"/>
    <s v="Senior Level"/>
    <s v="Strong"/>
    <s v="Advanced"/>
    <s v="Needs Improvement"/>
    <x v="1"/>
    <n v="75"/>
    <s v="Job Ready"/>
    <x v="1"/>
    <s v="Personality &amp; Communication"/>
    <s v="Work on communication and personality development"/>
  </r>
  <r>
    <n v="28"/>
    <n v="0"/>
    <n v="1"/>
    <n v="0"/>
    <n v="5"/>
    <n v="32.471185555855001"/>
    <n v="6"/>
    <n v="8"/>
    <n v="5"/>
    <n v="3"/>
    <n v="0"/>
    <s v="C1371"/>
    <s v="Male"/>
    <s v="Bachelor's Type 1"/>
    <s v="Entry Level"/>
    <s v="Low"/>
    <s v="Beginner"/>
    <s v="Needs Improvement"/>
    <x v="1"/>
    <n v="8"/>
    <s v="Needs Improvement"/>
    <x v="1"/>
    <s v="Personality &amp; Communication"/>
    <s v="Work on communication and personality development"/>
  </r>
  <r>
    <n v="36"/>
    <n v="1"/>
    <n v="2"/>
    <n v="8"/>
    <n v="1"/>
    <n v="13.845714234614601"/>
    <n v="3"/>
    <n v="6"/>
    <n v="19"/>
    <n v="1"/>
    <n v="0"/>
    <s v="C1372"/>
    <s v="Female"/>
    <s v="Bachelor's Type 2"/>
    <s v="Senior Level"/>
    <s v="Low"/>
    <s v="Beginner"/>
    <s v="Needs Improvement"/>
    <x v="1"/>
    <n v="17"/>
    <s v="Needs Improvement"/>
    <x v="0"/>
    <s v="Interview Preparation"/>
    <s v="Improve interview preparation and communication"/>
  </r>
  <r>
    <n v="28"/>
    <n v="1"/>
    <n v="4"/>
    <n v="3"/>
    <n v="1"/>
    <n v="41.040134398926199"/>
    <n v="90"/>
    <n v="15"/>
    <n v="10"/>
    <n v="1"/>
    <n v="1"/>
    <s v="C1373"/>
    <s v="Female"/>
    <s v="PhD"/>
    <s v="Mid Level"/>
    <s v="Strong"/>
    <s v="Beginner"/>
    <s v="Needs Improvement"/>
    <x v="0"/>
    <n v="42"/>
    <s v="Needs Improvement"/>
    <x v="2"/>
    <s v="Personality &amp; Communication"/>
    <s v="Work on communication and personality development"/>
  </r>
  <r>
    <n v="30"/>
    <n v="1"/>
    <n v="2"/>
    <n v="6"/>
    <n v="5"/>
    <n v="32.606121422451103"/>
    <n v="51"/>
    <n v="18"/>
    <n v="95"/>
    <n v="1"/>
    <n v="1"/>
    <s v="C1374"/>
    <s v="Female"/>
    <s v="Bachelor's Type 2"/>
    <s v="Mid Level"/>
    <s v="Average"/>
    <s v="Beginner"/>
    <s v="Strong"/>
    <x v="0"/>
    <n v="48"/>
    <s v="Needs Improvement"/>
    <x v="0"/>
    <s v="Technical Skills"/>
    <s v="Strengthen technical skills and practical knowledge"/>
  </r>
  <r>
    <n v="34"/>
    <n v="1"/>
    <n v="2"/>
    <n v="11"/>
    <n v="1"/>
    <n v="26.175675564899802"/>
    <n v="88"/>
    <n v="5"/>
    <n v="26"/>
    <n v="3"/>
    <n v="0"/>
    <s v="C1375"/>
    <s v="Female"/>
    <s v="Bachelor's Type 2"/>
    <s v="Senior Level"/>
    <s v="Strong"/>
    <s v="Beginner"/>
    <s v="Needs Improvement"/>
    <x v="1"/>
    <n v="47"/>
    <s v="Needs Improvement"/>
    <x v="2"/>
    <s v="Technical Skills"/>
    <s v="Strengthen technical skills and practical knowledge"/>
  </r>
  <r>
    <n v="43"/>
    <n v="1"/>
    <n v="2"/>
    <n v="13"/>
    <n v="2"/>
    <n v="4.0054278039197904"/>
    <n v="30"/>
    <n v="10"/>
    <n v="20"/>
    <n v="3"/>
    <n v="0"/>
    <s v="C1376"/>
    <s v="Female"/>
    <s v="Bachelor's Type 2"/>
    <s v="Senior Level"/>
    <s v="Low"/>
    <s v="Beginner"/>
    <s v="Needs Improvement"/>
    <x v="1"/>
    <n v="32"/>
    <s v="Needs Improvement"/>
    <x v="2"/>
    <s v="Technical Skills"/>
    <s v="Strengthen technical skills and practical knowledge"/>
  </r>
  <r>
    <n v="25"/>
    <n v="1"/>
    <n v="2"/>
    <n v="2"/>
    <n v="1"/>
    <n v="46.796748125557599"/>
    <n v="74"/>
    <n v="75"/>
    <n v="12"/>
    <n v="1"/>
    <n v="1"/>
    <s v="C1377"/>
    <s v="Female"/>
    <s v="Bachelor's Type 2"/>
    <s v="Entry Level"/>
    <s v="Average"/>
    <s v="Advanced"/>
    <s v="Needs Improvement"/>
    <x v="0"/>
    <n v="52"/>
    <s v="Developing"/>
    <x v="1"/>
    <s v="Personality &amp; Communication"/>
    <s v="Work on communication and personality development"/>
  </r>
  <r>
    <n v="42"/>
    <n v="1"/>
    <n v="1"/>
    <n v="9"/>
    <n v="4"/>
    <n v="31.772571019220301"/>
    <n v="83"/>
    <n v="60"/>
    <n v="85"/>
    <n v="1"/>
    <n v="1"/>
    <s v="C1378"/>
    <s v="Female"/>
    <s v="Bachelor's Type 1"/>
    <s v="Senior Level"/>
    <s v="Strong"/>
    <s v="Intermediate"/>
    <s v="Strong"/>
    <x v="0"/>
    <n v="71"/>
    <s v="Developing"/>
    <x v="0"/>
    <s v="Technical Skills"/>
    <s v="Strengthen technical skills and practical knowledge"/>
  </r>
  <r>
    <n v="22"/>
    <n v="0"/>
    <n v="2"/>
    <n v="11"/>
    <n v="1"/>
    <n v="10.634554734648299"/>
    <n v="35"/>
    <n v="41"/>
    <n v="34"/>
    <n v="2"/>
    <n v="0"/>
    <s v="C1379"/>
    <s v="Male"/>
    <s v="Bachelor's Type 2"/>
    <s v="Senior Level"/>
    <s v="Low"/>
    <s v="Beginner"/>
    <s v="Needs Improvement"/>
    <x v="1"/>
    <n v="43"/>
    <s v="Needs Improvement"/>
    <x v="1"/>
    <s v="Personality &amp; Communication"/>
    <s v="Work on communication and personality development"/>
  </r>
  <r>
    <n v="49"/>
    <n v="0"/>
    <n v="3"/>
    <n v="2"/>
    <n v="4"/>
    <n v="31.319305849152599"/>
    <n v="53"/>
    <n v="12"/>
    <n v="46"/>
    <n v="1"/>
    <n v="0"/>
    <s v="C1380"/>
    <s v="Male"/>
    <s v="Master's"/>
    <s v="Entry Level"/>
    <s v="Average"/>
    <s v="Beginner"/>
    <s v="Needs Improvement"/>
    <x v="1"/>
    <n v="34"/>
    <s v="Needs Improvement"/>
    <x v="2"/>
    <s v="Technical Skills"/>
    <s v="Strengthen technical skills and practical knowledge"/>
  </r>
  <r>
    <n v="50"/>
    <n v="0"/>
    <n v="2"/>
    <n v="13"/>
    <n v="1"/>
    <n v="34.873167711998597"/>
    <n v="53"/>
    <n v="11"/>
    <n v="85"/>
    <n v="1"/>
    <n v="1"/>
    <s v="C1381"/>
    <s v="Male"/>
    <s v="Bachelor's Type 2"/>
    <s v="Senior Level"/>
    <s v="Average"/>
    <s v="Beginner"/>
    <s v="Strong"/>
    <x v="0"/>
    <n v="52"/>
    <s v="Developing"/>
    <x v="0"/>
    <s v="Technical Skills"/>
    <s v="Strengthen technical skills and practical knowledge"/>
  </r>
  <r>
    <n v="36"/>
    <n v="0"/>
    <n v="2"/>
    <n v="7"/>
    <n v="1"/>
    <n v="27.2885168341612"/>
    <n v="16"/>
    <n v="84"/>
    <n v="27"/>
    <n v="1"/>
    <n v="1"/>
    <s v="C1382"/>
    <s v="Male"/>
    <s v="Bachelor's Type 2"/>
    <s v="Senior Level"/>
    <s v="Low"/>
    <s v="Advanced"/>
    <s v="Needs Improvement"/>
    <x v="0"/>
    <n v="45"/>
    <s v="Needs Improvement"/>
    <x v="1"/>
    <s v="Interview Preparation"/>
    <s v="Improve interview preparation and communication"/>
  </r>
  <r>
    <n v="24"/>
    <n v="0"/>
    <n v="1"/>
    <n v="7"/>
    <n v="5"/>
    <n v="36.905086897801098"/>
    <n v="74"/>
    <n v="73"/>
    <n v="20"/>
    <n v="1"/>
    <n v="1"/>
    <s v="C1383"/>
    <s v="Male"/>
    <s v="Bachelor's Type 1"/>
    <s v="Senior Level"/>
    <s v="Average"/>
    <s v="Intermediate"/>
    <s v="Needs Improvement"/>
    <x v="0"/>
    <n v="58"/>
    <s v="Developing"/>
    <x v="2"/>
    <s v="Personality &amp; Communication"/>
    <s v="Work on communication and personality development"/>
  </r>
  <r>
    <n v="49"/>
    <n v="1"/>
    <n v="2"/>
    <n v="10"/>
    <n v="2"/>
    <n v="30.072697396431199"/>
    <n v="29"/>
    <n v="19"/>
    <n v="17"/>
    <n v="1"/>
    <n v="1"/>
    <s v="C1384"/>
    <s v="Female"/>
    <s v="Bachelor's Type 2"/>
    <s v="Senior Level"/>
    <s v="Low"/>
    <s v="Beginner"/>
    <s v="Needs Improvement"/>
    <x v="0"/>
    <n v="30"/>
    <s v="Needs Improvement"/>
    <x v="2"/>
    <s v="Personality &amp; Communication"/>
    <s v="Work on communication and personality development"/>
  </r>
  <r>
    <n v="47"/>
    <n v="0"/>
    <n v="3"/>
    <n v="11"/>
    <n v="2"/>
    <n v="48.388479101607402"/>
    <n v="98"/>
    <n v="49"/>
    <n v="30"/>
    <n v="1"/>
    <n v="0"/>
    <s v="C1385"/>
    <s v="Male"/>
    <s v="Master's"/>
    <s v="Senior Level"/>
    <s v="Strong"/>
    <s v="Beginner"/>
    <s v="Needs Improvement"/>
    <x v="1"/>
    <n v="65"/>
    <s v="Developing"/>
    <x v="2"/>
    <s v="Personality &amp; Communication"/>
    <s v="Work on communication and personality development"/>
  </r>
  <r>
    <n v="31"/>
    <n v="0"/>
    <n v="1"/>
    <n v="0"/>
    <n v="3"/>
    <n v="3.6848539299653398"/>
    <n v="21"/>
    <n v="35"/>
    <n v="59"/>
    <n v="2"/>
    <n v="1"/>
    <s v="C1386"/>
    <s v="Male"/>
    <s v="Bachelor's Type 1"/>
    <s v="Entry Level"/>
    <s v="Low"/>
    <s v="Beginner"/>
    <s v="Good"/>
    <x v="0"/>
    <n v="31"/>
    <s v="Needs Improvement"/>
    <x v="0"/>
    <s v="Interview Preparation"/>
    <s v="Improve interview preparation and communication"/>
  </r>
  <r>
    <n v="37"/>
    <n v="0"/>
    <n v="1"/>
    <n v="9"/>
    <n v="5"/>
    <n v="6.3122854234780199"/>
    <n v="42"/>
    <n v="91"/>
    <n v="36"/>
    <n v="3"/>
    <n v="1"/>
    <s v="C1387"/>
    <s v="Male"/>
    <s v="Bachelor's Type 1"/>
    <s v="Senior Level"/>
    <s v="Low"/>
    <s v="Advanced"/>
    <s v="Needs Improvement"/>
    <x v="0"/>
    <n v="59"/>
    <s v="Developing"/>
    <x v="1"/>
    <s v="Personality &amp; Communication"/>
    <s v="Work on communication and personality development"/>
  </r>
  <r>
    <n v="33"/>
    <n v="0"/>
    <n v="2"/>
    <n v="1"/>
    <n v="5"/>
    <n v="9.6835818477169902"/>
    <n v="26"/>
    <n v="87"/>
    <n v="20"/>
    <n v="2"/>
    <n v="1"/>
    <s v="C1388"/>
    <s v="Male"/>
    <s v="Bachelor's Type 2"/>
    <s v="Entry Level"/>
    <s v="Low"/>
    <s v="Advanced"/>
    <s v="Needs Improvement"/>
    <x v="0"/>
    <n v="41"/>
    <s v="Needs Improvement"/>
    <x v="1"/>
    <s v="Personality &amp; Communication"/>
    <s v="Work on communication and personality development"/>
  </r>
  <r>
    <n v="40"/>
    <n v="0"/>
    <n v="3"/>
    <n v="15"/>
    <n v="2"/>
    <n v="35.508553530216602"/>
    <n v="36"/>
    <n v="68"/>
    <n v="13"/>
    <n v="2"/>
    <n v="0"/>
    <s v="C1389"/>
    <s v="Male"/>
    <s v="Master's"/>
    <s v="Senior Level"/>
    <s v="Low"/>
    <s v="Intermediate"/>
    <s v="Needs Improvement"/>
    <x v="1"/>
    <n v="53"/>
    <s v="Developing"/>
    <x v="1"/>
    <s v="Personality &amp; Communication"/>
    <s v="Work on communication and personality development"/>
  </r>
  <r>
    <n v="43"/>
    <n v="0"/>
    <n v="2"/>
    <n v="7"/>
    <n v="5"/>
    <n v="33.2797936374904"/>
    <n v="45"/>
    <n v="36"/>
    <n v="88"/>
    <n v="1"/>
    <n v="1"/>
    <s v="C1390"/>
    <s v="Male"/>
    <s v="Bachelor's Type 2"/>
    <s v="Senior Level"/>
    <s v="Low"/>
    <s v="Beginner"/>
    <s v="Strong"/>
    <x v="0"/>
    <n v="51"/>
    <s v="Developing"/>
    <x v="0"/>
    <s v="Technical Skills"/>
    <s v="Strengthen technical skills and practical knowledge"/>
  </r>
  <r>
    <n v="30"/>
    <n v="0"/>
    <n v="2"/>
    <n v="0"/>
    <n v="2"/>
    <n v="45.602943010484701"/>
    <n v="34"/>
    <n v="11"/>
    <n v="90"/>
    <n v="2"/>
    <n v="1"/>
    <s v="C1391"/>
    <s v="Male"/>
    <s v="Bachelor's Type 2"/>
    <s v="Entry Level"/>
    <s v="Low"/>
    <s v="Beginner"/>
    <s v="Strong"/>
    <x v="0"/>
    <n v="34"/>
    <s v="Needs Improvement"/>
    <x v="0"/>
    <s v="Technical Skills"/>
    <s v="Strengthen technical skills and practical knowledge"/>
  </r>
  <r>
    <n v="28"/>
    <n v="1"/>
    <n v="3"/>
    <n v="14"/>
    <n v="5"/>
    <n v="37.6438726441949"/>
    <n v="3"/>
    <n v="98"/>
    <n v="59"/>
    <n v="2"/>
    <n v="1"/>
    <s v="C1392"/>
    <s v="Female"/>
    <s v="Master's"/>
    <s v="Senior Level"/>
    <s v="Low"/>
    <s v="Advanced"/>
    <s v="Good"/>
    <x v="0"/>
    <n v="60"/>
    <s v="Developing"/>
    <x v="1"/>
    <s v="Interview Preparation"/>
    <s v="Improve interview preparation and communication"/>
  </r>
  <r>
    <n v="21"/>
    <n v="1"/>
    <n v="2"/>
    <n v="11"/>
    <n v="1"/>
    <n v="26.417774378229598"/>
    <n v="79"/>
    <n v="39"/>
    <n v="22"/>
    <n v="2"/>
    <n v="0"/>
    <s v="C1393"/>
    <s v="Female"/>
    <s v="Bachelor's Type 2"/>
    <s v="Senior Level"/>
    <s v="Strong"/>
    <s v="Beginner"/>
    <s v="Needs Improvement"/>
    <x v="1"/>
    <n v="53"/>
    <s v="Developing"/>
    <x v="2"/>
    <s v="Personality &amp; Communication"/>
    <s v="Work on communication and personality development"/>
  </r>
  <r>
    <n v="31"/>
    <n v="0"/>
    <n v="3"/>
    <n v="7"/>
    <n v="2"/>
    <n v="50.591589623181498"/>
    <n v="79"/>
    <n v="53"/>
    <n v="94"/>
    <n v="1"/>
    <n v="1"/>
    <s v="C1394"/>
    <s v="Male"/>
    <s v="Master's"/>
    <s v="Senior Level"/>
    <s v="Strong"/>
    <s v="Intermediate"/>
    <s v="Strong"/>
    <x v="0"/>
    <n v="69"/>
    <s v="Developing"/>
    <x v="0"/>
    <s v="Technical Skills"/>
    <s v="Strengthen technical skills and practical knowledge"/>
  </r>
  <r>
    <n v="22"/>
    <n v="1"/>
    <n v="3"/>
    <n v="7"/>
    <n v="2"/>
    <n v="14.3053978084649"/>
    <n v="84"/>
    <n v="1"/>
    <n v="28"/>
    <n v="3"/>
    <n v="0"/>
    <s v="C1395"/>
    <s v="Female"/>
    <s v="Master's"/>
    <s v="Senior Level"/>
    <s v="Strong"/>
    <s v="Beginner"/>
    <s v="Needs Improvement"/>
    <x v="1"/>
    <n v="42"/>
    <s v="Needs Improvement"/>
    <x v="2"/>
    <s v="Technical Skills"/>
    <s v="Strengthen technical skills and practical knowledge"/>
  </r>
  <r>
    <n v="22"/>
    <n v="1"/>
    <n v="2"/>
    <n v="15"/>
    <n v="4"/>
    <n v="42.6595829892727"/>
    <n v="25"/>
    <n v="49"/>
    <n v="46"/>
    <n v="1"/>
    <n v="0"/>
    <s v="C1396"/>
    <s v="Female"/>
    <s v="Bachelor's Type 2"/>
    <s v="Senior Level"/>
    <s v="Low"/>
    <s v="Beginner"/>
    <s v="Needs Improvement"/>
    <x v="1"/>
    <n v="49"/>
    <s v="Needs Improvement"/>
    <x v="1"/>
    <s v="Interview Preparation"/>
    <s v="Improve interview preparation and communication"/>
  </r>
  <r>
    <n v="20"/>
    <n v="1"/>
    <n v="2"/>
    <n v="1"/>
    <n v="5"/>
    <n v="22.339518609695901"/>
    <n v="99"/>
    <n v="40"/>
    <n v="29"/>
    <n v="2"/>
    <n v="0"/>
    <s v="C1397"/>
    <s v="Female"/>
    <s v="Bachelor's Type 2"/>
    <s v="Entry Level"/>
    <s v="Strong"/>
    <s v="Beginner"/>
    <s v="Needs Improvement"/>
    <x v="1"/>
    <n v="51"/>
    <s v="Developing"/>
    <x v="2"/>
    <s v="Personality &amp; Communication"/>
    <s v="Work on communication and personality development"/>
  </r>
  <r>
    <n v="27"/>
    <n v="1"/>
    <n v="1"/>
    <n v="3"/>
    <n v="5"/>
    <n v="33.436756943786698"/>
    <n v="18"/>
    <n v="44"/>
    <n v="89"/>
    <n v="3"/>
    <n v="0"/>
    <s v="C1398"/>
    <s v="Female"/>
    <s v="Bachelor's Type 1"/>
    <s v="Mid Level"/>
    <s v="Low"/>
    <s v="Beginner"/>
    <s v="Strong"/>
    <x v="1"/>
    <n v="42"/>
    <s v="Needs Improvement"/>
    <x v="0"/>
    <s v="Interview Preparation"/>
    <s v="Improve interview preparation and communication"/>
  </r>
  <r>
    <n v="41"/>
    <n v="0"/>
    <n v="2"/>
    <n v="5"/>
    <n v="2"/>
    <n v="37.363423522621702"/>
    <n v="80"/>
    <n v="8"/>
    <n v="83"/>
    <n v="2"/>
    <n v="1"/>
    <s v="C1399"/>
    <s v="Male"/>
    <s v="Bachelor's Type 2"/>
    <s v="Mid Level"/>
    <s v="Strong"/>
    <s v="Beginner"/>
    <s v="Strong"/>
    <x v="0"/>
    <n v="51"/>
    <s v="Developing"/>
    <x v="0"/>
    <s v="Technical Skills"/>
    <s v="Strengthen technical skills and practical knowledge"/>
  </r>
  <r>
    <n v="47"/>
    <n v="1"/>
    <n v="4"/>
    <n v="11"/>
    <n v="1"/>
    <n v="32.6877043595168"/>
    <n v="44"/>
    <n v="61"/>
    <n v="37"/>
    <n v="2"/>
    <n v="0"/>
    <s v="C1400"/>
    <s v="Female"/>
    <s v="PhD"/>
    <s v="Senior Level"/>
    <s v="Low"/>
    <s v="Intermediate"/>
    <s v="Needs Improvement"/>
    <x v="1"/>
    <n v="55"/>
    <s v="Developing"/>
    <x v="1"/>
    <s v="Personality &amp; Communication"/>
    <s v="Work on communication and personality development"/>
  </r>
  <r>
    <n v="48"/>
    <n v="1"/>
    <n v="2"/>
    <n v="10"/>
    <n v="1"/>
    <n v="8.0253651554296592"/>
    <n v="25"/>
    <n v="85"/>
    <n v="82"/>
    <n v="3"/>
    <n v="0"/>
    <s v="C1401"/>
    <s v="Female"/>
    <s v="Bachelor's Type 2"/>
    <s v="Senior Level"/>
    <s v="Low"/>
    <s v="Advanced"/>
    <s v="Strong"/>
    <x v="1"/>
    <n v="62"/>
    <s v="Developing"/>
    <x v="1"/>
    <s v="Interview Preparation"/>
    <s v="Improve interview preparation and communication"/>
  </r>
  <r>
    <n v="27"/>
    <n v="1"/>
    <n v="2"/>
    <n v="8"/>
    <n v="1"/>
    <n v="23.147550537396601"/>
    <n v="21"/>
    <n v="46"/>
    <n v="26"/>
    <n v="2"/>
    <n v="1"/>
    <s v="C1402"/>
    <s v="Female"/>
    <s v="Bachelor's Type 2"/>
    <s v="Senior Level"/>
    <s v="Low"/>
    <s v="Beginner"/>
    <s v="Needs Improvement"/>
    <x v="0"/>
    <n v="36"/>
    <s v="Needs Improvement"/>
    <x v="1"/>
    <s v="Interview Preparation"/>
    <s v="Improve interview preparation and communication"/>
  </r>
  <r>
    <n v="30"/>
    <n v="0"/>
    <n v="3"/>
    <n v="14"/>
    <n v="5"/>
    <n v="29.0719188966562"/>
    <n v="57"/>
    <n v="4"/>
    <n v="88"/>
    <n v="1"/>
    <n v="0"/>
    <s v="C1403"/>
    <s v="Male"/>
    <s v="Master's"/>
    <s v="Senior Level"/>
    <s v="Average"/>
    <s v="Beginner"/>
    <s v="Strong"/>
    <x v="1"/>
    <n v="54"/>
    <s v="Developing"/>
    <x v="0"/>
    <s v="Technical Skills"/>
    <s v="Strengthen technical skills and practical knowledge"/>
  </r>
  <r>
    <n v="28"/>
    <n v="0"/>
    <n v="2"/>
    <n v="15"/>
    <n v="4"/>
    <n v="43.452187958929798"/>
    <n v="62"/>
    <n v="75"/>
    <n v="86"/>
    <n v="3"/>
    <n v="0"/>
    <s v="C1404"/>
    <s v="Male"/>
    <s v="Bachelor's Type 2"/>
    <s v="Senior Level"/>
    <s v="Average"/>
    <s v="Advanced"/>
    <s v="Strong"/>
    <x v="1"/>
    <n v="76"/>
    <s v="Job Ready"/>
    <x v="0"/>
    <s v="Interview Preparation"/>
    <s v="Improve interview preparation and communication"/>
  </r>
  <r>
    <n v="24"/>
    <n v="0"/>
    <n v="1"/>
    <n v="7"/>
    <n v="2"/>
    <n v="23.182287439928601"/>
    <n v="27"/>
    <n v="0"/>
    <n v="92"/>
    <n v="1"/>
    <n v="0"/>
    <s v="C1405"/>
    <s v="Male"/>
    <s v="Bachelor's Type 1"/>
    <s v="Senior Level"/>
    <s v="Low"/>
    <s v="Beginner"/>
    <s v="Strong"/>
    <x v="1"/>
    <n v="36"/>
    <s v="Needs Improvement"/>
    <x v="0"/>
    <s v="Technical Skills"/>
    <s v="Strengthen technical skills and practical knowledge"/>
  </r>
  <r>
    <n v="33"/>
    <n v="0"/>
    <n v="2"/>
    <n v="11"/>
    <n v="3"/>
    <n v="46.9373652402125"/>
    <n v="64"/>
    <n v="43"/>
    <n v="14"/>
    <n v="3"/>
    <n v="0"/>
    <s v="C1406"/>
    <s v="Male"/>
    <s v="Bachelor's Type 2"/>
    <s v="Senior Level"/>
    <s v="Average"/>
    <s v="Beginner"/>
    <s v="Needs Improvement"/>
    <x v="1"/>
    <n v="48"/>
    <s v="Needs Improvement"/>
    <x v="2"/>
    <s v="Personality &amp; Communication"/>
    <s v="Work on communication and personality development"/>
  </r>
  <r>
    <n v="47"/>
    <n v="0"/>
    <n v="2"/>
    <n v="14"/>
    <n v="4"/>
    <n v="23.018711151260501"/>
    <n v="43"/>
    <n v="21"/>
    <n v="58"/>
    <n v="1"/>
    <n v="0"/>
    <s v="C1407"/>
    <s v="Male"/>
    <s v="Bachelor's Type 2"/>
    <s v="Senior Level"/>
    <s v="Low"/>
    <s v="Beginner"/>
    <s v="Good"/>
    <x v="1"/>
    <n v="47"/>
    <s v="Needs Improvement"/>
    <x v="0"/>
    <s v="Technical Skills"/>
    <s v="Strengthen technical skills and practical knowledge"/>
  </r>
  <r>
    <n v="49"/>
    <n v="0"/>
    <n v="3"/>
    <n v="7"/>
    <n v="3"/>
    <n v="28.438992963150501"/>
    <n v="99"/>
    <n v="37"/>
    <n v="2"/>
    <n v="2"/>
    <n v="0"/>
    <s v="C1408"/>
    <s v="Male"/>
    <s v="Master's"/>
    <s v="Senior Level"/>
    <s v="Strong"/>
    <s v="Beginner"/>
    <s v="Needs Improvement"/>
    <x v="1"/>
    <n v="52"/>
    <s v="Developing"/>
    <x v="2"/>
    <s v="Personality &amp; Communication"/>
    <s v="Work on communication and personality development"/>
  </r>
  <r>
    <n v="22"/>
    <n v="0"/>
    <n v="1"/>
    <n v="6"/>
    <n v="4"/>
    <n v="40.81428414714"/>
    <n v="42"/>
    <n v="18"/>
    <n v="9"/>
    <n v="2"/>
    <n v="1"/>
    <s v="C1409"/>
    <s v="Male"/>
    <s v="Bachelor's Type 1"/>
    <s v="Mid Level"/>
    <s v="Low"/>
    <s v="Beginner"/>
    <s v="Needs Improvement"/>
    <x v="0"/>
    <n v="28"/>
    <s v="Needs Improvement"/>
    <x v="2"/>
    <s v="Personality &amp; Communication"/>
    <s v="Work on communication and personality development"/>
  </r>
  <r>
    <n v="40"/>
    <n v="1"/>
    <n v="2"/>
    <n v="13"/>
    <n v="1"/>
    <n v="30.1533842211071"/>
    <n v="36"/>
    <n v="79"/>
    <n v="78"/>
    <n v="3"/>
    <n v="1"/>
    <s v="C1410"/>
    <s v="Female"/>
    <s v="Bachelor's Type 2"/>
    <s v="Senior Level"/>
    <s v="Low"/>
    <s v="Advanced"/>
    <s v="Strong"/>
    <x v="0"/>
    <n v="66"/>
    <s v="Developing"/>
    <x v="1"/>
    <s v="Interview Preparation"/>
    <s v="Improve interview preparation and communication"/>
  </r>
  <r>
    <n v="24"/>
    <n v="1"/>
    <n v="2"/>
    <n v="12"/>
    <n v="5"/>
    <n v="49.010903619141203"/>
    <n v="65"/>
    <n v="30"/>
    <n v="79"/>
    <n v="2"/>
    <n v="1"/>
    <s v="C1411"/>
    <s v="Female"/>
    <s v="Bachelor's Type 2"/>
    <s v="Senior Level"/>
    <s v="Average"/>
    <s v="Beginner"/>
    <s v="Strong"/>
    <x v="0"/>
    <n v="59"/>
    <s v="Developing"/>
    <x v="0"/>
    <s v="Technical Skills"/>
    <s v="Strengthen technical skills and practical knowledge"/>
  </r>
  <r>
    <n v="24"/>
    <n v="1"/>
    <n v="2"/>
    <n v="8"/>
    <n v="3"/>
    <n v="34.016791525706303"/>
    <n v="16"/>
    <n v="66"/>
    <n v="16"/>
    <n v="1"/>
    <n v="1"/>
    <s v="C1412"/>
    <s v="Female"/>
    <s v="Bachelor's Type 2"/>
    <s v="Senior Level"/>
    <s v="Low"/>
    <s v="Intermediate"/>
    <s v="Needs Improvement"/>
    <x v="0"/>
    <n v="38"/>
    <s v="Needs Improvement"/>
    <x v="1"/>
    <s v="Interview Preparation"/>
    <s v="Improve interview preparation and communication"/>
  </r>
  <r>
    <n v="38"/>
    <n v="0"/>
    <n v="2"/>
    <n v="14"/>
    <n v="4"/>
    <n v="27.13547270338"/>
    <n v="39"/>
    <n v="86"/>
    <n v="82"/>
    <n v="2"/>
    <n v="0"/>
    <s v="C1413"/>
    <s v="Male"/>
    <s v="Bachelor's Type 2"/>
    <s v="Senior Level"/>
    <s v="Low"/>
    <s v="Advanced"/>
    <s v="Strong"/>
    <x v="1"/>
    <n v="70"/>
    <s v="Developing"/>
    <x v="1"/>
    <s v="Interview Preparation"/>
    <s v="Improve interview preparation and communication"/>
  </r>
  <r>
    <n v="46"/>
    <n v="0"/>
    <n v="2"/>
    <n v="1"/>
    <n v="5"/>
    <n v="2.1795983890397901"/>
    <n v="37"/>
    <n v="41"/>
    <n v="10"/>
    <n v="1"/>
    <n v="0"/>
    <s v="C1414"/>
    <s v="Male"/>
    <s v="Bachelor's Type 2"/>
    <s v="Entry Level"/>
    <s v="Low"/>
    <s v="Beginner"/>
    <s v="Needs Improvement"/>
    <x v="1"/>
    <n v="29"/>
    <s v="Needs Improvement"/>
    <x v="1"/>
    <s v="Personality &amp; Communication"/>
    <s v="Work on communication and personality development"/>
  </r>
  <r>
    <n v="33"/>
    <n v="0"/>
    <n v="2"/>
    <n v="2"/>
    <n v="3"/>
    <n v="21.686644879016399"/>
    <n v="84"/>
    <n v="81"/>
    <n v="47"/>
    <n v="2"/>
    <n v="0"/>
    <s v="C1415"/>
    <s v="Male"/>
    <s v="Bachelor's Type 2"/>
    <s v="Entry Level"/>
    <s v="Strong"/>
    <s v="Advanced"/>
    <s v="Needs Improvement"/>
    <x v="1"/>
    <n v="63"/>
    <s v="Developing"/>
    <x v="2"/>
    <s v="Personality &amp; Communication"/>
    <s v="Work on communication and personality development"/>
  </r>
  <r>
    <n v="45"/>
    <n v="0"/>
    <n v="4"/>
    <n v="9"/>
    <n v="2"/>
    <n v="15.962420963008"/>
    <n v="60"/>
    <n v="25"/>
    <n v="4"/>
    <n v="3"/>
    <n v="1"/>
    <s v="C1416"/>
    <s v="Male"/>
    <s v="PhD"/>
    <s v="Senior Level"/>
    <s v="Average"/>
    <s v="Beginner"/>
    <s v="Needs Improvement"/>
    <x v="0"/>
    <n v="40"/>
    <s v="Needs Improvement"/>
    <x v="2"/>
    <s v="Personality &amp; Communication"/>
    <s v="Work on communication and personality development"/>
  </r>
  <r>
    <n v="49"/>
    <n v="0"/>
    <n v="2"/>
    <n v="7"/>
    <n v="4"/>
    <n v="38.405283394374401"/>
    <n v="8"/>
    <n v="12"/>
    <n v="68"/>
    <n v="2"/>
    <n v="1"/>
    <s v="C1417"/>
    <s v="Male"/>
    <s v="Bachelor's Type 2"/>
    <s v="Senior Level"/>
    <s v="Low"/>
    <s v="Beginner"/>
    <s v="Good"/>
    <x v="0"/>
    <n v="29"/>
    <s v="Needs Improvement"/>
    <x v="0"/>
    <s v="Interview Preparation"/>
    <s v="Improve interview preparation and communication"/>
  </r>
  <r>
    <n v="23"/>
    <n v="1"/>
    <n v="1"/>
    <n v="13"/>
    <n v="2"/>
    <n v="11.413883757677199"/>
    <n v="76"/>
    <n v="57"/>
    <n v="63"/>
    <n v="2"/>
    <n v="0"/>
    <s v="C1418"/>
    <s v="Female"/>
    <s v="Bachelor's Type 1"/>
    <s v="Senior Level"/>
    <s v="Strong"/>
    <s v="Intermediate"/>
    <s v="Good"/>
    <x v="1"/>
    <n v="68"/>
    <s v="Developing"/>
    <x v="2"/>
    <s v="Technical Skills"/>
    <s v="Strengthen technical skills and practical knowledge"/>
  </r>
  <r>
    <n v="44"/>
    <n v="1"/>
    <n v="2"/>
    <n v="5"/>
    <n v="1"/>
    <n v="11.261004364703499"/>
    <n v="74"/>
    <n v="17"/>
    <n v="13"/>
    <n v="1"/>
    <n v="0"/>
    <s v="C1419"/>
    <s v="Female"/>
    <s v="Bachelor's Type 2"/>
    <s v="Mid Level"/>
    <s v="Average"/>
    <s v="Beginner"/>
    <s v="Needs Improvement"/>
    <x v="1"/>
    <n v="37"/>
    <s v="Needs Improvement"/>
    <x v="2"/>
    <s v="Personality &amp; Communication"/>
    <s v="Work on communication and personality development"/>
  </r>
  <r>
    <n v="32"/>
    <n v="0"/>
    <n v="3"/>
    <n v="9"/>
    <n v="2"/>
    <n v="10.475952161868801"/>
    <n v="60"/>
    <n v="66"/>
    <n v="49"/>
    <n v="2"/>
    <n v="1"/>
    <s v="C1420"/>
    <s v="Male"/>
    <s v="Master's"/>
    <s v="Senior Level"/>
    <s v="Average"/>
    <s v="Intermediate"/>
    <s v="Needs Improvement"/>
    <x v="0"/>
    <n v="60"/>
    <s v="Developing"/>
    <x v="1"/>
    <s v="Personality &amp; Communication"/>
    <s v="Work on communication and personality development"/>
  </r>
  <r>
    <n v="29"/>
    <n v="0"/>
    <n v="3"/>
    <n v="8"/>
    <n v="2"/>
    <n v="7.28078065781179"/>
    <n v="79"/>
    <n v="86"/>
    <n v="25"/>
    <n v="2"/>
    <n v="1"/>
    <s v="C1421"/>
    <s v="Male"/>
    <s v="Master's"/>
    <s v="Senior Level"/>
    <s v="Strong"/>
    <s v="Advanced"/>
    <s v="Needs Improvement"/>
    <x v="0"/>
    <n v="66"/>
    <s v="Developing"/>
    <x v="1"/>
    <s v="Personality &amp; Communication"/>
    <s v="Work on communication and personality development"/>
  </r>
  <r>
    <n v="44"/>
    <n v="0"/>
    <n v="1"/>
    <n v="9"/>
    <n v="4"/>
    <n v="16.5503501835443"/>
    <n v="15"/>
    <n v="2"/>
    <n v="71"/>
    <n v="2"/>
    <n v="1"/>
    <s v="C1422"/>
    <s v="Male"/>
    <s v="Bachelor's Type 1"/>
    <s v="Senior Level"/>
    <s v="Low"/>
    <s v="Beginner"/>
    <s v="Good"/>
    <x v="0"/>
    <n v="31"/>
    <s v="Needs Improvement"/>
    <x v="0"/>
    <s v="Technical Skills"/>
    <s v="Strengthen technical skills and practical knowledge"/>
  </r>
  <r>
    <n v="37"/>
    <n v="0"/>
    <n v="4"/>
    <n v="3"/>
    <n v="1"/>
    <n v="45.296105722171198"/>
    <n v="1"/>
    <n v="54"/>
    <n v="68"/>
    <n v="1"/>
    <n v="1"/>
    <s v="C1423"/>
    <s v="Male"/>
    <s v="PhD"/>
    <s v="Mid Level"/>
    <s v="Low"/>
    <s v="Intermediate"/>
    <s v="Good"/>
    <x v="0"/>
    <n v="38"/>
    <s v="Needs Improvement"/>
    <x v="0"/>
    <s v="Interview Preparation"/>
    <s v="Improve interview preparation and communication"/>
  </r>
  <r>
    <n v="27"/>
    <n v="1"/>
    <n v="2"/>
    <n v="15"/>
    <n v="2"/>
    <n v="39.746423615297701"/>
    <n v="71"/>
    <n v="88"/>
    <n v="6"/>
    <n v="2"/>
    <n v="0"/>
    <s v="C1424"/>
    <s v="Female"/>
    <s v="Bachelor's Type 2"/>
    <s v="Senior Level"/>
    <s v="Average"/>
    <s v="Advanced"/>
    <s v="Needs Improvement"/>
    <x v="1"/>
    <n v="66"/>
    <s v="Developing"/>
    <x v="1"/>
    <s v="Personality &amp; Communication"/>
    <s v="Work on communication and personality development"/>
  </r>
  <r>
    <n v="27"/>
    <n v="0"/>
    <n v="1"/>
    <n v="7"/>
    <n v="5"/>
    <n v="37.762560815339597"/>
    <n v="42"/>
    <n v="90"/>
    <n v="15"/>
    <n v="1"/>
    <n v="1"/>
    <s v="C1425"/>
    <s v="Male"/>
    <s v="Bachelor's Type 1"/>
    <s v="Senior Level"/>
    <s v="Low"/>
    <s v="Advanced"/>
    <s v="Needs Improvement"/>
    <x v="0"/>
    <n v="52"/>
    <s v="Developing"/>
    <x v="1"/>
    <s v="Personality &amp; Communication"/>
    <s v="Work on communication and personality development"/>
  </r>
  <r>
    <n v="26"/>
    <n v="0"/>
    <n v="1"/>
    <n v="9"/>
    <n v="3"/>
    <n v="40.866840282498103"/>
    <n v="41"/>
    <n v="57"/>
    <n v="54"/>
    <n v="2"/>
    <n v="1"/>
    <s v="C1426"/>
    <s v="Male"/>
    <s v="Bachelor's Type 1"/>
    <s v="Senior Level"/>
    <s v="Low"/>
    <s v="Intermediate"/>
    <s v="Good"/>
    <x v="0"/>
    <n v="52"/>
    <s v="Developing"/>
    <x v="1"/>
    <s v="Interview Preparation"/>
    <s v="Improve interview preparation and communication"/>
  </r>
  <r>
    <n v="27"/>
    <n v="0"/>
    <n v="1"/>
    <n v="2"/>
    <n v="2"/>
    <n v="14.4708944664785"/>
    <n v="76"/>
    <n v="62"/>
    <n v="77"/>
    <n v="1"/>
    <n v="0"/>
    <s v="C1427"/>
    <s v="Male"/>
    <s v="Bachelor's Type 1"/>
    <s v="Entry Level"/>
    <s v="Strong"/>
    <s v="Intermediate"/>
    <s v="Strong"/>
    <x v="1"/>
    <n v="61"/>
    <s v="Developing"/>
    <x v="0"/>
    <s v="Technical Skills"/>
    <s v="Strengthen technical skills and practical knowledge"/>
  </r>
  <r>
    <n v="33"/>
    <n v="0"/>
    <n v="3"/>
    <n v="2"/>
    <n v="1"/>
    <n v="45.372084537624303"/>
    <n v="56"/>
    <n v="90"/>
    <n v="100"/>
    <n v="3"/>
    <n v="0"/>
    <s v="C1428"/>
    <s v="Male"/>
    <s v="Master's"/>
    <s v="Entry Level"/>
    <s v="Average"/>
    <s v="Advanced"/>
    <s v="Strong"/>
    <x v="1"/>
    <n v="70"/>
    <s v="Developing"/>
    <x v="0"/>
    <s v="Interview Preparation"/>
    <s v="Improve interview preparation and communication"/>
  </r>
  <r>
    <n v="38"/>
    <n v="1"/>
    <n v="1"/>
    <n v="7"/>
    <n v="2"/>
    <n v="7.8651687570802196"/>
    <n v="80"/>
    <n v="51"/>
    <n v="55"/>
    <n v="1"/>
    <n v="0"/>
    <s v="C1429"/>
    <s v="Female"/>
    <s v="Bachelor's Type 1"/>
    <s v="Senior Level"/>
    <s v="Strong"/>
    <s v="Intermediate"/>
    <s v="Good"/>
    <x v="1"/>
    <n v="60"/>
    <s v="Developing"/>
    <x v="2"/>
    <s v="Technical Skills"/>
    <s v="Strengthen technical skills and practical knowledge"/>
  </r>
  <r>
    <n v="48"/>
    <n v="0"/>
    <n v="1"/>
    <n v="4"/>
    <n v="3"/>
    <n v="17.817286335778999"/>
    <n v="87"/>
    <n v="88"/>
    <n v="3"/>
    <n v="2"/>
    <n v="1"/>
    <s v="C1430"/>
    <s v="Male"/>
    <s v="Bachelor's Type 1"/>
    <s v="Mid Level"/>
    <s v="Strong"/>
    <s v="Advanced"/>
    <s v="Needs Improvement"/>
    <x v="0"/>
    <n v="60"/>
    <s v="Developing"/>
    <x v="1"/>
    <s v="Personality &amp; Communication"/>
    <s v="Work on communication and personality development"/>
  </r>
  <r>
    <n v="25"/>
    <n v="0"/>
    <n v="3"/>
    <n v="2"/>
    <n v="1"/>
    <n v="30.337405948367099"/>
    <n v="66"/>
    <n v="23"/>
    <n v="99"/>
    <n v="1"/>
    <n v="1"/>
    <s v="C1431"/>
    <s v="Male"/>
    <s v="Master's"/>
    <s v="Entry Level"/>
    <s v="Average"/>
    <s v="Beginner"/>
    <s v="Strong"/>
    <x v="0"/>
    <n v="52"/>
    <s v="Developing"/>
    <x v="0"/>
    <s v="Technical Skills"/>
    <s v="Strengthen technical skills and practical knowledge"/>
  </r>
  <r>
    <n v="20"/>
    <n v="1"/>
    <n v="2"/>
    <n v="9"/>
    <n v="4"/>
    <n v="6.1452544171000296"/>
    <n v="29"/>
    <n v="71"/>
    <n v="47"/>
    <n v="2"/>
    <n v="1"/>
    <s v="C1432"/>
    <s v="Female"/>
    <s v="Bachelor's Type 2"/>
    <s v="Senior Level"/>
    <s v="Low"/>
    <s v="Intermediate"/>
    <s v="Needs Improvement"/>
    <x v="0"/>
    <n v="51"/>
    <s v="Developing"/>
    <x v="1"/>
    <s v="Interview Preparation"/>
    <s v="Improve interview preparation and communication"/>
  </r>
  <r>
    <n v="42"/>
    <n v="1"/>
    <n v="1"/>
    <n v="10"/>
    <n v="1"/>
    <n v="37.5065093888212"/>
    <n v="12"/>
    <n v="8"/>
    <n v="16"/>
    <n v="2"/>
    <n v="1"/>
    <s v="C1433"/>
    <s v="Female"/>
    <s v="Bachelor's Type 1"/>
    <s v="Senior Level"/>
    <s v="Low"/>
    <s v="Beginner"/>
    <s v="Needs Improvement"/>
    <x v="0"/>
    <n v="22"/>
    <s v="Needs Improvement"/>
    <x v="0"/>
    <s v="Technical Skills"/>
    <s v="Strengthen technical skills and practical knowledge"/>
  </r>
  <r>
    <n v="50"/>
    <n v="1"/>
    <n v="1"/>
    <n v="15"/>
    <n v="4"/>
    <n v="20.362302410173701"/>
    <n v="18"/>
    <n v="36"/>
    <n v="35"/>
    <n v="2"/>
    <n v="0"/>
    <s v="C1434"/>
    <s v="Female"/>
    <s v="Bachelor's Type 1"/>
    <s v="Senior Level"/>
    <s v="Low"/>
    <s v="Beginner"/>
    <s v="Needs Improvement"/>
    <x v="1"/>
    <n v="41"/>
    <s v="Needs Improvement"/>
    <x v="1"/>
    <s v="Interview Preparation"/>
    <s v="Improve interview preparation and communication"/>
  </r>
  <r>
    <n v="34"/>
    <n v="0"/>
    <n v="1"/>
    <n v="0"/>
    <n v="1"/>
    <n v="40.220283280419999"/>
    <n v="6"/>
    <n v="93"/>
    <n v="69"/>
    <n v="1"/>
    <n v="0"/>
    <s v="C1435"/>
    <s v="Male"/>
    <s v="Bachelor's Type 1"/>
    <s v="Entry Level"/>
    <s v="Low"/>
    <s v="Advanced"/>
    <s v="Good"/>
    <x v="1"/>
    <n v="46"/>
    <s v="Needs Improvement"/>
    <x v="1"/>
    <s v="Interview Preparation"/>
    <s v="Improve interview preparation and communication"/>
  </r>
  <r>
    <n v="20"/>
    <n v="0"/>
    <n v="2"/>
    <n v="14"/>
    <n v="3"/>
    <n v="25.644814279230101"/>
    <n v="8"/>
    <n v="82"/>
    <n v="79"/>
    <n v="2"/>
    <n v="1"/>
    <s v="C1436"/>
    <s v="Male"/>
    <s v="Bachelor's Type 2"/>
    <s v="Senior Level"/>
    <s v="Low"/>
    <s v="Advanced"/>
    <s v="Strong"/>
    <x v="0"/>
    <n v="59"/>
    <s v="Developing"/>
    <x v="1"/>
    <s v="Interview Preparation"/>
    <s v="Improve interview preparation and communication"/>
  </r>
  <r>
    <n v="44"/>
    <n v="1"/>
    <n v="2"/>
    <n v="2"/>
    <n v="3"/>
    <n v="10.0437262212668"/>
    <n v="82"/>
    <n v="52"/>
    <n v="92"/>
    <n v="1"/>
    <n v="1"/>
    <s v="C1437"/>
    <s v="Female"/>
    <s v="Bachelor's Type 2"/>
    <s v="Entry Level"/>
    <s v="Strong"/>
    <s v="Intermediate"/>
    <s v="Strong"/>
    <x v="0"/>
    <n v="63"/>
    <s v="Developing"/>
    <x v="0"/>
    <s v="Technical Skills"/>
    <s v="Strengthen technical skills and practical knowledge"/>
  </r>
  <r>
    <n v="36"/>
    <n v="1"/>
    <n v="1"/>
    <n v="11"/>
    <n v="1"/>
    <n v="37.738090567767202"/>
    <n v="53"/>
    <n v="79"/>
    <n v="99"/>
    <n v="1"/>
    <n v="1"/>
    <s v="C1438"/>
    <s v="Female"/>
    <s v="Bachelor's Type 1"/>
    <s v="Senior Level"/>
    <s v="Average"/>
    <s v="Advanced"/>
    <s v="Strong"/>
    <x v="0"/>
    <n v="73"/>
    <s v="Developing"/>
    <x v="0"/>
    <s v="Interview Preparation"/>
    <s v="Improve interview preparation and communication"/>
  </r>
  <r>
    <n v="20"/>
    <n v="1"/>
    <n v="1"/>
    <n v="8"/>
    <n v="2"/>
    <n v="13.607197791947099"/>
    <n v="85"/>
    <n v="23"/>
    <n v="37"/>
    <n v="2"/>
    <n v="0"/>
    <s v="C1439"/>
    <s v="Female"/>
    <s v="Bachelor's Type 1"/>
    <s v="Senior Level"/>
    <s v="Strong"/>
    <s v="Beginner"/>
    <s v="Needs Improvement"/>
    <x v="1"/>
    <n v="50"/>
    <s v="Developing"/>
    <x v="2"/>
    <s v="Technical Skills"/>
    <s v="Strengthen technical skills and practical knowledge"/>
  </r>
  <r>
    <n v="34"/>
    <n v="1"/>
    <n v="3"/>
    <n v="4"/>
    <n v="3"/>
    <n v="25.540515063402101"/>
    <n v="81"/>
    <n v="20"/>
    <n v="100"/>
    <n v="1"/>
    <n v="1"/>
    <s v="C1440"/>
    <s v="Female"/>
    <s v="Master's"/>
    <s v="Mid Level"/>
    <s v="Strong"/>
    <s v="Beginner"/>
    <s v="Strong"/>
    <x v="0"/>
    <n v="58"/>
    <s v="Developing"/>
    <x v="0"/>
    <s v="Technical Skills"/>
    <s v="Strengthen technical skills and practical knowledge"/>
  </r>
  <r>
    <n v="42"/>
    <n v="1"/>
    <n v="2"/>
    <n v="11"/>
    <n v="4"/>
    <n v="4.7766634578453804"/>
    <n v="60"/>
    <n v="99"/>
    <n v="61"/>
    <n v="1"/>
    <n v="0"/>
    <s v="C1441"/>
    <s v="Female"/>
    <s v="Bachelor's Type 2"/>
    <s v="Senior Level"/>
    <s v="Average"/>
    <s v="Advanced"/>
    <s v="Good"/>
    <x v="1"/>
    <n v="73"/>
    <s v="Developing"/>
    <x v="1"/>
    <s v="Interview Preparation"/>
    <s v="Improve interview preparation and communication"/>
  </r>
  <r>
    <n v="21"/>
    <n v="1"/>
    <n v="2"/>
    <n v="9"/>
    <n v="4"/>
    <n v="31.893332720601801"/>
    <n v="86"/>
    <n v="39"/>
    <n v="47"/>
    <n v="3"/>
    <n v="1"/>
    <s v="C1442"/>
    <s v="Female"/>
    <s v="Bachelor's Type 2"/>
    <s v="Senior Level"/>
    <s v="Strong"/>
    <s v="Beginner"/>
    <s v="Needs Improvement"/>
    <x v="0"/>
    <n v="58"/>
    <s v="Developing"/>
    <x v="2"/>
    <s v="Technical Skills"/>
    <s v="Strengthen technical skills and practical knowledge"/>
  </r>
  <r>
    <n v="33"/>
    <n v="0"/>
    <n v="2"/>
    <n v="14"/>
    <n v="5"/>
    <n v="34.292888310813801"/>
    <n v="1"/>
    <n v="61"/>
    <n v="9"/>
    <n v="3"/>
    <n v="0"/>
    <s v="C1443"/>
    <s v="Male"/>
    <s v="Bachelor's Type 2"/>
    <s v="Senior Level"/>
    <s v="Low"/>
    <s v="Intermediate"/>
    <s v="Needs Improvement"/>
    <x v="1"/>
    <n v="37"/>
    <s v="Needs Improvement"/>
    <x v="1"/>
    <s v="Interview Preparation"/>
    <s v="Improve interview preparation and communication"/>
  </r>
  <r>
    <n v="40"/>
    <n v="0"/>
    <n v="2"/>
    <n v="1"/>
    <n v="4"/>
    <n v="19.933710498639101"/>
    <n v="49"/>
    <n v="69"/>
    <n v="35"/>
    <n v="2"/>
    <n v="0"/>
    <s v="C1444"/>
    <s v="Male"/>
    <s v="Bachelor's Type 2"/>
    <s v="Entry Level"/>
    <s v="Low"/>
    <s v="Intermediate"/>
    <s v="Needs Improvement"/>
    <x v="1"/>
    <n v="46"/>
    <s v="Needs Improvement"/>
    <x v="1"/>
    <s v="Personality &amp; Communication"/>
    <s v="Work on communication and personality development"/>
  </r>
  <r>
    <n v="27"/>
    <n v="0"/>
    <n v="2"/>
    <n v="6"/>
    <n v="5"/>
    <n v="48.721139016053598"/>
    <n v="74"/>
    <n v="68"/>
    <n v="28"/>
    <n v="1"/>
    <n v="1"/>
    <s v="C1445"/>
    <s v="Male"/>
    <s v="Bachelor's Type 2"/>
    <s v="Mid Level"/>
    <s v="Average"/>
    <s v="Intermediate"/>
    <s v="Needs Improvement"/>
    <x v="0"/>
    <n v="57"/>
    <s v="Developing"/>
    <x v="2"/>
    <s v="Personality &amp; Communication"/>
    <s v="Work on communication and personality development"/>
  </r>
  <r>
    <n v="27"/>
    <n v="1"/>
    <n v="2"/>
    <n v="14"/>
    <n v="1"/>
    <n v="44.708446074103399"/>
    <n v="30"/>
    <n v="13"/>
    <n v="77"/>
    <n v="1"/>
    <n v="0"/>
    <s v="C1446"/>
    <s v="Female"/>
    <s v="Bachelor's Type 2"/>
    <s v="Senior Level"/>
    <s v="Low"/>
    <s v="Beginner"/>
    <s v="Strong"/>
    <x v="1"/>
    <n v="45"/>
    <s v="Needs Improvement"/>
    <x v="0"/>
    <s v="Technical Skills"/>
    <s v="Strengthen technical skills and practical knowledge"/>
  </r>
  <r>
    <n v="38"/>
    <n v="1"/>
    <n v="2"/>
    <n v="1"/>
    <n v="1"/>
    <n v="36.397045786999698"/>
    <n v="32"/>
    <n v="41"/>
    <n v="3"/>
    <n v="2"/>
    <n v="0"/>
    <s v="C1447"/>
    <s v="Female"/>
    <s v="Bachelor's Type 2"/>
    <s v="Entry Level"/>
    <s v="Low"/>
    <s v="Beginner"/>
    <s v="Needs Improvement"/>
    <x v="1"/>
    <n v="26"/>
    <s v="Needs Improvement"/>
    <x v="1"/>
    <s v="Personality &amp; Communication"/>
    <s v="Work on communication and personality development"/>
  </r>
  <r>
    <n v="26"/>
    <n v="1"/>
    <n v="4"/>
    <n v="3"/>
    <n v="1"/>
    <n v="36.682603724687098"/>
    <n v="77"/>
    <n v="49"/>
    <n v="43"/>
    <n v="1"/>
    <n v="1"/>
    <s v="C1448"/>
    <s v="Female"/>
    <s v="PhD"/>
    <s v="Mid Level"/>
    <s v="Strong"/>
    <s v="Beginner"/>
    <s v="Needs Improvement"/>
    <x v="0"/>
    <n v="54"/>
    <s v="Developing"/>
    <x v="2"/>
    <s v="Personality &amp; Communication"/>
    <s v="Work on communication and personality development"/>
  </r>
  <r>
    <n v="38"/>
    <n v="1"/>
    <n v="1"/>
    <n v="11"/>
    <n v="2"/>
    <n v="13.620085747107501"/>
    <n v="79"/>
    <n v="60"/>
    <n v="55"/>
    <n v="3"/>
    <n v="0"/>
    <s v="C1449"/>
    <s v="Female"/>
    <s v="Bachelor's Type 1"/>
    <s v="Senior Level"/>
    <s v="Strong"/>
    <s v="Intermediate"/>
    <s v="Good"/>
    <x v="1"/>
    <n v="66"/>
    <s v="Developing"/>
    <x v="2"/>
    <s v="Personality &amp; Communication"/>
    <s v="Work on communication and personality development"/>
  </r>
  <r>
    <n v="25"/>
    <n v="1"/>
    <n v="3"/>
    <n v="6"/>
    <n v="2"/>
    <n v="33.8407615544224"/>
    <n v="10"/>
    <n v="3"/>
    <n v="41"/>
    <n v="1"/>
    <n v="1"/>
    <s v="C1450"/>
    <s v="Female"/>
    <s v="Master's"/>
    <s v="Mid Level"/>
    <s v="Low"/>
    <s v="Beginner"/>
    <s v="Needs Improvement"/>
    <x v="0"/>
    <n v="22"/>
    <s v="Needs Improvement"/>
    <x v="0"/>
    <s v="Technical Skills"/>
    <s v="Strengthen technical skills and practical knowledge"/>
  </r>
  <r>
    <n v="25"/>
    <n v="1"/>
    <n v="1"/>
    <n v="3"/>
    <n v="5"/>
    <n v="10.910313261775901"/>
    <n v="32"/>
    <n v="71"/>
    <n v="99"/>
    <n v="3"/>
    <n v="0"/>
    <s v="C1451"/>
    <s v="Female"/>
    <s v="Bachelor's Type 1"/>
    <s v="Mid Level"/>
    <s v="Low"/>
    <s v="Intermediate"/>
    <s v="Strong"/>
    <x v="1"/>
    <n v="56"/>
    <s v="Developing"/>
    <x v="0"/>
    <s v="Interview Preparation"/>
    <s v="Improve interview preparation and communication"/>
  </r>
  <r>
    <n v="22"/>
    <n v="0"/>
    <n v="3"/>
    <n v="6"/>
    <n v="4"/>
    <n v="8.2001611959911003"/>
    <n v="6"/>
    <n v="87"/>
    <n v="12"/>
    <n v="2"/>
    <n v="0"/>
    <s v="C1452"/>
    <s v="Male"/>
    <s v="Master's"/>
    <s v="Mid Level"/>
    <s v="Low"/>
    <s v="Advanced"/>
    <s v="Needs Improvement"/>
    <x v="1"/>
    <n v="40"/>
    <s v="Needs Improvement"/>
    <x v="1"/>
    <s v="Interview Preparation"/>
    <s v="Improve interview preparation and communication"/>
  </r>
  <r>
    <n v="26"/>
    <n v="0"/>
    <n v="2"/>
    <n v="15"/>
    <n v="4"/>
    <n v="50.973394710129"/>
    <n v="30"/>
    <n v="74"/>
    <n v="45"/>
    <n v="2"/>
    <n v="0"/>
    <s v="C1453"/>
    <s v="Male"/>
    <s v="Bachelor's Type 2"/>
    <s v="Senior Level"/>
    <s v="Low"/>
    <s v="Intermediate"/>
    <s v="Needs Improvement"/>
    <x v="1"/>
    <n v="58"/>
    <s v="Developing"/>
    <x v="1"/>
    <s v="Interview Preparation"/>
    <s v="Improve interview preparation and communication"/>
  </r>
  <r>
    <n v="38"/>
    <n v="1"/>
    <n v="3"/>
    <n v="6"/>
    <n v="1"/>
    <n v="32.118796573658699"/>
    <n v="47"/>
    <n v="16"/>
    <n v="81"/>
    <n v="1"/>
    <n v="0"/>
    <s v="C1454"/>
    <s v="Female"/>
    <s v="Master's"/>
    <s v="Mid Level"/>
    <s v="Low"/>
    <s v="Beginner"/>
    <s v="Strong"/>
    <x v="1"/>
    <n v="45"/>
    <s v="Needs Improvement"/>
    <x v="0"/>
    <s v="Technical Skills"/>
    <s v="Strengthen technical skills and practical knowledge"/>
  </r>
  <r>
    <n v="27"/>
    <n v="0"/>
    <n v="1"/>
    <n v="15"/>
    <n v="3"/>
    <n v="22.549393632859498"/>
    <n v="46"/>
    <n v="84"/>
    <n v="32"/>
    <n v="3"/>
    <n v="1"/>
    <s v="C1455"/>
    <s v="Male"/>
    <s v="Bachelor's Type 1"/>
    <s v="Senior Level"/>
    <s v="Low"/>
    <s v="Advanced"/>
    <s v="Needs Improvement"/>
    <x v="0"/>
    <n v="63"/>
    <s v="Developing"/>
    <x v="1"/>
    <s v="Personality &amp; Communication"/>
    <s v="Work on communication and personality development"/>
  </r>
  <r>
    <n v="29"/>
    <n v="1"/>
    <n v="2"/>
    <n v="0"/>
    <n v="2"/>
    <n v="15.408226144197499"/>
    <n v="77"/>
    <n v="56"/>
    <n v="20"/>
    <n v="1"/>
    <n v="1"/>
    <s v="C1456"/>
    <s v="Female"/>
    <s v="Bachelor's Type 2"/>
    <s v="Entry Level"/>
    <s v="Strong"/>
    <s v="Intermediate"/>
    <s v="Needs Improvement"/>
    <x v="0"/>
    <n v="46"/>
    <s v="Needs Improvement"/>
    <x v="2"/>
    <s v="Personality &amp; Communication"/>
    <s v="Work on communication and personality development"/>
  </r>
  <r>
    <n v="39"/>
    <n v="0"/>
    <n v="2"/>
    <n v="5"/>
    <n v="2"/>
    <n v="31.1960221831113"/>
    <n v="91"/>
    <n v="89"/>
    <n v="79"/>
    <n v="2"/>
    <n v="1"/>
    <s v="C1457"/>
    <s v="Male"/>
    <s v="Bachelor's Type 2"/>
    <s v="Mid Level"/>
    <s v="Strong"/>
    <s v="Advanced"/>
    <s v="Strong"/>
    <x v="0"/>
    <n v="77"/>
    <s v="Job Ready"/>
    <x v="2"/>
    <s v="Personality &amp; Communication"/>
    <s v="Work on communication and personality development"/>
  </r>
  <r>
    <n v="34"/>
    <n v="1"/>
    <n v="3"/>
    <n v="8"/>
    <n v="1"/>
    <n v="3.4796754110042998"/>
    <n v="52"/>
    <n v="47"/>
    <n v="78"/>
    <n v="3"/>
    <n v="0"/>
    <s v="C1458"/>
    <s v="Female"/>
    <s v="Master's"/>
    <s v="Senior Level"/>
    <s v="Average"/>
    <s v="Beginner"/>
    <s v="Strong"/>
    <x v="1"/>
    <n v="57"/>
    <s v="Developing"/>
    <x v="0"/>
    <s v="Technical Skills"/>
    <s v="Strengthen technical skills and practical knowledge"/>
  </r>
  <r>
    <n v="34"/>
    <n v="1"/>
    <n v="2"/>
    <n v="1"/>
    <n v="2"/>
    <n v="5.7340495252397501"/>
    <n v="79"/>
    <n v="43"/>
    <n v="56"/>
    <n v="1"/>
    <n v="0"/>
    <s v="C1459"/>
    <s v="Female"/>
    <s v="Bachelor's Type 2"/>
    <s v="Entry Level"/>
    <s v="Strong"/>
    <s v="Beginner"/>
    <s v="Good"/>
    <x v="1"/>
    <n v="51"/>
    <s v="Developing"/>
    <x v="2"/>
    <s v="Technical Skills"/>
    <s v="Strengthen technical skills and practical knowledge"/>
  </r>
  <r>
    <n v="48"/>
    <n v="0"/>
    <n v="2"/>
    <n v="13"/>
    <n v="1"/>
    <n v="2.6428348870198102"/>
    <n v="18"/>
    <n v="44"/>
    <n v="68"/>
    <n v="2"/>
    <n v="1"/>
    <s v="C1460"/>
    <s v="Male"/>
    <s v="Bachelor's Type 2"/>
    <s v="Senior Level"/>
    <s v="Low"/>
    <s v="Beginner"/>
    <s v="Good"/>
    <x v="0"/>
    <n v="48"/>
    <s v="Needs Improvement"/>
    <x v="0"/>
    <s v="Interview Preparation"/>
    <s v="Improve interview preparation and communication"/>
  </r>
  <r>
    <n v="20"/>
    <n v="0"/>
    <n v="2"/>
    <n v="2"/>
    <n v="5"/>
    <n v="25.958491663133"/>
    <n v="80"/>
    <n v="90"/>
    <n v="69"/>
    <n v="2"/>
    <n v="1"/>
    <s v="C1461"/>
    <s v="Male"/>
    <s v="Bachelor's Type 2"/>
    <s v="Entry Level"/>
    <s v="Strong"/>
    <s v="Advanced"/>
    <s v="Good"/>
    <x v="0"/>
    <n v="69"/>
    <s v="Developing"/>
    <x v="1"/>
    <s v="Personality &amp; Communication"/>
    <s v="Work on communication and personality development"/>
  </r>
  <r>
    <n v="39"/>
    <n v="1"/>
    <n v="2"/>
    <n v="9"/>
    <n v="4"/>
    <n v="31.0303314593591"/>
    <n v="89"/>
    <n v="79"/>
    <n v="66"/>
    <n v="2"/>
    <n v="1"/>
    <s v="C1462"/>
    <s v="Female"/>
    <s v="Bachelor's Type 2"/>
    <s v="Senior Level"/>
    <s v="Strong"/>
    <s v="Advanced"/>
    <s v="Good"/>
    <x v="0"/>
    <n v="75"/>
    <s v="Job Ready"/>
    <x v="2"/>
    <s v="Personality &amp; Communication"/>
    <s v="Work on communication and personality development"/>
  </r>
  <r>
    <n v="49"/>
    <n v="1"/>
    <n v="2"/>
    <n v="4"/>
    <n v="3"/>
    <n v="4.1239880678910401"/>
    <n v="5"/>
    <n v="89"/>
    <n v="47"/>
    <n v="2"/>
    <n v="1"/>
    <s v="C1463"/>
    <s v="Female"/>
    <s v="Bachelor's Type 2"/>
    <s v="Mid Level"/>
    <s v="Low"/>
    <s v="Advanced"/>
    <s v="Needs Improvement"/>
    <x v="0"/>
    <n v="44"/>
    <s v="Needs Improvement"/>
    <x v="1"/>
    <s v="Interview Preparation"/>
    <s v="Improve interview preparation and communication"/>
  </r>
  <r>
    <n v="26"/>
    <n v="0"/>
    <n v="1"/>
    <n v="8"/>
    <n v="4"/>
    <n v="37.061223374945797"/>
    <n v="48"/>
    <n v="32"/>
    <n v="75"/>
    <n v="2"/>
    <n v="0"/>
    <s v="C1464"/>
    <s v="Male"/>
    <s v="Bachelor's Type 1"/>
    <s v="Senior Level"/>
    <s v="Low"/>
    <s v="Beginner"/>
    <s v="Strong"/>
    <x v="1"/>
    <n v="50"/>
    <s v="Developing"/>
    <x v="0"/>
    <s v="Technical Skills"/>
    <s v="Strengthen technical skills and practical knowledge"/>
  </r>
  <r>
    <n v="46"/>
    <n v="0"/>
    <n v="4"/>
    <n v="3"/>
    <n v="4"/>
    <n v="12.519753575728201"/>
    <n v="72"/>
    <n v="30"/>
    <n v="99"/>
    <n v="2"/>
    <n v="1"/>
    <s v="C1465"/>
    <s v="Male"/>
    <s v="PhD"/>
    <s v="Mid Level"/>
    <s v="Average"/>
    <s v="Beginner"/>
    <s v="Strong"/>
    <x v="0"/>
    <n v="58"/>
    <s v="Developing"/>
    <x v="0"/>
    <s v="Technical Skills"/>
    <s v="Strengthen technical skills and practical knowledge"/>
  </r>
  <r>
    <n v="23"/>
    <n v="1"/>
    <n v="3"/>
    <n v="0"/>
    <n v="5"/>
    <n v="35.260072688493302"/>
    <n v="49"/>
    <n v="46"/>
    <n v="32"/>
    <n v="2"/>
    <n v="0"/>
    <s v="C1466"/>
    <s v="Female"/>
    <s v="Master's"/>
    <s v="Entry Level"/>
    <s v="Low"/>
    <s v="Beginner"/>
    <s v="Needs Improvement"/>
    <x v="1"/>
    <n v="39"/>
    <s v="Needs Improvement"/>
    <x v="2"/>
    <s v="Personality &amp; Communication"/>
    <s v="Work on communication and personality development"/>
  </r>
  <r>
    <n v="48"/>
    <n v="0"/>
    <n v="4"/>
    <n v="3"/>
    <n v="2"/>
    <n v="50.0948570017622"/>
    <n v="80"/>
    <n v="5"/>
    <n v="35"/>
    <n v="2"/>
    <n v="1"/>
    <s v="C1467"/>
    <s v="Male"/>
    <s v="PhD"/>
    <s v="Mid Level"/>
    <s v="Strong"/>
    <s v="Beginner"/>
    <s v="Needs Improvement"/>
    <x v="0"/>
    <n v="41"/>
    <s v="Needs Improvement"/>
    <x v="2"/>
    <s v="Technical Skills"/>
    <s v="Strengthen technical skills and practical knowledge"/>
  </r>
  <r>
    <n v="25"/>
    <n v="1"/>
    <n v="2"/>
    <n v="5"/>
    <n v="3"/>
    <n v="35.5552935026925"/>
    <n v="94"/>
    <n v="71"/>
    <n v="32"/>
    <n v="1"/>
    <n v="0"/>
    <s v="C1468"/>
    <s v="Female"/>
    <s v="Bachelor's Type 2"/>
    <s v="Mid Level"/>
    <s v="Strong"/>
    <s v="Intermediate"/>
    <s v="Needs Improvement"/>
    <x v="1"/>
    <n v="63"/>
    <s v="Developing"/>
    <x v="2"/>
    <s v="Personality &amp; Communication"/>
    <s v="Work on communication and personality development"/>
  </r>
  <r>
    <n v="44"/>
    <n v="1"/>
    <n v="3"/>
    <n v="4"/>
    <n v="2"/>
    <n v="45.159652646180398"/>
    <n v="11"/>
    <n v="70"/>
    <n v="30"/>
    <n v="3"/>
    <n v="1"/>
    <s v="C1469"/>
    <s v="Female"/>
    <s v="Master's"/>
    <s v="Mid Level"/>
    <s v="Low"/>
    <s v="Intermediate"/>
    <s v="Needs Improvement"/>
    <x v="0"/>
    <n v="38"/>
    <s v="Needs Improvement"/>
    <x v="1"/>
    <s v="Interview Preparation"/>
    <s v="Improve interview preparation and communication"/>
  </r>
  <r>
    <n v="20"/>
    <n v="1"/>
    <n v="3"/>
    <n v="13"/>
    <n v="4"/>
    <n v="48.409925337153297"/>
    <n v="22"/>
    <n v="33"/>
    <n v="20"/>
    <n v="3"/>
    <n v="1"/>
    <s v="C1470"/>
    <s v="Female"/>
    <s v="Master's"/>
    <s v="Senior Level"/>
    <s v="Low"/>
    <s v="Beginner"/>
    <s v="Needs Improvement"/>
    <x v="0"/>
    <n v="37"/>
    <s v="Needs Improvement"/>
    <x v="1"/>
    <s v="Personality &amp; Communication"/>
    <s v="Work on communication and personality development"/>
  </r>
  <r>
    <n v="48"/>
    <n v="1"/>
    <n v="2"/>
    <n v="12"/>
    <n v="1"/>
    <n v="25.337552417615701"/>
    <n v="53"/>
    <n v="52"/>
    <n v="26"/>
    <n v="2"/>
    <n v="0"/>
    <s v="C1471"/>
    <s v="Female"/>
    <s v="Bachelor's Type 2"/>
    <s v="Senior Level"/>
    <s v="Average"/>
    <s v="Intermediate"/>
    <s v="Needs Improvement"/>
    <x v="1"/>
    <n v="51"/>
    <s v="Developing"/>
    <x v="2"/>
    <s v="Personality &amp; Communication"/>
    <s v="Work on communication and personality development"/>
  </r>
  <r>
    <n v="24"/>
    <n v="0"/>
    <n v="2"/>
    <n v="0"/>
    <n v="4"/>
    <n v="36.116248970985303"/>
    <n v="68"/>
    <n v="13"/>
    <n v="90"/>
    <n v="2"/>
    <n v="0"/>
    <s v="C1472"/>
    <s v="Male"/>
    <s v="Bachelor's Type 2"/>
    <s v="Entry Level"/>
    <s v="Average"/>
    <s v="Beginner"/>
    <s v="Strong"/>
    <x v="1"/>
    <n v="45"/>
    <s v="Needs Improvement"/>
    <x v="0"/>
    <s v="Technical Skills"/>
    <s v="Strengthen technical skills and practical knowledge"/>
  </r>
  <r>
    <n v="46"/>
    <n v="0"/>
    <n v="2"/>
    <n v="3"/>
    <n v="2"/>
    <n v="43.598462677792"/>
    <n v="99"/>
    <n v="15"/>
    <n v="71"/>
    <n v="2"/>
    <n v="1"/>
    <s v="C1473"/>
    <s v="Male"/>
    <s v="Bachelor's Type 2"/>
    <s v="Mid Level"/>
    <s v="Strong"/>
    <s v="Beginner"/>
    <s v="Good"/>
    <x v="0"/>
    <n v="54"/>
    <s v="Developing"/>
    <x v="2"/>
    <s v="Technical Skills"/>
    <s v="Strengthen technical skills and practical knowledge"/>
  </r>
  <r>
    <n v="42"/>
    <n v="0"/>
    <n v="3"/>
    <n v="5"/>
    <n v="4"/>
    <n v="18.830445643719301"/>
    <n v="58"/>
    <n v="42"/>
    <n v="100"/>
    <n v="2"/>
    <n v="0"/>
    <s v="C1474"/>
    <s v="Male"/>
    <s v="Master's"/>
    <s v="Mid Level"/>
    <s v="Average"/>
    <s v="Beginner"/>
    <s v="Strong"/>
    <x v="1"/>
    <n v="59"/>
    <s v="Developing"/>
    <x v="0"/>
    <s v="Technical Skills"/>
    <s v="Strengthen technical skills and practical knowledge"/>
  </r>
  <r>
    <n v="20"/>
    <n v="0"/>
    <n v="2"/>
    <n v="12"/>
    <n v="1"/>
    <n v="14.069865828019701"/>
    <n v="35"/>
    <n v="72"/>
    <n v="61"/>
    <n v="2"/>
    <n v="1"/>
    <s v="C1475"/>
    <s v="Male"/>
    <s v="Bachelor's Type 2"/>
    <s v="Senior Level"/>
    <s v="Low"/>
    <s v="Intermediate"/>
    <s v="Good"/>
    <x v="0"/>
    <n v="59"/>
    <s v="Developing"/>
    <x v="1"/>
    <s v="Interview Preparation"/>
    <s v="Improve interview preparation and communication"/>
  </r>
  <r>
    <n v="49"/>
    <n v="0"/>
    <n v="1"/>
    <n v="14"/>
    <n v="5"/>
    <n v="48.329928638916897"/>
    <n v="2"/>
    <n v="73"/>
    <n v="95"/>
    <n v="1"/>
    <n v="0"/>
    <s v="C1476"/>
    <s v="Male"/>
    <s v="Bachelor's Type 1"/>
    <s v="Senior Level"/>
    <s v="Low"/>
    <s v="Intermediate"/>
    <s v="Strong"/>
    <x v="1"/>
    <n v="58"/>
    <s v="Developing"/>
    <x v="0"/>
    <s v="Interview Preparation"/>
    <s v="Improve interview preparation and communication"/>
  </r>
  <r>
    <n v="23"/>
    <n v="0"/>
    <n v="2"/>
    <n v="9"/>
    <n v="2"/>
    <n v="37.315175018440897"/>
    <n v="57"/>
    <n v="80"/>
    <n v="25"/>
    <n v="2"/>
    <n v="1"/>
    <s v="C1477"/>
    <s v="Male"/>
    <s v="Bachelor's Type 2"/>
    <s v="Senior Level"/>
    <s v="Average"/>
    <s v="Advanced"/>
    <s v="Needs Improvement"/>
    <x v="0"/>
    <n v="58"/>
    <s v="Developing"/>
    <x v="1"/>
    <s v="Personality &amp; Communication"/>
    <s v="Work on communication and personality development"/>
  </r>
  <r>
    <n v="41"/>
    <n v="0"/>
    <n v="4"/>
    <n v="9"/>
    <n v="4"/>
    <n v="11.9841066687913"/>
    <n v="87"/>
    <n v="11"/>
    <n v="65"/>
    <n v="1"/>
    <n v="1"/>
    <s v="C1478"/>
    <s v="Male"/>
    <s v="PhD"/>
    <s v="Senior Level"/>
    <s v="Strong"/>
    <s v="Beginner"/>
    <s v="Good"/>
    <x v="0"/>
    <n v="56"/>
    <s v="Developing"/>
    <x v="2"/>
    <s v="Technical Skills"/>
    <s v="Strengthen technical skills and practical knowledge"/>
  </r>
  <r>
    <n v="21"/>
    <n v="1"/>
    <n v="3"/>
    <n v="13"/>
    <n v="2"/>
    <n v="23.454169633805598"/>
    <n v="54"/>
    <n v="69"/>
    <n v="11"/>
    <n v="1"/>
    <n v="1"/>
    <s v="C1479"/>
    <s v="Female"/>
    <s v="Master's"/>
    <s v="Senior Level"/>
    <s v="Average"/>
    <s v="Intermediate"/>
    <s v="Needs Improvement"/>
    <x v="0"/>
    <n v="56"/>
    <s v="Developing"/>
    <x v="1"/>
    <s v="Personality &amp; Communication"/>
    <s v="Work on communication and personality development"/>
  </r>
  <r>
    <n v="29"/>
    <n v="0"/>
    <n v="4"/>
    <n v="3"/>
    <n v="5"/>
    <n v="40.822588476890402"/>
    <n v="56"/>
    <n v="18"/>
    <n v="21"/>
    <n v="2"/>
    <n v="1"/>
    <s v="C1480"/>
    <s v="Male"/>
    <s v="PhD"/>
    <s v="Mid Level"/>
    <s v="Average"/>
    <s v="Beginner"/>
    <s v="Needs Improvement"/>
    <x v="0"/>
    <n v="34"/>
    <s v="Needs Improvement"/>
    <x v="2"/>
    <s v="Technical Skills"/>
    <s v="Strengthen technical skills and practical knowledge"/>
  </r>
  <r>
    <n v="24"/>
    <n v="0"/>
    <n v="2"/>
    <n v="14"/>
    <n v="4"/>
    <n v="28.353149545922101"/>
    <n v="16"/>
    <n v="40"/>
    <n v="16"/>
    <n v="2"/>
    <n v="1"/>
    <s v="C1481"/>
    <s v="Male"/>
    <s v="Bachelor's Type 2"/>
    <s v="Senior Level"/>
    <s v="Low"/>
    <s v="Beginner"/>
    <s v="Needs Improvement"/>
    <x v="0"/>
    <n v="37"/>
    <s v="Needs Improvement"/>
    <x v="1"/>
    <s v="Interview Preparation"/>
    <s v="Improve interview preparation and communication"/>
  </r>
  <r>
    <n v="46"/>
    <n v="1"/>
    <n v="2"/>
    <n v="13"/>
    <n v="4"/>
    <n v="33.497604908294399"/>
    <n v="38"/>
    <n v="52"/>
    <n v="6"/>
    <n v="2"/>
    <n v="1"/>
    <s v="C1482"/>
    <s v="Female"/>
    <s v="Bachelor's Type 2"/>
    <s v="Senior Level"/>
    <s v="Low"/>
    <s v="Intermediate"/>
    <s v="Needs Improvement"/>
    <x v="0"/>
    <n v="44"/>
    <s v="Needs Improvement"/>
    <x v="1"/>
    <s v="Personality &amp; Communication"/>
    <s v="Work on communication and personality development"/>
  </r>
  <r>
    <n v="29"/>
    <n v="0"/>
    <n v="1"/>
    <n v="8"/>
    <n v="2"/>
    <n v="38.688410102252597"/>
    <n v="89"/>
    <n v="28"/>
    <n v="67"/>
    <n v="2"/>
    <n v="1"/>
    <s v="C1483"/>
    <s v="Male"/>
    <s v="Bachelor's Type 1"/>
    <s v="Senior Level"/>
    <s v="Strong"/>
    <s v="Beginner"/>
    <s v="Good"/>
    <x v="0"/>
    <n v="59"/>
    <s v="Developing"/>
    <x v="2"/>
    <s v="Technical Skills"/>
    <s v="Strengthen technical skills and practical knowledge"/>
  </r>
  <r>
    <n v="20"/>
    <n v="0"/>
    <n v="1"/>
    <n v="4"/>
    <n v="2"/>
    <n v="32.100459440449001"/>
    <n v="67"/>
    <n v="69"/>
    <n v="36"/>
    <n v="3"/>
    <n v="1"/>
    <s v="C1484"/>
    <s v="Male"/>
    <s v="Bachelor's Type 1"/>
    <s v="Mid Level"/>
    <s v="Average"/>
    <s v="Intermediate"/>
    <s v="Needs Improvement"/>
    <x v="0"/>
    <n v="55"/>
    <s v="Developing"/>
    <x v="1"/>
    <s v="Personality &amp; Communication"/>
    <s v="Work on communication and personality development"/>
  </r>
  <r>
    <n v="41"/>
    <n v="1"/>
    <n v="1"/>
    <n v="7"/>
    <n v="1"/>
    <n v="28.0039660961097"/>
    <n v="54"/>
    <n v="58"/>
    <n v="37"/>
    <n v="2"/>
    <n v="0"/>
    <s v="C1485"/>
    <s v="Female"/>
    <s v="Bachelor's Type 1"/>
    <s v="Senior Level"/>
    <s v="Average"/>
    <s v="Intermediate"/>
    <s v="Needs Improvement"/>
    <x v="1"/>
    <n v="51"/>
    <s v="Developing"/>
    <x v="1"/>
    <s v="Personality &amp; Communication"/>
    <s v="Work on communication and personality development"/>
  </r>
  <r>
    <n v="25"/>
    <n v="0"/>
    <n v="2"/>
    <n v="8"/>
    <n v="5"/>
    <n v="38.480714219388602"/>
    <n v="44"/>
    <n v="88"/>
    <n v="95"/>
    <n v="2"/>
    <n v="0"/>
    <s v="C1486"/>
    <s v="Male"/>
    <s v="Bachelor's Type 2"/>
    <s v="Senior Level"/>
    <s v="Low"/>
    <s v="Advanced"/>
    <s v="Strong"/>
    <x v="1"/>
    <n v="69"/>
    <s v="Developing"/>
    <x v="0"/>
    <s v="Interview Preparation"/>
    <s v="Improve interview preparation and communication"/>
  </r>
  <r>
    <n v="32"/>
    <n v="0"/>
    <n v="1"/>
    <n v="9"/>
    <n v="1"/>
    <n v="37.37815177161"/>
    <n v="75"/>
    <n v="63"/>
    <n v="10"/>
    <n v="1"/>
    <n v="0"/>
    <s v="C1487"/>
    <s v="Male"/>
    <s v="Bachelor's Type 1"/>
    <s v="Senior Level"/>
    <s v="Strong"/>
    <s v="Intermediate"/>
    <s v="Needs Improvement"/>
    <x v="1"/>
    <n v="55"/>
    <s v="Developing"/>
    <x v="2"/>
    <s v="Personality &amp; Communication"/>
    <s v="Work on communication and personality development"/>
  </r>
  <r>
    <n v="50"/>
    <n v="0"/>
    <n v="2"/>
    <n v="4"/>
    <n v="4"/>
    <n v="32.493620009158903"/>
    <n v="0"/>
    <n v="23"/>
    <n v="0"/>
    <n v="1"/>
    <n v="1"/>
    <s v="C1488"/>
    <s v="Male"/>
    <s v="Bachelor's Type 2"/>
    <s v="Mid Level"/>
    <s v="Low"/>
    <s v="Beginner"/>
    <s v="Needs Improvement"/>
    <x v="0"/>
    <n v="13"/>
    <s v="Needs Improvement"/>
    <x v="1"/>
    <s v="Interview Preparation"/>
    <s v="Improve interview preparation and communication"/>
  </r>
  <r>
    <n v="34"/>
    <n v="1"/>
    <n v="4"/>
    <n v="5"/>
    <n v="2"/>
    <n v="18.989470669096399"/>
    <n v="20"/>
    <n v="88"/>
    <n v="24"/>
    <n v="2"/>
    <n v="1"/>
    <s v="C1489"/>
    <s v="Female"/>
    <s v="PhD"/>
    <s v="Mid Level"/>
    <s v="Low"/>
    <s v="Advanced"/>
    <s v="Needs Improvement"/>
    <x v="0"/>
    <n v="47"/>
    <s v="Needs Improvement"/>
    <x v="1"/>
    <s v="Interview Preparation"/>
    <s v="Improve interview preparation and communication"/>
  </r>
  <r>
    <n v="23"/>
    <n v="0"/>
    <n v="2"/>
    <n v="0"/>
    <n v="4"/>
    <n v="21.290604610013499"/>
    <n v="82"/>
    <n v="15"/>
    <n v="41"/>
    <n v="2"/>
    <n v="1"/>
    <s v="C1490"/>
    <s v="Male"/>
    <s v="Bachelor's Type 2"/>
    <s v="Entry Level"/>
    <s v="Strong"/>
    <s v="Beginner"/>
    <s v="Needs Improvement"/>
    <x v="0"/>
    <n v="40"/>
    <s v="Needs Improvement"/>
    <x v="2"/>
    <s v="Technical Skills"/>
    <s v="Strengthen technical skills and practical knowledge"/>
  </r>
  <r>
    <n v="32"/>
    <n v="0"/>
    <n v="3"/>
    <n v="10"/>
    <n v="4"/>
    <n v="49.521927444204799"/>
    <n v="20"/>
    <n v="51"/>
    <n v="51"/>
    <n v="2"/>
    <n v="0"/>
    <s v="C1491"/>
    <s v="Male"/>
    <s v="Master's"/>
    <s v="Senior Level"/>
    <s v="Low"/>
    <s v="Intermediate"/>
    <s v="Good"/>
    <x v="1"/>
    <n v="45"/>
    <s v="Needs Improvement"/>
    <x v="1"/>
    <s v="Interview Preparation"/>
    <s v="Improve interview preparation and communication"/>
  </r>
  <r>
    <n v="43"/>
    <n v="1"/>
    <n v="2"/>
    <n v="15"/>
    <n v="3"/>
    <n v="6.6192966145762897"/>
    <n v="51"/>
    <n v="79"/>
    <n v="23"/>
    <n v="2"/>
    <n v="0"/>
    <s v="C1492"/>
    <s v="Female"/>
    <s v="Bachelor's Type 2"/>
    <s v="Senior Level"/>
    <s v="Average"/>
    <s v="Advanced"/>
    <s v="Needs Improvement"/>
    <x v="1"/>
    <n v="61"/>
    <s v="Developing"/>
    <x v="1"/>
    <s v="Personality &amp; Communication"/>
    <s v="Work on communication and personality development"/>
  </r>
  <r>
    <n v="39"/>
    <n v="0"/>
    <n v="2"/>
    <n v="11"/>
    <n v="3"/>
    <n v="14.425245862641701"/>
    <n v="81"/>
    <n v="5"/>
    <n v="52"/>
    <n v="2"/>
    <n v="0"/>
    <s v="C1493"/>
    <s v="Male"/>
    <s v="Bachelor's Type 2"/>
    <s v="Senior Level"/>
    <s v="Strong"/>
    <s v="Beginner"/>
    <s v="Good"/>
    <x v="1"/>
    <n v="50"/>
    <s v="Developing"/>
    <x v="2"/>
    <s v="Technical Skills"/>
    <s v="Strengthen technical skills and practical knowledge"/>
  </r>
  <r>
    <n v="43"/>
    <n v="1"/>
    <n v="2"/>
    <n v="14"/>
    <n v="4"/>
    <n v="25.620087960216701"/>
    <n v="42"/>
    <n v="36"/>
    <n v="55"/>
    <n v="1"/>
    <n v="0"/>
    <s v="C1494"/>
    <s v="Female"/>
    <s v="Bachelor's Type 2"/>
    <s v="Senior Level"/>
    <s v="Low"/>
    <s v="Beginner"/>
    <s v="Good"/>
    <x v="1"/>
    <n v="51"/>
    <s v="Developing"/>
    <x v="0"/>
    <s v="Technical Skills"/>
    <s v="Strengthen technical skills and practical knowledge"/>
  </r>
  <r>
    <n v="34"/>
    <n v="1"/>
    <n v="1"/>
    <n v="6"/>
    <n v="2"/>
    <n v="42.836484307189203"/>
    <n v="51"/>
    <n v="84"/>
    <n v="62"/>
    <n v="1"/>
    <n v="0"/>
    <s v="C1495"/>
    <s v="Female"/>
    <s v="Bachelor's Type 1"/>
    <s v="Mid Level"/>
    <s v="Average"/>
    <s v="Advanced"/>
    <s v="Good"/>
    <x v="1"/>
    <n v="61"/>
    <s v="Developing"/>
    <x v="1"/>
    <s v="Interview Preparation"/>
    <s v="Improve interview preparation and communication"/>
  </r>
  <r>
    <n v="48"/>
    <n v="0"/>
    <n v="2"/>
    <n v="3"/>
    <n v="4"/>
    <n v="9.1837831864863908"/>
    <n v="66"/>
    <n v="3"/>
    <n v="80"/>
    <n v="3"/>
    <n v="1"/>
    <s v="C1496"/>
    <s v="Male"/>
    <s v="Bachelor's Type 2"/>
    <s v="Mid Level"/>
    <s v="Average"/>
    <s v="Beginner"/>
    <s v="Strong"/>
    <x v="0"/>
    <n v="42"/>
    <s v="Needs Improvement"/>
    <x v="0"/>
    <s v="Technical Skills"/>
    <s v="Strengthen technical skills and practical knowledge"/>
  </r>
  <r>
    <n v="27"/>
    <n v="1"/>
    <n v="2"/>
    <n v="10"/>
    <n v="3"/>
    <n v="14.847730906230399"/>
    <n v="43"/>
    <n v="97"/>
    <n v="7"/>
    <n v="2"/>
    <n v="0"/>
    <s v="C1497"/>
    <s v="Female"/>
    <s v="Bachelor's Type 2"/>
    <s v="Senior Level"/>
    <s v="Low"/>
    <s v="Advanced"/>
    <s v="Needs Improvement"/>
    <x v="1"/>
    <n v="56"/>
    <s v="Developing"/>
    <x v="1"/>
    <s v="Personality &amp; Communication"/>
    <s v="Work on communication and personality development"/>
  </r>
  <r>
    <n v="24"/>
    <n v="1"/>
    <n v="1"/>
    <n v="1"/>
    <n v="2"/>
    <n v="4.2899108897619396"/>
    <n v="31"/>
    <n v="91"/>
    <n v="58"/>
    <n v="1"/>
    <n v="1"/>
    <s v="C1498"/>
    <s v="Female"/>
    <s v="Bachelor's Type 1"/>
    <s v="Entry Level"/>
    <s v="Low"/>
    <s v="Advanced"/>
    <s v="Good"/>
    <x v="0"/>
    <n v="52"/>
    <s v="Developing"/>
    <x v="1"/>
    <s v="Interview Preparation"/>
    <s v="Improve interview preparation and communication"/>
  </r>
  <r>
    <n v="48"/>
    <n v="0"/>
    <n v="2"/>
    <n v="4"/>
    <n v="4"/>
    <n v="36.299263302540901"/>
    <n v="9"/>
    <n v="37"/>
    <n v="44"/>
    <n v="2"/>
    <n v="1"/>
    <s v="C1499"/>
    <s v="Male"/>
    <s v="Bachelor's Type 2"/>
    <s v="Mid Level"/>
    <s v="Low"/>
    <s v="Beginner"/>
    <s v="Needs Improvement"/>
    <x v="0"/>
    <n v="29"/>
    <s v="Needs Improvement"/>
    <x v="0"/>
    <s v="Interview Preparation"/>
    <s v="Improve interview preparation and communication"/>
  </r>
  <r>
    <n v="34"/>
    <n v="1"/>
    <n v="2"/>
    <n v="11"/>
    <n v="5"/>
    <n v="12.910471773780801"/>
    <n v="63"/>
    <n v="40"/>
    <n v="26"/>
    <n v="2"/>
    <n v="1"/>
    <s v="C1500"/>
    <s v="Female"/>
    <s v="Bachelor's Type 2"/>
    <s v="Senior Level"/>
    <s v="Average"/>
    <s v="Beginner"/>
    <s v="Needs Improvement"/>
    <x v="0"/>
    <n v="50"/>
    <s v="Developing"/>
    <x v="2"/>
    <s v="Personality &amp; Communication"/>
    <s v="Work on communication and personality development"/>
  </r>
  <r>
    <m/>
    <m/>
    <m/>
    <m/>
    <m/>
    <m/>
    <m/>
    <m/>
    <m/>
    <m/>
    <m/>
    <m/>
    <m/>
    <m/>
    <m/>
    <m/>
    <m/>
    <m/>
    <x v="2"/>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26"/>
    <x v="0"/>
    <n v="2"/>
    <n v="0"/>
    <n v="3"/>
    <n v="26.783827553853602"/>
    <x v="0"/>
    <n v="78"/>
    <n v="91"/>
    <n v="1"/>
    <n v="1"/>
    <s v="C001"/>
    <x v="0"/>
    <x v="0"/>
    <x v="0"/>
    <x v="0"/>
    <x v="0"/>
    <s v="Strong"/>
    <x v="0"/>
    <n v="59"/>
    <x v="0"/>
    <x v="0"/>
    <x v="0"/>
    <s v="Improve interview preparation and communication"/>
  </r>
  <r>
    <n v="39"/>
    <x v="0"/>
    <n v="4"/>
    <n v="12"/>
    <n v="3"/>
    <n v="25.862694329543899"/>
    <x v="1"/>
    <n v="68"/>
    <n v="80"/>
    <n v="2"/>
    <n v="1"/>
    <s v="C002"/>
    <x v="0"/>
    <x v="1"/>
    <x v="1"/>
    <x v="0"/>
    <x v="1"/>
    <s v="Strong"/>
    <x v="0"/>
    <n v="64"/>
    <x v="0"/>
    <x v="0"/>
    <x v="0"/>
    <s v="Improve interview preparation and communication"/>
  </r>
  <r>
    <n v="48"/>
    <x v="1"/>
    <n v="2"/>
    <n v="3"/>
    <n v="2"/>
    <n v="9.9208048281747807"/>
    <x v="2"/>
    <n v="67"/>
    <n v="13"/>
    <n v="2"/>
    <n v="0"/>
    <s v="C003"/>
    <x v="1"/>
    <x v="0"/>
    <x v="2"/>
    <x v="0"/>
    <x v="1"/>
    <s v="Needs Improvement"/>
    <x v="1"/>
    <n v="34"/>
    <x v="1"/>
    <x v="1"/>
    <x v="1"/>
    <s v="Work on communication and personality development"/>
  </r>
  <r>
    <n v="34"/>
    <x v="0"/>
    <n v="2"/>
    <n v="5"/>
    <n v="2"/>
    <n v="6.4077507286678301"/>
    <x v="3"/>
    <n v="27"/>
    <n v="70"/>
    <n v="3"/>
    <n v="0"/>
    <s v="C004"/>
    <x v="0"/>
    <x v="0"/>
    <x v="2"/>
    <x v="0"/>
    <x v="2"/>
    <s v="Good"/>
    <x v="1"/>
    <n v="40"/>
    <x v="1"/>
    <x v="0"/>
    <x v="2"/>
    <s v="Strengthen technical skills and practical knowledge"/>
  </r>
  <r>
    <n v="30"/>
    <x v="1"/>
    <n v="1"/>
    <n v="6"/>
    <n v="1"/>
    <n v="43.105343124175498"/>
    <x v="4"/>
    <n v="52"/>
    <n v="85"/>
    <n v="2"/>
    <n v="0"/>
    <s v="C005"/>
    <x v="1"/>
    <x v="2"/>
    <x v="2"/>
    <x v="0"/>
    <x v="1"/>
    <s v="Strong"/>
    <x v="1"/>
    <n v="48"/>
    <x v="1"/>
    <x v="0"/>
    <x v="0"/>
    <s v="Improve interview preparation and communication"/>
  </r>
  <r>
    <n v="27"/>
    <x v="1"/>
    <n v="3"/>
    <n v="14"/>
    <n v="4"/>
    <n v="31.706658809375899"/>
    <x v="5"/>
    <n v="50"/>
    <n v="50"/>
    <n v="1"/>
    <n v="1"/>
    <s v="C006"/>
    <x v="1"/>
    <x v="3"/>
    <x v="1"/>
    <x v="1"/>
    <x v="1"/>
    <s v="Good"/>
    <x v="0"/>
    <n v="59"/>
    <x v="0"/>
    <x v="2"/>
    <x v="2"/>
    <s v="Strengthen technical skills and practical knowledge"/>
  </r>
  <r>
    <n v="48"/>
    <x v="1"/>
    <n v="2"/>
    <n v="6"/>
    <n v="1"/>
    <n v="17.291229200972399"/>
    <x v="6"/>
    <n v="52"/>
    <n v="64"/>
    <n v="3"/>
    <n v="0"/>
    <s v="C007"/>
    <x v="1"/>
    <x v="0"/>
    <x v="2"/>
    <x v="0"/>
    <x v="1"/>
    <s v="Good"/>
    <x v="1"/>
    <n v="44"/>
    <x v="1"/>
    <x v="0"/>
    <x v="0"/>
    <s v="Improve interview preparation and communication"/>
  </r>
  <r>
    <n v="40"/>
    <x v="1"/>
    <n v="4"/>
    <n v="13"/>
    <n v="3"/>
    <n v="10.5868108695133"/>
    <x v="7"/>
    <n v="3"/>
    <n v="92"/>
    <n v="3"/>
    <n v="0"/>
    <s v="C008"/>
    <x v="1"/>
    <x v="1"/>
    <x v="1"/>
    <x v="0"/>
    <x v="2"/>
    <s v="Strong"/>
    <x v="1"/>
    <n v="39"/>
    <x v="1"/>
    <x v="0"/>
    <x v="2"/>
    <s v="Strengthen technical skills and practical knowledge"/>
  </r>
  <r>
    <n v="26"/>
    <x v="0"/>
    <n v="3"/>
    <n v="6"/>
    <n v="5"/>
    <n v="28.774864008481501"/>
    <x v="8"/>
    <n v="78"/>
    <n v="51"/>
    <n v="1"/>
    <n v="1"/>
    <s v="C009"/>
    <x v="0"/>
    <x v="3"/>
    <x v="2"/>
    <x v="2"/>
    <x v="0"/>
    <s v="Good"/>
    <x v="0"/>
    <n v="67"/>
    <x v="0"/>
    <x v="2"/>
    <x v="1"/>
    <s v="Work on communication and personality development"/>
  </r>
  <r>
    <n v="45"/>
    <x v="0"/>
    <n v="2"/>
    <n v="2"/>
    <n v="5"/>
    <n v="30.195964463056701"/>
    <x v="9"/>
    <n v="16"/>
    <n v="94"/>
    <n v="3"/>
    <n v="0"/>
    <s v="C010"/>
    <x v="0"/>
    <x v="0"/>
    <x v="0"/>
    <x v="2"/>
    <x v="2"/>
    <s v="Strong"/>
    <x v="1"/>
    <n v="56"/>
    <x v="0"/>
    <x v="0"/>
    <x v="2"/>
    <s v="Strengthen technical skills and practical knowledge"/>
  </r>
  <r>
    <n v="38"/>
    <x v="0"/>
    <n v="1"/>
    <n v="15"/>
    <n v="2"/>
    <n v="11.349680062252901"/>
    <x v="10"/>
    <n v="66"/>
    <n v="29"/>
    <n v="2"/>
    <n v="0"/>
    <s v="C011"/>
    <x v="0"/>
    <x v="2"/>
    <x v="1"/>
    <x v="2"/>
    <x v="1"/>
    <s v="Needs Improvement"/>
    <x v="1"/>
    <n v="71"/>
    <x v="0"/>
    <x v="2"/>
    <x v="1"/>
    <s v="Work on communication and personality development"/>
  </r>
  <r>
    <n v="42"/>
    <x v="1"/>
    <n v="3"/>
    <n v="5"/>
    <n v="5"/>
    <n v="43.570287394573697"/>
    <x v="11"/>
    <n v="73"/>
    <n v="56"/>
    <n v="2"/>
    <n v="0"/>
    <s v="C012"/>
    <x v="1"/>
    <x v="3"/>
    <x v="2"/>
    <x v="1"/>
    <x v="1"/>
    <s v="Good"/>
    <x v="1"/>
    <n v="63"/>
    <x v="0"/>
    <x v="1"/>
    <x v="1"/>
    <s v="Work on communication and personality development"/>
  </r>
  <r>
    <n v="30"/>
    <x v="1"/>
    <n v="3"/>
    <n v="12"/>
    <n v="5"/>
    <n v="5.21321830779255"/>
    <x v="12"/>
    <n v="46"/>
    <n v="78"/>
    <n v="3"/>
    <n v="1"/>
    <s v="C013"/>
    <x v="1"/>
    <x v="3"/>
    <x v="1"/>
    <x v="2"/>
    <x v="2"/>
    <s v="Strong"/>
    <x v="0"/>
    <n v="74"/>
    <x v="0"/>
    <x v="2"/>
    <x v="2"/>
    <s v="Strengthen technical skills and practical knowledge"/>
  </r>
  <r>
    <n v="30"/>
    <x v="1"/>
    <n v="1"/>
    <n v="7"/>
    <n v="5"/>
    <n v="18.804654258321001"/>
    <x v="11"/>
    <n v="55"/>
    <n v="81"/>
    <n v="2"/>
    <n v="0"/>
    <s v="C014"/>
    <x v="1"/>
    <x v="2"/>
    <x v="1"/>
    <x v="1"/>
    <x v="1"/>
    <s v="Strong"/>
    <x v="1"/>
    <n v="63"/>
    <x v="0"/>
    <x v="0"/>
    <x v="2"/>
    <s v="Strengthen technical skills and practical knowledge"/>
  </r>
  <r>
    <n v="43"/>
    <x v="0"/>
    <n v="2"/>
    <n v="3"/>
    <n v="3"/>
    <n v="35.019220688126097"/>
    <x v="4"/>
    <n v="22"/>
    <n v="98"/>
    <n v="1"/>
    <n v="0"/>
    <s v="C015"/>
    <x v="0"/>
    <x v="0"/>
    <x v="2"/>
    <x v="0"/>
    <x v="2"/>
    <s v="Strong"/>
    <x v="1"/>
    <n v="39"/>
    <x v="1"/>
    <x v="0"/>
    <x v="2"/>
    <s v="Strengthen technical skills and practical knowledge"/>
  </r>
  <r>
    <n v="40"/>
    <x v="1"/>
    <n v="3"/>
    <n v="12"/>
    <n v="5"/>
    <n v="14.70601819096"/>
    <x v="13"/>
    <n v="17"/>
    <n v="29"/>
    <n v="2"/>
    <n v="0"/>
    <s v="C016"/>
    <x v="1"/>
    <x v="3"/>
    <x v="1"/>
    <x v="0"/>
    <x v="2"/>
    <s v="Needs Improvement"/>
    <x v="1"/>
    <n v="30"/>
    <x v="1"/>
    <x v="0"/>
    <x v="0"/>
    <s v="Improve interview preparation and communication"/>
  </r>
  <r>
    <n v="23"/>
    <x v="0"/>
    <n v="1"/>
    <n v="7"/>
    <n v="5"/>
    <n v="42.3837597390635"/>
    <x v="14"/>
    <n v="0"/>
    <n v="97"/>
    <n v="2"/>
    <n v="0"/>
    <s v="C017"/>
    <x v="0"/>
    <x v="2"/>
    <x v="1"/>
    <x v="1"/>
    <x v="2"/>
    <s v="Strong"/>
    <x v="1"/>
    <n v="51"/>
    <x v="0"/>
    <x v="0"/>
    <x v="2"/>
    <s v="Strengthen technical skills and practical knowledge"/>
  </r>
  <r>
    <n v="27"/>
    <x v="0"/>
    <n v="4"/>
    <n v="1"/>
    <n v="5"/>
    <n v="37.993391330020103"/>
    <x v="15"/>
    <n v="34"/>
    <n v="41"/>
    <n v="1"/>
    <n v="0"/>
    <s v="C018"/>
    <x v="0"/>
    <x v="1"/>
    <x v="0"/>
    <x v="0"/>
    <x v="2"/>
    <s v="Needs Improvement"/>
    <x v="1"/>
    <n v="28"/>
    <x v="1"/>
    <x v="0"/>
    <x v="0"/>
    <s v="Improve interview preparation and communication"/>
  </r>
  <r>
    <n v="43"/>
    <x v="0"/>
    <n v="2"/>
    <n v="14"/>
    <n v="1"/>
    <n v="40.451142227406699"/>
    <x v="16"/>
    <n v="63"/>
    <n v="10"/>
    <n v="2"/>
    <n v="0"/>
    <s v="C019"/>
    <x v="0"/>
    <x v="0"/>
    <x v="1"/>
    <x v="0"/>
    <x v="1"/>
    <s v="Needs Improvement"/>
    <x v="1"/>
    <n v="48"/>
    <x v="1"/>
    <x v="1"/>
    <x v="1"/>
    <s v="Work on communication and personality development"/>
  </r>
  <r>
    <n v="22"/>
    <x v="0"/>
    <n v="1"/>
    <n v="9"/>
    <n v="3"/>
    <n v="6.9553267938358099"/>
    <x v="17"/>
    <n v="57"/>
    <n v="26"/>
    <n v="2"/>
    <n v="0"/>
    <s v="C020"/>
    <x v="0"/>
    <x v="2"/>
    <x v="1"/>
    <x v="1"/>
    <x v="1"/>
    <s v="Needs Improvement"/>
    <x v="1"/>
    <n v="52"/>
    <x v="0"/>
    <x v="2"/>
    <x v="1"/>
    <s v="Work on communication and personality development"/>
  </r>
  <r>
    <n v="41"/>
    <x v="0"/>
    <n v="3"/>
    <n v="8"/>
    <n v="2"/>
    <n v="8.0273563997771404"/>
    <x v="18"/>
    <n v="94"/>
    <n v="23"/>
    <n v="2"/>
    <n v="0"/>
    <s v="C021"/>
    <x v="0"/>
    <x v="3"/>
    <x v="1"/>
    <x v="1"/>
    <x v="0"/>
    <s v="Needs Improvement"/>
    <x v="1"/>
    <n v="65"/>
    <x v="0"/>
    <x v="1"/>
    <x v="1"/>
    <s v="Work on communication and personality development"/>
  </r>
  <r>
    <n v="40"/>
    <x v="0"/>
    <n v="2"/>
    <n v="8"/>
    <n v="1"/>
    <n v="15.323686887229099"/>
    <x v="19"/>
    <n v="58"/>
    <n v="98"/>
    <n v="2"/>
    <n v="1"/>
    <s v="C022"/>
    <x v="0"/>
    <x v="0"/>
    <x v="1"/>
    <x v="2"/>
    <x v="1"/>
    <s v="Strong"/>
    <x v="0"/>
    <n v="77"/>
    <x v="2"/>
    <x v="2"/>
    <x v="2"/>
    <s v="Strengthen technical skills and practical knowledge"/>
  </r>
  <r>
    <n v="21"/>
    <x v="1"/>
    <n v="2"/>
    <n v="7"/>
    <n v="4"/>
    <n v="26.903858259878"/>
    <x v="20"/>
    <n v="0"/>
    <n v="38"/>
    <n v="3"/>
    <n v="0"/>
    <s v="C023"/>
    <x v="1"/>
    <x v="0"/>
    <x v="1"/>
    <x v="2"/>
    <x v="2"/>
    <s v="Needs Improvement"/>
    <x v="1"/>
    <n v="44"/>
    <x v="1"/>
    <x v="2"/>
    <x v="2"/>
    <s v="Strengthen technical skills and practical knowledge"/>
  </r>
  <r>
    <n v="43"/>
    <x v="1"/>
    <n v="1"/>
    <n v="9"/>
    <n v="3"/>
    <n v="38.400803834970098"/>
    <x v="21"/>
    <n v="2"/>
    <n v="71"/>
    <n v="2"/>
    <n v="0"/>
    <s v="C024"/>
    <x v="1"/>
    <x v="2"/>
    <x v="1"/>
    <x v="1"/>
    <x v="2"/>
    <s v="Good"/>
    <x v="1"/>
    <n v="43"/>
    <x v="1"/>
    <x v="0"/>
    <x v="2"/>
    <s v="Strengthen technical skills and practical knowledge"/>
  </r>
  <r>
    <n v="31"/>
    <x v="0"/>
    <n v="1"/>
    <n v="13"/>
    <n v="3"/>
    <n v="42.826544538045098"/>
    <x v="22"/>
    <n v="66"/>
    <n v="17"/>
    <n v="2"/>
    <n v="0"/>
    <s v="C025"/>
    <x v="0"/>
    <x v="2"/>
    <x v="1"/>
    <x v="0"/>
    <x v="1"/>
    <s v="Needs Improvement"/>
    <x v="1"/>
    <n v="42"/>
    <x v="1"/>
    <x v="1"/>
    <x v="0"/>
    <s v="Improve interview preparation and communication"/>
  </r>
  <r>
    <n v="49"/>
    <x v="0"/>
    <n v="2"/>
    <n v="12"/>
    <n v="4"/>
    <n v="36.216765797858997"/>
    <x v="23"/>
    <n v="36"/>
    <n v="76"/>
    <n v="1"/>
    <n v="1"/>
    <s v="C026"/>
    <x v="0"/>
    <x v="0"/>
    <x v="1"/>
    <x v="0"/>
    <x v="2"/>
    <s v="Strong"/>
    <x v="0"/>
    <n v="47"/>
    <x v="1"/>
    <x v="0"/>
    <x v="0"/>
    <s v="Improve interview preparation and communication"/>
  </r>
  <r>
    <n v="25"/>
    <x v="1"/>
    <n v="2"/>
    <n v="9"/>
    <n v="4"/>
    <n v="47.4298440765319"/>
    <x v="24"/>
    <n v="82"/>
    <n v="44"/>
    <n v="2"/>
    <n v="0"/>
    <s v="C027"/>
    <x v="1"/>
    <x v="0"/>
    <x v="1"/>
    <x v="2"/>
    <x v="0"/>
    <s v="Needs Improvement"/>
    <x v="1"/>
    <n v="70"/>
    <x v="0"/>
    <x v="2"/>
    <x v="1"/>
    <s v="Work on communication and personality development"/>
  </r>
  <r>
    <n v="21"/>
    <x v="0"/>
    <n v="2"/>
    <n v="0"/>
    <n v="4"/>
    <n v="37.937175480796498"/>
    <x v="25"/>
    <n v="28"/>
    <n v="87"/>
    <n v="3"/>
    <n v="0"/>
    <s v="C028"/>
    <x v="0"/>
    <x v="0"/>
    <x v="0"/>
    <x v="2"/>
    <x v="2"/>
    <s v="Strong"/>
    <x v="1"/>
    <n v="58"/>
    <x v="0"/>
    <x v="2"/>
    <x v="2"/>
    <s v="Strengthen technical skills and practical knowledge"/>
  </r>
  <r>
    <n v="47"/>
    <x v="0"/>
    <n v="3"/>
    <n v="1"/>
    <n v="2"/>
    <n v="16.313394350230698"/>
    <x v="26"/>
    <n v="88"/>
    <n v="86"/>
    <n v="2"/>
    <n v="0"/>
    <s v="C029"/>
    <x v="0"/>
    <x v="3"/>
    <x v="0"/>
    <x v="0"/>
    <x v="0"/>
    <s v="Strong"/>
    <x v="1"/>
    <n v="60"/>
    <x v="0"/>
    <x v="1"/>
    <x v="0"/>
    <s v="Improve interview preparation and communication"/>
  </r>
  <r>
    <n v="40"/>
    <x v="1"/>
    <n v="2"/>
    <n v="5"/>
    <n v="5"/>
    <n v="14.254064216928599"/>
    <x v="27"/>
    <n v="32"/>
    <n v="11"/>
    <n v="2"/>
    <n v="0"/>
    <s v="C030"/>
    <x v="1"/>
    <x v="0"/>
    <x v="2"/>
    <x v="2"/>
    <x v="2"/>
    <s v="Needs Improvement"/>
    <x v="1"/>
    <n v="45"/>
    <x v="1"/>
    <x v="2"/>
    <x v="1"/>
    <s v="Work on communication and personality development"/>
  </r>
  <r>
    <n v="20"/>
    <x v="0"/>
    <n v="1"/>
    <n v="9"/>
    <n v="3"/>
    <n v="35.8096225150544"/>
    <x v="28"/>
    <n v="99"/>
    <n v="48"/>
    <n v="2"/>
    <n v="0"/>
    <s v="C031"/>
    <x v="0"/>
    <x v="2"/>
    <x v="1"/>
    <x v="2"/>
    <x v="0"/>
    <s v="Needs Improvement"/>
    <x v="1"/>
    <n v="75"/>
    <x v="2"/>
    <x v="1"/>
    <x v="1"/>
    <s v="Work on communication and personality development"/>
  </r>
  <r>
    <n v="31"/>
    <x v="0"/>
    <n v="2"/>
    <n v="4"/>
    <n v="5"/>
    <n v="10.6435284344807"/>
    <x v="12"/>
    <n v="60"/>
    <n v="93"/>
    <n v="2"/>
    <n v="0"/>
    <s v="C032"/>
    <x v="0"/>
    <x v="0"/>
    <x v="2"/>
    <x v="2"/>
    <x v="1"/>
    <s v="Strong"/>
    <x v="1"/>
    <n v="72"/>
    <x v="0"/>
    <x v="2"/>
    <x v="2"/>
    <s v="Strengthen technical skills and practical knowledge"/>
  </r>
  <r>
    <n v="45"/>
    <x v="0"/>
    <n v="4"/>
    <n v="11"/>
    <n v="5"/>
    <n v="5.6357405405134902"/>
    <x v="15"/>
    <n v="92"/>
    <n v="30"/>
    <n v="1"/>
    <n v="1"/>
    <s v="C033"/>
    <x v="0"/>
    <x v="1"/>
    <x v="1"/>
    <x v="0"/>
    <x v="0"/>
    <s v="Needs Improvement"/>
    <x v="0"/>
    <n v="53"/>
    <x v="0"/>
    <x v="1"/>
    <x v="0"/>
    <s v="Improve interview preparation and communication"/>
  </r>
  <r>
    <n v="41"/>
    <x v="1"/>
    <n v="3"/>
    <n v="13"/>
    <n v="4"/>
    <n v="27.611143742809599"/>
    <x v="29"/>
    <n v="89"/>
    <n v="91"/>
    <n v="3"/>
    <n v="1"/>
    <s v="C034"/>
    <x v="1"/>
    <x v="3"/>
    <x v="1"/>
    <x v="0"/>
    <x v="0"/>
    <s v="Strong"/>
    <x v="0"/>
    <n v="72"/>
    <x v="0"/>
    <x v="0"/>
    <x v="0"/>
    <s v="Improve interview preparation and communication"/>
  </r>
  <r>
    <n v="48"/>
    <x v="1"/>
    <n v="2"/>
    <n v="8"/>
    <n v="2"/>
    <n v="42.082078488947701"/>
    <x v="11"/>
    <n v="3"/>
    <n v="21"/>
    <n v="1"/>
    <n v="0"/>
    <s v="C035"/>
    <x v="1"/>
    <x v="0"/>
    <x v="1"/>
    <x v="1"/>
    <x v="2"/>
    <s v="Needs Improvement"/>
    <x v="1"/>
    <n v="37"/>
    <x v="1"/>
    <x v="2"/>
    <x v="2"/>
    <s v="Strengthen technical skills and practical knowledge"/>
  </r>
  <r>
    <n v="31"/>
    <x v="1"/>
    <n v="2"/>
    <n v="4"/>
    <n v="1"/>
    <n v="6.0689921234931701"/>
    <x v="30"/>
    <n v="13"/>
    <n v="43"/>
    <n v="2"/>
    <n v="0"/>
    <s v="C036"/>
    <x v="1"/>
    <x v="0"/>
    <x v="2"/>
    <x v="1"/>
    <x v="2"/>
    <s v="Needs Improvement"/>
    <x v="1"/>
    <n v="41"/>
    <x v="1"/>
    <x v="2"/>
    <x v="2"/>
    <s v="Strengthen technical skills and practical knowledge"/>
  </r>
  <r>
    <n v="44"/>
    <x v="0"/>
    <n v="2"/>
    <n v="1"/>
    <n v="2"/>
    <n v="40.594566189786399"/>
    <x v="31"/>
    <n v="90"/>
    <n v="91"/>
    <n v="2"/>
    <n v="0"/>
    <s v="C037"/>
    <x v="0"/>
    <x v="0"/>
    <x v="0"/>
    <x v="0"/>
    <x v="0"/>
    <s v="Strong"/>
    <x v="1"/>
    <n v="58"/>
    <x v="0"/>
    <x v="0"/>
    <x v="0"/>
    <s v="Improve interview preparation and communication"/>
  </r>
  <r>
    <n v="36"/>
    <x v="0"/>
    <n v="3"/>
    <n v="9"/>
    <n v="5"/>
    <n v="41.578600217577403"/>
    <x v="9"/>
    <n v="32"/>
    <n v="63"/>
    <n v="2"/>
    <n v="1"/>
    <s v="C038"/>
    <x v="0"/>
    <x v="3"/>
    <x v="1"/>
    <x v="2"/>
    <x v="2"/>
    <s v="Good"/>
    <x v="0"/>
    <n v="63"/>
    <x v="0"/>
    <x v="2"/>
    <x v="2"/>
    <s v="Strengthen technical skills and practical knowledge"/>
  </r>
  <r>
    <n v="46"/>
    <x v="1"/>
    <n v="3"/>
    <n v="3"/>
    <n v="2"/>
    <n v="25.113700004077099"/>
    <x v="32"/>
    <n v="21"/>
    <n v="76"/>
    <n v="1"/>
    <n v="1"/>
    <s v="C039"/>
    <x v="1"/>
    <x v="3"/>
    <x v="2"/>
    <x v="1"/>
    <x v="2"/>
    <s v="Strong"/>
    <x v="0"/>
    <n v="47"/>
    <x v="1"/>
    <x v="0"/>
    <x v="2"/>
    <s v="Strengthen technical skills and practical knowledge"/>
  </r>
  <r>
    <n v="46"/>
    <x v="0"/>
    <n v="2"/>
    <n v="8"/>
    <n v="4"/>
    <n v="3.86551550052434"/>
    <x v="22"/>
    <n v="47"/>
    <n v="24"/>
    <n v="2"/>
    <n v="0"/>
    <s v="C040"/>
    <x v="0"/>
    <x v="0"/>
    <x v="1"/>
    <x v="0"/>
    <x v="2"/>
    <s v="Needs Improvement"/>
    <x v="1"/>
    <n v="33"/>
    <x v="1"/>
    <x v="1"/>
    <x v="0"/>
    <s v="Improve interview preparation and communication"/>
  </r>
  <r>
    <n v="50"/>
    <x v="0"/>
    <n v="3"/>
    <n v="0"/>
    <n v="1"/>
    <n v="9.7294925623593205"/>
    <x v="31"/>
    <n v="2"/>
    <n v="50"/>
    <n v="1"/>
    <n v="0"/>
    <s v="C041"/>
    <x v="0"/>
    <x v="3"/>
    <x v="0"/>
    <x v="0"/>
    <x v="2"/>
    <s v="Good"/>
    <x v="1"/>
    <n v="23"/>
    <x v="1"/>
    <x v="0"/>
    <x v="2"/>
    <s v="Strengthen technical skills and practical knowledge"/>
  </r>
  <r>
    <n v="29"/>
    <x v="0"/>
    <n v="3"/>
    <n v="10"/>
    <n v="4"/>
    <n v="36.371313758096598"/>
    <x v="33"/>
    <n v="86"/>
    <n v="6"/>
    <n v="1"/>
    <n v="1"/>
    <s v="C042"/>
    <x v="0"/>
    <x v="3"/>
    <x v="1"/>
    <x v="0"/>
    <x v="0"/>
    <s v="Needs Improvement"/>
    <x v="0"/>
    <n v="41"/>
    <x v="1"/>
    <x v="1"/>
    <x v="0"/>
    <s v="Improve interview preparation and communication"/>
  </r>
  <r>
    <n v="47"/>
    <x v="0"/>
    <n v="1"/>
    <n v="0"/>
    <n v="1"/>
    <n v="36.588897249547401"/>
    <x v="34"/>
    <n v="84"/>
    <n v="5"/>
    <n v="2"/>
    <n v="0"/>
    <s v="C043"/>
    <x v="0"/>
    <x v="2"/>
    <x v="0"/>
    <x v="0"/>
    <x v="0"/>
    <s v="Needs Improvement"/>
    <x v="1"/>
    <n v="33"/>
    <x v="1"/>
    <x v="1"/>
    <x v="1"/>
    <s v="Work on communication and personality development"/>
  </r>
  <r>
    <n v="47"/>
    <x v="0"/>
    <n v="2"/>
    <n v="11"/>
    <n v="5"/>
    <n v="45.917763758383202"/>
    <x v="21"/>
    <n v="22"/>
    <n v="23"/>
    <n v="2"/>
    <n v="0"/>
    <s v="C044"/>
    <x v="0"/>
    <x v="0"/>
    <x v="1"/>
    <x v="1"/>
    <x v="2"/>
    <s v="Needs Improvement"/>
    <x v="1"/>
    <n v="42"/>
    <x v="1"/>
    <x v="2"/>
    <x v="2"/>
    <s v="Strengthen technical skills and practical knowledge"/>
  </r>
  <r>
    <n v="35"/>
    <x v="1"/>
    <n v="1"/>
    <n v="6"/>
    <n v="1"/>
    <n v="30.1343073277291"/>
    <x v="30"/>
    <n v="67"/>
    <n v="18"/>
    <n v="1"/>
    <n v="1"/>
    <s v="C045"/>
    <x v="1"/>
    <x v="2"/>
    <x v="2"/>
    <x v="1"/>
    <x v="1"/>
    <s v="Needs Improvement"/>
    <x v="0"/>
    <n v="54"/>
    <x v="0"/>
    <x v="2"/>
    <x v="1"/>
    <s v="Work on communication and personality development"/>
  </r>
  <r>
    <n v="34"/>
    <x v="0"/>
    <n v="2"/>
    <n v="10"/>
    <n v="1"/>
    <n v="7.2053683856888604"/>
    <x v="29"/>
    <n v="20"/>
    <n v="82"/>
    <n v="1"/>
    <n v="1"/>
    <s v="C046"/>
    <x v="0"/>
    <x v="0"/>
    <x v="1"/>
    <x v="0"/>
    <x v="2"/>
    <s v="Strong"/>
    <x v="0"/>
    <n v="45"/>
    <x v="1"/>
    <x v="0"/>
    <x v="2"/>
    <s v="Strengthen technical skills and practical knowledge"/>
  </r>
  <r>
    <n v="49"/>
    <x v="1"/>
    <n v="3"/>
    <n v="2"/>
    <n v="1"/>
    <n v="7.0707452752486004"/>
    <x v="18"/>
    <n v="100"/>
    <n v="99"/>
    <n v="3"/>
    <n v="0"/>
    <s v="C047"/>
    <x v="1"/>
    <x v="3"/>
    <x v="0"/>
    <x v="1"/>
    <x v="0"/>
    <s v="Strong"/>
    <x v="1"/>
    <n v="76"/>
    <x v="2"/>
    <x v="1"/>
    <x v="0"/>
    <s v="Improve interview preparation and communication"/>
  </r>
  <r>
    <n v="49"/>
    <x v="0"/>
    <n v="2"/>
    <n v="9"/>
    <n v="2"/>
    <n v="37.056617867841098"/>
    <x v="30"/>
    <n v="42"/>
    <n v="8"/>
    <n v="3"/>
    <n v="0"/>
    <s v="C048"/>
    <x v="0"/>
    <x v="0"/>
    <x v="1"/>
    <x v="1"/>
    <x v="2"/>
    <s v="Needs Improvement"/>
    <x v="1"/>
    <n v="48"/>
    <x v="1"/>
    <x v="2"/>
    <x v="1"/>
    <s v="Work on communication and personality development"/>
  </r>
  <r>
    <n v="34"/>
    <x v="1"/>
    <n v="2"/>
    <n v="1"/>
    <n v="2"/>
    <n v="10.189233255394999"/>
    <x v="35"/>
    <n v="94"/>
    <n v="35"/>
    <n v="1"/>
    <n v="0"/>
    <s v="C049"/>
    <x v="1"/>
    <x v="0"/>
    <x v="0"/>
    <x v="0"/>
    <x v="0"/>
    <s v="Needs Improvement"/>
    <x v="1"/>
    <n v="47"/>
    <x v="1"/>
    <x v="1"/>
    <x v="0"/>
    <s v="Improve interview preparation and communication"/>
  </r>
  <r>
    <n v="49"/>
    <x v="0"/>
    <n v="1"/>
    <n v="8"/>
    <n v="5"/>
    <n v="17.419274980830199"/>
    <x v="36"/>
    <n v="84"/>
    <n v="39"/>
    <n v="2"/>
    <n v="0"/>
    <s v="C050"/>
    <x v="0"/>
    <x v="2"/>
    <x v="1"/>
    <x v="1"/>
    <x v="0"/>
    <s v="Needs Improvement"/>
    <x v="1"/>
    <n v="63"/>
    <x v="0"/>
    <x v="1"/>
    <x v="1"/>
    <s v="Work on communication and personality development"/>
  </r>
  <r>
    <n v="38"/>
    <x v="1"/>
    <n v="2"/>
    <n v="2"/>
    <n v="1"/>
    <n v="25.360600346095602"/>
    <x v="37"/>
    <n v="25"/>
    <n v="92"/>
    <n v="2"/>
    <n v="0"/>
    <s v="C051"/>
    <x v="1"/>
    <x v="0"/>
    <x v="0"/>
    <x v="0"/>
    <x v="2"/>
    <s v="Strong"/>
    <x v="1"/>
    <n v="35"/>
    <x v="1"/>
    <x v="0"/>
    <x v="0"/>
    <s v="Improve interview preparation and communication"/>
  </r>
  <r>
    <n v="31"/>
    <x v="0"/>
    <n v="2"/>
    <n v="15"/>
    <n v="3"/>
    <n v="2.2382438788075598"/>
    <x v="26"/>
    <n v="40"/>
    <n v="23"/>
    <n v="2"/>
    <n v="0"/>
    <s v="C052"/>
    <x v="0"/>
    <x v="0"/>
    <x v="1"/>
    <x v="0"/>
    <x v="2"/>
    <s v="Needs Improvement"/>
    <x v="1"/>
    <n v="46"/>
    <x v="1"/>
    <x v="1"/>
    <x v="1"/>
    <s v="Work on communication and personality development"/>
  </r>
  <r>
    <n v="42"/>
    <x v="1"/>
    <n v="2"/>
    <n v="1"/>
    <n v="5"/>
    <n v="13.4409513509965"/>
    <x v="38"/>
    <n v="98"/>
    <n v="47"/>
    <n v="3"/>
    <n v="0"/>
    <s v="C053"/>
    <x v="1"/>
    <x v="0"/>
    <x v="0"/>
    <x v="2"/>
    <x v="0"/>
    <s v="Needs Improvement"/>
    <x v="1"/>
    <n v="65"/>
    <x v="0"/>
    <x v="1"/>
    <x v="1"/>
    <s v="Work on communication and personality development"/>
  </r>
  <r>
    <n v="39"/>
    <x v="0"/>
    <n v="2"/>
    <n v="11"/>
    <n v="1"/>
    <n v="21.394480425364002"/>
    <x v="3"/>
    <n v="37"/>
    <n v="62"/>
    <n v="1"/>
    <n v="1"/>
    <s v="C054"/>
    <x v="0"/>
    <x v="0"/>
    <x v="1"/>
    <x v="0"/>
    <x v="2"/>
    <s v="Good"/>
    <x v="0"/>
    <n v="48"/>
    <x v="1"/>
    <x v="0"/>
    <x v="0"/>
    <s v="Improve interview preparation and communication"/>
  </r>
  <r>
    <n v="44"/>
    <x v="1"/>
    <n v="2"/>
    <n v="7"/>
    <n v="1"/>
    <n v="14.9818159246603"/>
    <x v="8"/>
    <n v="87"/>
    <n v="68"/>
    <n v="2"/>
    <n v="1"/>
    <s v="C055"/>
    <x v="1"/>
    <x v="0"/>
    <x v="1"/>
    <x v="2"/>
    <x v="0"/>
    <s v="Good"/>
    <x v="0"/>
    <n v="73"/>
    <x v="0"/>
    <x v="1"/>
    <x v="1"/>
    <s v="Work on communication and personality development"/>
  </r>
  <r>
    <n v="22"/>
    <x v="0"/>
    <n v="2"/>
    <n v="9"/>
    <n v="2"/>
    <n v="7.8185163733782899"/>
    <x v="2"/>
    <n v="10"/>
    <n v="52"/>
    <n v="2"/>
    <n v="0"/>
    <s v="C056"/>
    <x v="0"/>
    <x v="0"/>
    <x v="1"/>
    <x v="0"/>
    <x v="2"/>
    <s v="Good"/>
    <x v="1"/>
    <n v="31"/>
    <x v="1"/>
    <x v="0"/>
    <x v="2"/>
    <s v="Strengthen technical skills and practical knowledge"/>
  </r>
  <r>
    <n v="24"/>
    <x v="1"/>
    <n v="1"/>
    <n v="5"/>
    <n v="5"/>
    <n v="37.4006128898098"/>
    <x v="39"/>
    <n v="28"/>
    <n v="53"/>
    <n v="2"/>
    <n v="0"/>
    <s v="C057"/>
    <x v="1"/>
    <x v="2"/>
    <x v="2"/>
    <x v="0"/>
    <x v="2"/>
    <s v="Good"/>
    <x v="1"/>
    <n v="39"/>
    <x v="1"/>
    <x v="0"/>
    <x v="2"/>
    <s v="Strengthen technical skills and practical knowledge"/>
  </r>
  <r>
    <n v="38"/>
    <x v="1"/>
    <n v="1"/>
    <n v="5"/>
    <n v="1"/>
    <n v="41.657382758399201"/>
    <x v="40"/>
    <n v="59"/>
    <n v="41"/>
    <n v="2"/>
    <n v="0"/>
    <s v="C058"/>
    <x v="1"/>
    <x v="2"/>
    <x v="2"/>
    <x v="0"/>
    <x v="1"/>
    <s v="Needs Improvement"/>
    <x v="1"/>
    <n v="39"/>
    <x v="1"/>
    <x v="1"/>
    <x v="0"/>
    <s v="Improve interview preparation and communication"/>
  </r>
  <r>
    <n v="26"/>
    <x v="0"/>
    <n v="2"/>
    <n v="9"/>
    <n v="1"/>
    <n v="13.873948807186199"/>
    <x v="11"/>
    <n v="66"/>
    <n v="44"/>
    <n v="3"/>
    <n v="0"/>
    <s v="C059"/>
    <x v="0"/>
    <x v="0"/>
    <x v="1"/>
    <x v="1"/>
    <x v="1"/>
    <s v="Needs Improvement"/>
    <x v="1"/>
    <n v="61"/>
    <x v="0"/>
    <x v="2"/>
    <x v="1"/>
    <s v="Work on communication and personality development"/>
  </r>
  <r>
    <n v="40"/>
    <x v="0"/>
    <n v="2"/>
    <n v="10"/>
    <n v="5"/>
    <n v="39.720974730315099"/>
    <x v="41"/>
    <n v="64"/>
    <n v="89"/>
    <n v="1"/>
    <n v="1"/>
    <s v="C060"/>
    <x v="0"/>
    <x v="0"/>
    <x v="1"/>
    <x v="0"/>
    <x v="1"/>
    <s v="Strong"/>
    <x v="0"/>
    <n v="52"/>
    <x v="0"/>
    <x v="0"/>
    <x v="0"/>
    <s v="Improve interview preparation and communication"/>
  </r>
  <r>
    <n v="28"/>
    <x v="1"/>
    <n v="2"/>
    <n v="6"/>
    <n v="3"/>
    <n v="20.277678220065599"/>
    <x v="38"/>
    <n v="60"/>
    <n v="13"/>
    <n v="1"/>
    <n v="1"/>
    <s v="C061"/>
    <x v="1"/>
    <x v="0"/>
    <x v="2"/>
    <x v="2"/>
    <x v="1"/>
    <s v="Needs Improvement"/>
    <x v="0"/>
    <n v="52"/>
    <x v="0"/>
    <x v="2"/>
    <x v="1"/>
    <s v="Work on communication and personality development"/>
  </r>
  <r>
    <n v="26"/>
    <x v="0"/>
    <n v="2"/>
    <n v="6"/>
    <n v="5"/>
    <n v="26.334289542700098"/>
    <x v="25"/>
    <n v="18"/>
    <n v="28"/>
    <n v="1"/>
    <n v="1"/>
    <s v="C062"/>
    <x v="0"/>
    <x v="0"/>
    <x v="2"/>
    <x v="2"/>
    <x v="2"/>
    <s v="Needs Improvement"/>
    <x v="0"/>
    <n v="50"/>
    <x v="0"/>
    <x v="2"/>
    <x v="2"/>
    <s v="Strengthen technical skills and practical knowledge"/>
  </r>
  <r>
    <n v="37"/>
    <x v="1"/>
    <n v="2"/>
    <n v="10"/>
    <n v="5"/>
    <n v="43.800053744657603"/>
    <x v="36"/>
    <n v="45"/>
    <n v="5"/>
    <n v="3"/>
    <n v="0"/>
    <s v="C063"/>
    <x v="1"/>
    <x v="0"/>
    <x v="1"/>
    <x v="1"/>
    <x v="2"/>
    <s v="Needs Improvement"/>
    <x v="1"/>
    <n v="47"/>
    <x v="1"/>
    <x v="2"/>
    <x v="1"/>
    <s v="Work on communication and personality development"/>
  </r>
  <r>
    <n v="23"/>
    <x v="1"/>
    <n v="3"/>
    <n v="12"/>
    <n v="3"/>
    <n v="38.497684090120302"/>
    <x v="42"/>
    <n v="48"/>
    <n v="6"/>
    <n v="2"/>
    <n v="0"/>
    <s v="C064"/>
    <x v="1"/>
    <x v="3"/>
    <x v="1"/>
    <x v="0"/>
    <x v="2"/>
    <s v="Needs Improvement"/>
    <x v="1"/>
    <n v="43"/>
    <x v="1"/>
    <x v="1"/>
    <x v="1"/>
    <s v="Work on communication and personality development"/>
  </r>
  <r>
    <n v="44"/>
    <x v="1"/>
    <n v="1"/>
    <n v="14"/>
    <n v="5"/>
    <n v="41.255842565808798"/>
    <x v="30"/>
    <n v="21"/>
    <n v="36"/>
    <n v="2"/>
    <n v="0"/>
    <s v="C065"/>
    <x v="1"/>
    <x v="2"/>
    <x v="1"/>
    <x v="1"/>
    <x v="2"/>
    <s v="Needs Improvement"/>
    <x v="1"/>
    <n v="52"/>
    <x v="0"/>
    <x v="2"/>
    <x v="2"/>
    <s v="Strengthen technical skills and practical knowledge"/>
  </r>
  <r>
    <n v="47"/>
    <x v="0"/>
    <n v="2"/>
    <n v="5"/>
    <n v="1"/>
    <n v="7.8422583293178398"/>
    <x v="27"/>
    <n v="77"/>
    <n v="52"/>
    <n v="1"/>
    <n v="1"/>
    <s v="C066"/>
    <x v="0"/>
    <x v="0"/>
    <x v="2"/>
    <x v="2"/>
    <x v="0"/>
    <s v="Good"/>
    <x v="0"/>
    <n v="67"/>
    <x v="0"/>
    <x v="2"/>
    <x v="1"/>
    <s v="Work on communication and personality development"/>
  </r>
  <r>
    <n v="33"/>
    <x v="1"/>
    <n v="3"/>
    <n v="3"/>
    <n v="5"/>
    <n v="4.4859712916864698"/>
    <x v="43"/>
    <n v="56"/>
    <n v="17"/>
    <n v="3"/>
    <n v="0"/>
    <s v="C067"/>
    <x v="1"/>
    <x v="3"/>
    <x v="2"/>
    <x v="1"/>
    <x v="1"/>
    <s v="Needs Improvement"/>
    <x v="1"/>
    <n v="48"/>
    <x v="1"/>
    <x v="2"/>
    <x v="1"/>
    <s v="Work on communication and personality development"/>
  </r>
  <r>
    <n v="37"/>
    <x v="1"/>
    <n v="2"/>
    <n v="10"/>
    <n v="3"/>
    <n v="45.670236454399301"/>
    <x v="44"/>
    <n v="13"/>
    <n v="86"/>
    <n v="3"/>
    <n v="0"/>
    <s v="C068"/>
    <x v="1"/>
    <x v="0"/>
    <x v="1"/>
    <x v="1"/>
    <x v="2"/>
    <s v="Strong"/>
    <x v="1"/>
    <n v="52"/>
    <x v="0"/>
    <x v="0"/>
    <x v="2"/>
    <s v="Strengthen technical skills and practical knowledge"/>
  </r>
  <r>
    <n v="45"/>
    <x v="0"/>
    <n v="2"/>
    <n v="8"/>
    <n v="4"/>
    <n v="20.391713478554699"/>
    <x v="45"/>
    <n v="43"/>
    <n v="37"/>
    <n v="2"/>
    <n v="0"/>
    <s v="C069"/>
    <x v="0"/>
    <x v="0"/>
    <x v="1"/>
    <x v="0"/>
    <x v="2"/>
    <s v="Needs Improvement"/>
    <x v="1"/>
    <n v="38"/>
    <x v="1"/>
    <x v="1"/>
    <x v="0"/>
    <s v="Improve interview preparation and communication"/>
  </r>
  <r>
    <n v="28"/>
    <x v="0"/>
    <n v="4"/>
    <n v="5"/>
    <n v="5"/>
    <n v="15.393983903483999"/>
    <x v="11"/>
    <n v="15"/>
    <n v="58"/>
    <n v="2"/>
    <n v="0"/>
    <s v="C070"/>
    <x v="0"/>
    <x v="1"/>
    <x v="2"/>
    <x v="1"/>
    <x v="2"/>
    <s v="Good"/>
    <x v="1"/>
    <n v="47"/>
    <x v="1"/>
    <x v="2"/>
    <x v="2"/>
    <s v="Strengthen technical skills and practical knowledge"/>
  </r>
  <r>
    <n v="45"/>
    <x v="0"/>
    <n v="3"/>
    <n v="3"/>
    <n v="2"/>
    <n v="37.234812713091202"/>
    <x v="24"/>
    <n v="96"/>
    <n v="0"/>
    <n v="1"/>
    <n v="1"/>
    <s v="C071"/>
    <x v="0"/>
    <x v="3"/>
    <x v="2"/>
    <x v="2"/>
    <x v="0"/>
    <s v="Needs Improvement"/>
    <x v="0"/>
    <n v="60"/>
    <x v="0"/>
    <x v="1"/>
    <x v="1"/>
    <s v="Work on communication and personality development"/>
  </r>
  <r>
    <n v="40"/>
    <x v="0"/>
    <n v="2"/>
    <n v="11"/>
    <n v="1"/>
    <n v="42.820779828992798"/>
    <x v="43"/>
    <n v="76"/>
    <n v="67"/>
    <n v="2"/>
    <n v="0"/>
    <s v="C072"/>
    <x v="0"/>
    <x v="0"/>
    <x v="1"/>
    <x v="1"/>
    <x v="0"/>
    <s v="Good"/>
    <x v="1"/>
    <n v="70"/>
    <x v="0"/>
    <x v="1"/>
    <x v="1"/>
    <s v="Work on communication and personality development"/>
  </r>
  <r>
    <n v="21"/>
    <x v="1"/>
    <n v="2"/>
    <n v="2"/>
    <n v="1"/>
    <n v="44.124481094914998"/>
    <x v="35"/>
    <n v="11"/>
    <n v="43"/>
    <n v="2"/>
    <n v="0"/>
    <s v="C073"/>
    <x v="1"/>
    <x v="0"/>
    <x v="0"/>
    <x v="0"/>
    <x v="2"/>
    <s v="Needs Improvement"/>
    <x v="1"/>
    <n v="25"/>
    <x v="1"/>
    <x v="0"/>
    <x v="2"/>
    <s v="Strengthen technical skills and practical knowledge"/>
  </r>
  <r>
    <n v="39"/>
    <x v="1"/>
    <n v="2"/>
    <n v="3"/>
    <n v="2"/>
    <n v="16.799857056261299"/>
    <x v="36"/>
    <n v="54"/>
    <n v="46"/>
    <n v="1"/>
    <n v="0"/>
    <s v="C074"/>
    <x v="1"/>
    <x v="0"/>
    <x v="2"/>
    <x v="1"/>
    <x v="1"/>
    <s v="Needs Improvement"/>
    <x v="1"/>
    <n v="50"/>
    <x v="0"/>
    <x v="2"/>
    <x v="1"/>
    <s v="Work on communication and personality development"/>
  </r>
  <r>
    <n v="47"/>
    <x v="1"/>
    <n v="2"/>
    <n v="2"/>
    <n v="2"/>
    <n v="43.610619560083698"/>
    <x v="40"/>
    <n v="50"/>
    <n v="34"/>
    <n v="2"/>
    <n v="0"/>
    <s v="C075"/>
    <x v="1"/>
    <x v="0"/>
    <x v="0"/>
    <x v="0"/>
    <x v="1"/>
    <s v="Needs Improvement"/>
    <x v="1"/>
    <n v="32"/>
    <x v="1"/>
    <x v="1"/>
    <x v="0"/>
    <s v="Improve interview preparation and communication"/>
  </r>
  <r>
    <n v="34"/>
    <x v="1"/>
    <n v="2"/>
    <n v="14"/>
    <n v="5"/>
    <n v="3.0466972187172598"/>
    <x v="18"/>
    <n v="38"/>
    <n v="86"/>
    <n v="1"/>
    <n v="1"/>
    <s v="C076"/>
    <x v="1"/>
    <x v="0"/>
    <x v="1"/>
    <x v="1"/>
    <x v="2"/>
    <s v="Strong"/>
    <x v="0"/>
    <n v="65"/>
    <x v="0"/>
    <x v="0"/>
    <x v="2"/>
    <s v="Strengthen technical skills and practical knowledge"/>
  </r>
  <r>
    <n v="47"/>
    <x v="0"/>
    <n v="2"/>
    <n v="1"/>
    <n v="2"/>
    <n v="3.4830745729859398"/>
    <x v="46"/>
    <n v="32"/>
    <n v="90"/>
    <n v="2"/>
    <n v="0"/>
    <s v="C077"/>
    <x v="0"/>
    <x v="0"/>
    <x v="0"/>
    <x v="1"/>
    <x v="2"/>
    <s v="Strong"/>
    <x v="1"/>
    <n v="48"/>
    <x v="1"/>
    <x v="0"/>
    <x v="2"/>
    <s v="Strengthen technical skills and practical knowledge"/>
  </r>
  <r>
    <n v="26"/>
    <x v="1"/>
    <n v="2"/>
    <n v="13"/>
    <n v="4"/>
    <n v="32.175959758707698"/>
    <x v="43"/>
    <n v="32"/>
    <n v="59"/>
    <n v="2"/>
    <n v="0"/>
    <s v="C078"/>
    <x v="1"/>
    <x v="0"/>
    <x v="1"/>
    <x v="1"/>
    <x v="2"/>
    <s v="Good"/>
    <x v="1"/>
    <n v="58"/>
    <x v="0"/>
    <x v="2"/>
    <x v="2"/>
    <s v="Strengthen technical skills and practical knowledge"/>
  </r>
  <r>
    <n v="31"/>
    <x v="1"/>
    <n v="2"/>
    <n v="4"/>
    <n v="3"/>
    <n v="4.1553184557773104"/>
    <x v="21"/>
    <n v="28"/>
    <n v="89"/>
    <n v="1"/>
    <n v="0"/>
    <s v="C079"/>
    <x v="1"/>
    <x v="0"/>
    <x v="2"/>
    <x v="1"/>
    <x v="2"/>
    <s v="Strong"/>
    <x v="1"/>
    <n v="50"/>
    <x v="0"/>
    <x v="0"/>
    <x v="2"/>
    <s v="Strengthen technical skills and practical knowledge"/>
  </r>
  <r>
    <n v="48"/>
    <x v="0"/>
    <n v="3"/>
    <n v="1"/>
    <n v="2"/>
    <n v="17.230458425508001"/>
    <x v="3"/>
    <n v="68"/>
    <n v="51"/>
    <n v="2"/>
    <n v="0"/>
    <s v="C080"/>
    <x v="0"/>
    <x v="3"/>
    <x v="0"/>
    <x v="0"/>
    <x v="1"/>
    <s v="Good"/>
    <x v="1"/>
    <n v="46"/>
    <x v="1"/>
    <x v="1"/>
    <x v="0"/>
    <s v="Improve interview preparation and communication"/>
  </r>
  <r>
    <n v="27"/>
    <x v="1"/>
    <n v="2"/>
    <n v="5"/>
    <n v="2"/>
    <n v="34.637799312346203"/>
    <x v="44"/>
    <n v="69"/>
    <n v="7"/>
    <n v="2"/>
    <n v="0"/>
    <s v="C081"/>
    <x v="1"/>
    <x v="0"/>
    <x v="2"/>
    <x v="1"/>
    <x v="1"/>
    <s v="Needs Improvement"/>
    <x v="1"/>
    <n v="48"/>
    <x v="1"/>
    <x v="1"/>
    <x v="1"/>
    <s v="Work on communication and personality development"/>
  </r>
  <r>
    <n v="34"/>
    <x v="1"/>
    <n v="1"/>
    <n v="2"/>
    <n v="4"/>
    <n v="17.8633448027113"/>
    <x v="20"/>
    <n v="30"/>
    <n v="79"/>
    <n v="1"/>
    <n v="1"/>
    <s v="C082"/>
    <x v="1"/>
    <x v="2"/>
    <x v="0"/>
    <x v="2"/>
    <x v="2"/>
    <s v="Strong"/>
    <x v="0"/>
    <n v="57"/>
    <x v="0"/>
    <x v="2"/>
    <x v="2"/>
    <s v="Strengthen technical skills and practical knowledge"/>
  </r>
  <r>
    <n v="22"/>
    <x v="1"/>
    <n v="2"/>
    <n v="5"/>
    <n v="1"/>
    <n v="9.9799890720047895"/>
    <x v="47"/>
    <n v="79"/>
    <n v="40"/>
    <n v="3"/>
    <n v="0"/>
    <s v="C083"/>
    <x v="1"/>
    <x v="0"/>
    <x v="2"/>
    <x v="0"/>
    <x v="0"/>
    <s v="Needs Improvement"/>
    <x v="1"/>
    <n v="48"/>
    <x v="1"/>
    <x v="1"/>
    <x v="0"/>
    <s v="Improve interview preparation and communication"/>
  </r>
  <r>
    <n v="33"/>
    <x v="1"/>
    <n v="2"/>
    <n v="14"/>
    <n v="1"/>
    <n v="15.067531092692001"/>
    <x v="11"/>
    <n v="30"/>
    <n v="2"/>
    <n v="1"/>
    <n v="0"/>
    <s v="C084"/>
    <x v="1"/>
    <x v="0"/>
    <x v="1"/>
    <x v="1"/>
    <x v="2"/>
    <s v="Needs Improvement"/>
    <x v="1"/>
    <n v="47"/>
    <x v="1"/>
    <x v="2"/>
    <x v="1"/>
    <s v="Work on communication and personality development"/>
  </r>
  <r>
    <n v="36"/>
    <x v="1"/>
    <n v="2"/>
    <n v="10"/>
    <n v="5"/>
    <n v="23.878766612521499"/>
    <x v="14"/>
    <n v="88"/>
    <n v="95"/>
    <n v="2"/>
    <n v="1"/>
    <s v="C085"/>
    <x v="1"/>
    <x v="0"/>
    <x v="1"/>
    <x v="1"/>
    <x v="0"/>
    <s v="Strong"/>
    <x v="0"/>
    <n v="80"/>
    <x v="2"/>
    <x v="0"/>
    <x v="0"/>
    <s v="Improve interview preparation and communication"/>
  </r>
  <r>
    <n v="23"/>
    <x v="1"/>
    <n v="2"/>
    <n v="9"/>
    <n v="4"/>
    <n v="24.7692927677741"/>
    <x v="6"/>
    <n v="45"/>
    <n v="68"/>
    <n v="1"/>
    <n v="1"/>
    <s v="C086"/>
    <x v="1"/>
    <x v="0"/>
    <x v="1"/>
    <x v="0"/>
    <x v="2"/>
    <s v="Good"/>
    <x v="0"/>
    <n v="46"/>
    <x v="1"/>
    <x v="0"/>
    <x v="0"/>
    <s v="Improve interview preparation and communication"/>
  </r>
  <r>
    <n v="37"/>
    <x v="0"/>
    <n v="2"/>
    <n v="8"/>
    <n v="3"/>
    <n v="40.150011567360004"/>
    <x v="12"/>
    <n v="96"/>
    <n v="83"/>
    <n v="1"/>
    <n v="1"/>
    <s v="C087"/>
    <x v="0"/>
    <x v="0"/>
    <x v="1"/>
    <x v="2"/>
    <x v="0"/>
    <s v="Strong"/>
    <x v="0"/>
    <n v="85"/>
    <x v="2"/>
    <x v="2"/>
    <x v="1"/>
    <s v="Work on communication and personality development"/>
  </r>
  <r>
    <n v="27"/>
    <x v="0"/>
    <n v="2"/>
    <n v="0"/>
    <n v="3"/>
    <n v="38.507661471575602"/>
    <x v="48"/>
    <n v="76"/>
    <n v="13"/>
    <n v="1"/>
    <n v="0"/>
    <s v="C088"/>
    <x v="0"/>
    <x v="0"/>
    <x v="0"/>
    <x v="1"/>
    <x v="0"/>
    <s v="Needs Improvement"/>
    <x v="1"/>
    <n v="47"/>
    <x v="1"/>
    <x v="1"/>
    <x v="1"/>
    <s v="Work on communication and personality development"/>
  </r>
  <r>
    <n v="23"/>
    <x v="1"/>
    <n v="1"/>
    <n v="15"/>
    <n v="4"/>
    <n v="23.8408902278067"/>
    <x v="49"/>
    <n v="51"/>
    <n v="95"/>
    <n v="1"/>
    <n v="1"/>
    <s v="C089"/>
    <x v="1"/>
    <x v="2"/>
    <x v="1"/>
    <x v="0"/>
    <x v="1"/>
    <s v="Strong"/>
    <x v="0"/>
    <n v="53"/>
    <x v="0"/>
    <x v="0"/>
    <x v="0"/>
    <s v="Improve interview preparation and communication"/>
  </r>
  <r>
    <n v="21"/>
    <x v="1"/>
    <n v="1"/>
    <n v="15"/>
    <n v="3"/>
    <n v="43.283367454938499"/>
    <x v="50"/>
    <n v="9"/>
    <n v="25"/>
    <n v="2"/>
    <n v="0"/>
    <s v="C090"/>
    <x v="1"/>
    <x v="2"/>
    <x v="1"/>
    <x v="0"/>
    <x v="2"/>
    <s v="Needs Improvement"/>
    <x v="1"/>
    <n v="30"/>
    <x v="1"/>
    <x v="0"/>
    <x v="2"/>
    <s v="Strengthen technical skills and practical knowledge"/>
  </r>
  <r>
    <n v="49"/>
    <x v="0"/>
    <n v="2"/>
    <n v="5"/>
    <n v="1"/>
    <n v="6.7118569295697901"/>
    <x v="51"/>
    <n v="87"/>
    <n v="69"/>
    <n v="1"/>
    <n v="1"/>
    <s v="C091"/>
    <x v="0"/>
    <x v="0"/>
    <x v="2"/>
    <x v="0"/>
    <x v="0"/>
    <s v="Good"/>
    <x v="0"/>
    <n v="50"/>
    <x v="0"/>
    <x v="1"/>
    <x v="0"/>
    <s v="Improve interview preparation and communication"/>
  </r>
  <r>
    <n v="25"/>
    <x v="1"/>
    <n v="2"/>
    <n v="8"/>
    <n v="3"/>
    <n v="13.767667511445"/>
    <x v="20"/>
    <n v="73"/>
    <n v="57"/>
    <n v="2"/>
    <n v="0"/>
    <s v="C092"/>
    <x v="1"/>
    <x v="0"/>
    <x v="1"/>
    <x v="2"/>
    <x v="1"/>
    <s v="Good"/>
    <x v="1"/>
    <n v="71"/>
    <x v="0"/>
    <x v="2"/>
    <x v="1"/>
    <s v="Work on communication and personality development"/>
  </r>
  <r>
    <n v="41"/>
    <x v="1"/>
    <n v="4"/>
    <n v="10"/>
    <n v="3"/>
    <n v="42.398823175112497"/>
    <x v="13"/>
    <n v="40"/>
    <n v="99"/>
    <n v="1"/>
    <n v="1"/>
    <s v="C093"/>
    <x v="1"/>
    <x v="1"/>
    <x v="1"/>
    <x v="0"/>
    <x v="2"/>
    <s v="Strong"/>
    <x v="0"/>
    <n v="50"/>
    <x v="0"/>
    <x v="0"/>
    <x v="0"/>
    <s v="Improve interview preparation and communication"/>
  </r>
  <r>
    <n v="29"/>
    <x v="1"/>
    <n v="2"/>
    <n v="3"/>
    <n v="4"/>
    <n v="19.8997019313076"/>
    <x v="12"/>
    <n v="94"/>
    <n v="39"/>
    <n v="1"/>
    <n v="1"/>
    <s v="C094"/>
    <x v="1"/>
    <x v="0"/>
    <x v="2"/>
    <x v="2"/>
    <x v="0"/>
    <s v="Needs Improvement"/>
    <x v="0"/>
    <n v="70"/>
    <x v="0"/>
    <x v="2"/>
    <x v="1"/>
    <s v="Work on communication and personality development"/>
  </r>
  <r>
    <n v="23"/>
    <x v="0"/>
    <n v="2"/>
    <n v="10"/>
    <n v="4"/>
    <n v="50.059077939692102"/>
    <x v="48"/>
    <n v="76"/>
    <n v="50"/>
    <n v="2"/>
    <n v="0"/>
    <s v="C095"/>
    <x v="0"/>
    <x v="0"/>
    <x v="1"/>
    <x v="1"/>
    <x v="0"/>
    <s v="Good"/>
    <x v="1"/>
    <n v="65"/>
    <x v="0"/>
    <x v="1"/>
    <x v="1"/>
    <s v="Work on communication and personality development"/>
  </r>
  <r>
    <n v="41"/>
    <x v="1"/>
    <n v="2"/>
    <n v="11"/>
    <n v="3"/>
    <n v="24.312664076391702"/>
    <x v="38"/>
    <n v="2"/>
    <n v="4"/>
    <n v="3"/>
    <n v="0"/>
    <s v="C096"/>
    <x v="1"/>
    <x v="0"/>
    <x v="1"/>
    <x v="2"/>
    <x v="2"/>
    <s v="Needs Improvement"/>
    <x v="1"/>
    <n v="38"/>
    <x v="1"/>
    <x v="2"/>
    <x v="2"/>
    <s v="Strengthen technical skills and practical knowledge"/>
  </r>
  <r>
    <n v="48"/>
    <x v="0"/>
    <n v="1"/>
    <n v="1"/>
    <n v="2"/>
    <n v="40.596781148188199"/>
    <x v="25"/>
    <n v="58"/>
    <n v="76"/>
    <n v="2"/>
    <n v="0"/>
    <s v="C097"/>
    <x v="0"/>
    <x v="2"/>
    <x v="0"/>
    <x v="2"/>
    <x v="1"/>
    <s v="Strong"/>
    <x v="1"/>
    <n v="66"/>
    <x v="0"/>
    <x v="2"/>
    <x v="2"/>
    <s v="Strengthen technical skills and practical knowledge"/>
  </r>
  <r>
    <n v="50"/>
    <x v="1"/>
    <n v="4"/>
    <n v="12"/>
    <n v="4"/>
    <n v="21.115352069118501"/>
    <x v="52"/>
    <n v="51"/>
    <n v="31"/>
    <n v="2"/>
    <n v="1"/>
    <s v="C098"/>
    <x v="1"/>
    <x v="1"/>
    <x v="1"/>
    <x v="2"/>
    <x v="1"/>
    <s v="Needs Improvement"/>
    <x v="0"/>
    <n v="63"/>
    <x v="0"/>
    <x v="2"/>
    <x v="1"/>
    <s v="Work on communication and personality development"/>
  </r>
  <r>
    <n v="37"/>
    <x v="0"/>
    <n v="2"/>
    <n v="3"/>
    <n v="5"/>
    <n v="22.247675953121501"/>
    <x v="48"/>
    <n v="33"/>
    <n v="79"/>
    <n v="1"/>
    <n v="0"/>
    <s v="C099"/>
    <x v="0"/>
    <x v="0"/>
    <x v="2"/>
    <x v="1"/>
    <x v="2"/>
    <s v="Strong"/>
    <x v="1"/>
    <n v="50"/>
    <x v="0"/>
    <x v="0"/>
    <x v="2"/>
    <s v="Strengthen technical skills and practical knowledge"/>
  </r>
  <r>
    <n v="45"/>
    <x v="0"/>
    <n v="3"/>
    <n v="0"/>
    <n v="5"/>
    <n v="20.1441573642091"/>
    <x v="53"/>
    <n v="48"/>
    <n v="0"/>
    <n v="3"/>
    <n v="0"/>
    <s v="C100"/>
    <x v="0"/>
    <x v="3"/>
    <x v="0"/>
    <x v="1"/>
    <x v="2"/>
    <s v="Needs Improvement"/>
    <x v="1"/>
    <n v="33"/>
    <x v="1"/>
    <x v="2"/>
    <x v="1"/>
    <s v="Work on communication and personality development"/>
  </r>
  <r>
    <n v="31"/>
    <x v="1"/>
    <n v="1"/>
    <n v="2"/>
    <n v="1"/>
    <n v="36.953781025540501"/>
    <x v="54"/>
    <n v="27"/>
    <n v="76"/>
    <n v="1"/>
    <n v="0"/>
    <s v="C101"/>
    <x v="1"/>
    <x v="2"/>
    <x v="0"/>
    <x v="1"/>
    <x v="2"/>
    <s v="Strong"/>
    <x v="1"/>
    <n v="48"/>
    <x v="1"/>
    <x v="0"/>
    <x v="2"/>
    <s v="Strengthen technical skills and practical knowledge"/>
  </r>
  <r>
    <n v="21"/>
    <x v="0"/>
    <n v="2"/>
    <n v="9"/>
    <n v="3"/>
    <n v="28.375894202999699"/>
    <x v="55"/>
    <n v="82"/>
    <n v="53"/>
    <n v="1"/>
    <n v="1"/>
    <s v="C102"/>
    <x v="0"/>
    <x v="0"/>
    <x v="1"/>
    <x v="2"/>
    <x v="0"/>
    <s v="Good"/>
    <x v="0"/>
    <n v="71"/>
    <x v="0"/>
    <x v="1"/>
    <x v="1"/>
    <s v="Work on communication and personality development"/>
  </r>
  <r>
    <n v="29"/>
    <x v="1"/>
    <n v="2"/>
    <n v="8"/>
    <n v="2"/>
    <n v="48.188905568418399"/>
    <x v="56"/>
    <n v="86"/>
    <n v="10"/>
    <n v="2"/>
    <n v="0"/>
    <s v="C103"/>
    <x v="1"/>
    <x v="0"/>
    <x v="1"/>
    <x v="2"/>
    <x v="0"/>
    <s v="Needs Improvement"/>
    <x v="1"/>
    <n v="61"/>
    <x v="0"/>
    <x v="1"/>
    <x v="1"/>
    <s v="Work on communication and personality development"/>
  </r>
  <r>
    <n v="49"/>
    <x v="0"/>
    <n v="3"/>
    <n v="9"/>
    <n v="1"/>
    <n v="13.544515826705201"/>
    <x v="31"/>
    <n v="95"/>
    <n v="52"/>
    <n v="2"/>
    <n v="0"/>
    <s v="C104"/>
    <x v="0"/>
    <x v="3"/>
    <x v="1"/>
    <x v="0"/>
    <x v="0"/>
    <s v="Good"/>
    <x v="1"/>
    <n v="61"/>
    <x v="0"/>
    <x v="1"/>
    <x v="0"/>
    <s v="Improve interview preparation and communication"/>
  </r>
  <r>
    <n v="23"/>
    <x v="1"/>
    <n v="1"/>
    <n v="4"/>
    <n v="3"/>
    <n v="6.02813660417221"/>
    <x v="57"/>
    <n v="12"/>
    <n v="7"/>
    <n v="3"/>
    <n v="0"/>
    <s v="C105"/>
    <x v="1"/>
    <x v="2"/>
    <x v="2"/>
    <x v="2"/>
    <x v="2"/>
    <s v="Needs Improvement"/>
    <x v="1"/>
    <n v="39"/>
    <x v="1"/>
    <x v="2"/>
    <x v="1"/>
    <s v="Work on communication and personality development"/>
  </r>
  <r>
    <n v="33"/>
    <x v="1"/>
    <n v="2"/>
    <n v="14"/>
    <n v="4"/>
    <n v="20.663074254960701"/>
    <x v="58"/>
    <n v="96"/>
    <n v="24"/>
    <n v="1"/>
    <n v="1"/>
    <s v="C106"/>
    <x v="1"/>
    <x v="0"/>
    <x v="1"/>
    <x v="0"/>
    <x v="0"/>
    <s v="Needs Improvement"/>
    <x v="0"/>
    <n v="55"/>
    <x v="0"/>
    <x v="1"/>
    <x v="0"/>
    <s v="Improve interview preparation and communication"/>
  </r>
  <r>
    <n v="50"/>
    <x v="0"/>
    <n v="4"/>
    <n v="10"/>
    <n v="5"/>
    <n v="31.835635382338801"/>
    <x v="5"/>
    <n v="97"/>
    <n v="39"/>
    <n v="3"/>
    <n v="0"/>
    <s v="C107"/>
    <x v="0"/>
    <x v="1"/>
    <x v="1"/>
    <x v="1"/>
    <x v="0"/>
    <s v="Needs Improvement"/>
    <x v="1"/>
    <n v="68"/>
    <x v="0"/>
    <x v="1"/>
    <x v="1"/>
    <s v="Work on communication and personality development"/>
  </r>
  <r>
    <n v="35"/>
    <x v="1"/>
    <n v="2"/>
    <n v="5"/>
    <n v="2"/>
    <n v="44.039946845774701"/>
    <x v="9"/>
    <n v="96"/>
    <n v="31"/>
    <n v="2"/>
    <n v="0"/>
    <s v="C108"/>
    <x v="1"/>
    <x v="0"/>
    <x v="2"/>
    <x v="2"/>
    <x v="0"/>
    <s v="Needs Improvement"/>
    <x v="1"/>
    <n v="70"/>
    <x v="0"/>
    <x v="1"/>
    <x v="1"/>
    <s v="Work on communication and personality development"/>
  </r>
  <r>
    <n v="34"/>
    <x v="1"/>
    <n v="2"/>
    <n v="2"/>
    <n v="5"/>
    <n v="18.309844334016301"/>
    <x v="1"/>
    <n v="68"/>
    <n v="87"/>
    <n v="2"/>
    <n v="0"/>
    <s v="C109"/>
    <x v="1"/>
    <x v="0"/>
    <x v="0"/>
    <x v="0"/>
    <x v="1"/>
    <s v="Strong"/>
    <x v="1"/>
    <n v="53"/>
    <x v="0"/>
    <x v="0"/>
    <x v="0"/>
    <s v="Improve interview preparation and communication"/>
  </r>
  <r>
    <n v="27"/>
    <x v="0"/>
    <n v="1"/>
    <n v="15"/>
    <n v="4"/>
    <n v="33.689337556223002"/>
    <x v="25"/>
    <n v="66"/>
    <n v="27"/>
    <n v="1"/>
    <n v="1"/>
    <s v="C110"/>
    <x v="0"/>
    <x v="2"/>
    <x v="1"/>
    <x v="2"/>
    <x v="1"/>
    <s v="Needs Improvement"/>
    <x v="0"/>
    <n v="73"/>
    <x v="0"/>
    <x v="2"/>
    <x v="1"/>
    <s v="Work on communication and personality development"/>
  </r>
  <r>
    <n v="33"/>
    <x v="1"/>
    <n v="4"/>
    <n v="4"/>
    <n v="3"/>
    <n v="18.509934051160901"/>
    <x v="45"/>
    <n v="60"/>
    <n v="77"/>
    <n v="1"/>
    <n v="1"/>
    <s v="C111"/>
    <x v="1"/>
    <x v="1"/>
    <x v="2"/>
    <x v="0"/>
    <x v="1"/>
    <s v="Strong"/>
    <x v="0"/>
    <n v="50"/>
    <x v="0"/>
    <x v="0"/>
    <x v="0"/>
    <s v="Improve interview preparation and communication"/>
  </r>
  <r>
    <n v="42"/>
    <x v="1"/>
    <n v="1"/>
    <n v="10"/>
    <n v="4"/>
    <n v="31.860979149722901"/>
    <x v="59"/>
    <n v="59"/>
    <n v="2"/>
    <n v="3"/>
    <n v="0"/>
    <s v="C112"/>
    <x v="1"/>
    <x v="2"/>
    <x v="1"/>
    <x v="1"/>
    <x v="1"/>
    <s v="Needs Improvement"/>
    <x v="1"/>
    <n v="46"/>
    <x v="1"/>
    <x v="1"/>
    <x v="1"/>
    <s v="Work on communication and personality development"/>
  </r>
  <r>
    <n v="47"/>
    <x v="0"/>
    <n v="3"/>
    <n v="7"/>
    <n v="4"/>
    <n v="45.240397351532501"/>
    <x v="58"/>
    <n v="70"/>
    <n v="99"/>
    <n v="2"/>
    <n v="1"/>
    <s v="C113"/>
    <x v="0"/>
    <x v="3"/>
    <x v="1"/>
    <x v="0"/>
    <x v="1"/>
    <s v="Strong"/>
    <x v="0"/>
    <n v="56"/>
    <x v="0"/>
    <x v="0"/>
    <x v="0"/>
    <s v="Improve interview preparation and communication"/>
  </r>
  <r>
    <n v="44"/>
    <x v="0"/>
    <n v="3"/>
    <n v="5"/>
    <n v="5"/>
    <n v="12.5678821129704"/>
    <x v="60"/>
    <n v="23"/>
    <n v="90"/>
    <n v="2"/>
    <n v="0"/>
    <s v="C114"/>
    <x v="0"/>
    <x v="3"/>
    <x v="2"/>
    <x v="2"/>
    <x v="2"/>
    <s v="Strong"/>
    <x v="1"/>
    <n v="59"/>
    <x v="0"/>
    <x v="0"/>
    <x v="2"/>
    <s v="Strengthen technical skills and practical knowledge"/>
  </r>
  <r>
    <n v="49"/>
    <x v="1"/>
    <n v="2"/>
    <n v="3"/>
    <n v="2"/>
    <n v="21.2120821053519"/>
    <x v="6"/>
    <n v="62"/>
    <n v="83"/>
    <n v="3"/>
    <n v="0"/>
    <s v="C115"/>
    <x v="1"/>
    <x v="0"/>
    <x v="2"/>
    <x v="0"/>
    <x v="1"/>
    <s v="Strong"/>
    <x v="1"/>
    <n v="48"/>
    <x v="1"/>
    <x v="0"/>
    <x v="0"/>
    <s v="Improve interview preparation and communication"/>
  </r>
  <r>
    <n v="27"/>
    <x v="1"/>
    <n v="2"/>
    <n v="1"/>
    <n v="4"/>
    <n v="50.663259821487301"/>
    <x v="33"/>
    <n v="85"/>
    <n v="78"/>
    <n v="1"/>
    <n v="1"/>
    <s v="C116"/>
    <x v="1"/>
    <x v="0"/>
    <x v="0"/>
    <x v="0"/>
    <x v="0"/>
    <s v="Strong"/>
    <x v="0"/>
    <n v="45"/>
    <x v="1"/>
    <x v="1"/>
    <x v="0"/>
    <s v="Improve interview preparation and communication"/>
  </r>
  <r>
    <n v="40"/>
    <x v="0"/>
    <n v="1"/>
    <n v="13"/>
    <n v="5"/>
    <n v="44.427851412472997"/>
    <x v="60"/>
    <n v="60"/>
    <n v="61"/>
    <n v="2"/>
    <n v="1"/>
    <s v="C117"/>
    <x v="0"/>
    <x v="2"/>
    <x v="1"/>
    <x v="2"/>
    <x v="1"/>
    <s v="Good"/>
    <x v="0"/>
    <n v="71"/>
    <x v="0"/>
    <x v="2"/>
    <x v="2"/>
    <s v="Strengthen technical skills and practical knowledge"/>
  </r>
  <r>
    <n v="35"/>
    <x v="0"/>
    <n v="2"/>
    <n v="8"/>
    <n v="2"/>
    <n v="29.231992894809999"/>
    <x v="61"/>
    <n v="22"/>
    <n v="26"/>
    <n v="2"/>
    <n v="0"/>
    <s v="C118"/>
    <x v="0"/>
    <x v="0"/>
    <x v="1"/>
    <x v="0"/>
    <x v="2"/>
    <s v="Needs Improvement"/>
    <x v="1"/>
    <n v="24"/>
    <x v="1"/>
    <x v="0"/>
    <x v="0"/>
    <s v="Improve interview preparation and communication"/>
  </r>
  <r>
    <n v="32"/>
    <x v="1"/>
    <n v="3"/>
    <n v="12"/>
    <n v="3"/>
    <n v="26.831379592713699"/>
    <x v="62"/>
    <n v="29"/>
    <n v="44"/>
    <n v="1"/>
    <n v="1"/>
    <s v="C119"/>
    <x v="1"/>
    <x v="3"/>
    <x v="1"/>
    <x v="0"/>
    <x v="2"/>
    <s v="Needs Improvement"/>
    <x v="0"/>
    <n v="34"/>
    <x v="1"/>
    <x v="0"/>
    <x v="0"/>
    <s v="Improve interview preparation and communication"/>
  </r>
  <r>
    <n v="37"/>
    <x v="0"/>
    <n v="3"/>
    <n v="11"/>
    <n v="3"/>
    <n v="15.230019115234001"/>
    <x v="1"/>
    <n v="59"/>
    <n v="91"/>
    <n v="1"/>
    <n v="1"/>
    <s v="C120"/>
    <x v="0"/>
    <x v="3"/>
    <x v="1"/>
    <x v="0"/>
    <x v="1"/>
    <s v="Strong"/>
    <x v="0"/>
    <n v="61"/>
    <x v="0"/>
    <x v="0"/>
    <x v="0"/>
    <s v="Improve interview preparation and communication"/>
  </r>
  <r>
    <n v="34"/>
    <x v="1"/>
    <n v="2"/>
    <n v="0"/>
    <n v="1"/>
    <n v="26.860471384676401"/>
    <x v="49"/>
    <n v="17"/>
    <n v="24"/>
    <n v="2"/>
    <n v="0"/>
    <s v="C121"/>
    <x v="1"/>
    <x v="0"/>
    <x v="0"/>
    <x v="0"/>
    <x v="2"/>
    <s v="Needs Improvement"/>
    <x v="1"/>
    <n v="14"/>
    <x v="1"/>
    <x v="0"/>
    <x v="0"/>
    <s v="Improve interview preparation and communication"/>
  </r>
  <r>
    <n v="40"/>
    <x v="1"/>
    <n v="2"/>
    <n v="0"/>
    <n v="5"/>
    <n v="43.409074913997301"/>
    <x v="2"/>
    <n v="95"/>
    <n v="60"/>
    <n v="2"/>
    <n v="0"/>
    <s v="C122"/>
    <x v="1"/>
    <x v="0"/>
    <x v="0"/>
    <x v="0"/>
    <x v="0"/>
    <s v="Good"/>
    <x v="1"/>
    <n v="49"/>
    <x v="1"/>
    <x v="1"/>
    <x v="0"/>
    <s v="Improve interview preparation and communication"/>
  </r>
  <r>
    <n v="43"/>
    <x v="1"/>
    <n v="1"/>
    <n v="12"/>
    <n v="2"/>
    <n v="35.258725663889003"/>
    <x v="38"/>
    <n v="55"/>
    <n v="43"/>
    <n v="2"/>
    <n v="0"/>
    <s v="C123"/>
    <x v="1"/>
    <x v="2"/>
    <x v="1"/>
    <x v="2"/>
    <x v="1"/>
    <s v="Needs Improvement"/>
    <x v="1"/>
    <n v="62"/>
    <x v="0"/>
    <x v="2"/>
    <x v="1"/>
    <s v="Work on communication and personality development"/>
  </r>
  <r>
    <n v="45"/>
    <x v="1"/>
    <n v="1"/>
    <n v="3"/>
    <n v="4"/>
    <n v="15.5022014088993"/>
    <x v="25"/>
    <n v="52"/>
    <n v="96"/>
    <n v="1"/>
    <n v="1"/>
    <s v="C124"/>
    <x v="1"/>
    <x v="2"/>
    <x v="2"/>
    <x v="2"/>
    <x v="1"/>
    <s v="Strong"/>
    <x v="0"/>
    <n v="70"/>
    <x v="0"/>
    <x v="2"/>
    <x v="2"/>
    <s v="Strengthen technical skills and practical knowledge"/>
  </r>
  <r>
    <n v="44"/>
    <x v="1"/>
    <n v="1"/>
    <n v="6"/>
    <n v="3"/>
    <n v="11.0731960526766"/>
    <x v="63"/>
    <n v="6"/>
    <n v="45"/>
    <n v="3"/>
    <n v="0"/>
    <s v="C125"/>
    <x v="1"/>
    <x v="2"/>
    <x v="2"/>
    <x v="2"/>
    <x v="2"/>
    <s v="Needs Improvement"/>
    <x v="1"/>
    <n v="46"/>
    <x v="1"/>
    <x v="2"/>
    <x v="2"/>
    <s v="Strengthen technical skills and practical knowledge"/>
  </r>
  <r>
    <n v="47"/>
    <x v="0"/>
    <n v="2"/>
    <n v="0"/>
    <n v="2"/>
    <n v="14.2604268498414"/>
    <x v="45"/>
    <n v="96"/>
    <n v="13"/>
    <n v="1"/>
    <n v="0"/>
    <s v="C126"/>
    <x v="0"/>
    <x v="0"/>
    <x v="0"/>
    <x v="0"/>
    <x v="0"/>
    <s v="Needs Improvement"/>
    <x v="1"/>
    <n v="41"/>
    <x v="1"/>
    <x v="1"/>
    <x v="1"/>
    <s v="Work on communication and personality development"/>
  </r>
  <r>
    <n v="47"/>
    <x v="0"/>
    <n v="2"/>
    <n v="8"/>
    <n v="5"/>
    <n v="9.4879600696413195"/>
    <x v="5"/>
    <n v="68"/>
    <n v="7"/>
    <n v="2"/>
    <n v="0"/>
    <s v="C127"/>
    <x v="0"/>
    <x v="0"/>
    <x v="1"/>
    <x v="1"/>
    <x v="1"/>
    <s v="Needs Improvement"/>
    <x v="1"/>
    <n v="49"/>
    <x v="1"/>
    <x v="1"/>
    <x v="1"/>
    <s v="Work on communication and personality development"/>
  </r>
  <r>
    <n v="47"/>
    <x v="0"/>
    <n v="2"/>
    <n v="3"/>
    <n v="1"/>
    <n v="5.7820348011857901"/>
    <x v="26"/>
    <n v="91"/>
    <n v="47"/>
    <n v="2"/>
    <n v="0"/>
    <s v="C128"/>
    <x v="0"/>
    <x v="0"/>
    <x v="2"/>
    <x v="0"/>
    <x v="0"/>
    <s v="Needs Improvement"/>
    <x v="1"/>
    <n v="54"/>
    <x v="0"/>
    <x v="1"/>
    <x v="0"/>
    <s v="Improve interview preparation and communication"/>
  </r>
  <r>
    <n v="32"/>
    <x v="0"/>
    <n v="2"/>
    <n v="2"/>
    <n v="3"/>
    <n v="21.9568087221027"/>
    <x v="52"/>
    <n v="71"/>
    <n v="13"/>
    <n v="1"/>
    <n v="1"/>
    <s v="C129"/>
    <x v="0"/>
    <x v="0"/>
    <x v="0"/>
    <x v="2"/>
    <x v="1"/>
    <s v="Needs Improvement"/>
    <x v="0"/>
    <n v="53"/>
    <x v="0"/>
    <x v="2"/>
    <x v="1"/>
    <s v="Work on communication and personality development"/>
  </r>
  <r>
    <n v="28"/>
    <x v="1"/>
    <n v="2"/>
    <n v="0"/>
    <n v="2"/>
    <n v="6.6649802199133799"/>
    <x v="64"/>
    <n v="78"/>
    <n v="64"/>
    <n v="1"/>
    <n v="1"/>
    <s v="C130"/>
    <x v="1"/>
    <x v="0"/>
    <x v="0"/>
    <x v="0"/>
    <x v="0"/>
    <s v="Good"/>
    <x v="0"/>
    <n v="48"/>
    <x v="1"/>
    <x v="1"/>
    <x v="0"/>
    <s v="Improve interview preparation and communication"/>
  </r>
  <r>
    <n v="48"/>
    <x v="1"/>
    <n v="2"/>
    <n v="9"/>
    <n v="2"/>
    <n v="9.59562788635521"/>
    <x v="65"/>
    <n v="51"/>
    <n v="79"/>
    <n v="2"/>
    <n v="0"/>
    <s v="C131"/>
    <x v="1"/>
    <x v="0"/>
    <x v="1"/>
    <x v="0"/>
    <x v="1"/>
    <s v="Strong"/>
    <x v="1"/>
    <n v="47"/>
    <x v="1"/>
    <x v="0"/>
    <x v="0"/>
    <s v="Improve interview preparation and communication"/>
  </r>
  <r>
    <n v="34"/>
    <x v="1"/>
    <n v="3"/>
    <n v="3"/>
    <n v="2"/>
    <n v="28.366234216974298"/>
    <x v="66"/>
    <n v="3"/>
    <n v="81"/>
    <n v="3"/>
    <n v="0"/>
    <s v="C132"/>
    <x v="1"/>
    <x v="3"/>
    <x v="2"/>
    <x v="1"/>
    <x v="2"/>
    <s v="Strong"/>
    <x v="1"/>
    <n v="40"/>
    <x v="1"/>
    <x v="0"/>
    <x v="2"/>
    <s v="Strengthen technical skills and practical knowledge"/>
  </r>
  <r>
    <n v="32"/>
    <x v="1"/>
    <n v="2"/>
    <n v="8"/>
    <n v="5"/>
    <n v="9.2299636849787294"/>
    <x v="19"/>
    <n v="33"/>
    <n v="6"/>
    <n v="1"/>
    <n v="1"/>
    <s v="C133"/>
    <x v="1"/>
    <x v="0"/>
    <x v="1"/>
    <x v="2"/>
    <x v="2"/>
    <s v="Needs Improvement"/>
    <x v="0"/>
    <n v="51"/>
    <x v="0"/>
    <x v="2"/>
    <x v="1"/>
    <s v="Work on communication and personality development"/>
  </r>
  <r>
    <n v="20"/>
    <x v="0"/>
    <n v="4"/>
    <n v="12"/>
    <n v="5"/>
    <n v="4.1939883715451396"/>
    <x v="8"/>
    <n v="68"/>
    <n v="78"/>
    <n v="2"/>
    <n v="1"/>
    <s v="C134"/>
    <x v="0"/>
    <x v="1"/>
    <x v="1"/>
    <x v="2"/>
    <x v="1"/>
    <s v="Strong"/>
    <x v="0"/>
    <n v="77"/>
    <x v="2"/>
    <x v="2"/>
    <x v="2"/>
    <s v="Strengthen technical skills and practical knowledge"/>
  </r>
  <r>
    <n v="44"/>
    <x v="1"/>
    <n v="3"/>
    <n v="13"/>
    <n v="5"/>
    <n v="16.8694425013942"/>
    <x v="2"/>
    <n v="32"/>
    <n v="87"/>
    <n v="2"/>
    <n v="0"/>
    <s v="C135"/>
    <x v="1"/>
    <x v="3"/>
    <x v="1"/>
    <x v="0"/>
    <x v="2"/>
    <s v="Strong"/>
    <x v="1"/>
    <n v="50"/>
    <x v="0"/>
    <x v="0"/>
    <x v="0"/>
    <s v="Improve interview preparation and communication"/>
  </r>
  <r>
    <n v="26"/>
    <x v="1"/>
    <n v="1"/>
    <n v="9"/>
    <n v="4"/>
    <n v="12.0159549310983"/>
    <x v="67"/>
    <n v="68"/>
    <n v="48"/>
    <n v="1"/>
    <n v="1"/>
    <s v="C136"/>
    <x v="1"/>
    <x v="2"/>
    <x v="1"/>
    <x v="0"/>
    <x v="1"/>
    <s v="Needs Improvement"/>
    <x v="0"/>
    <n v="55"/>
    <x v="0"/>
    <x v="1"/>
    <x v="0"/>
    <s v="Improve interview preparation and communication"/>
  </r>
  <r>
    <n v="28"/>
    <x v="0"/>
    <n v="3"/>
    <n v="15"/>
    <n v="2"/>
    <n v="26.765259399718801"/>
    <x v="37"/>
    <n v="37"/>
    <n v="54"/>
    <n v="2"/>
    <n v="0"/>
    <s v="C137"/>
    <x v="0"/>
    <x v="3"/>
    <x v="1"/>
    <x v="0"/>
    <x v="2"/>
    <s v="Good"/>
    <x v="1"/>
    <n v="45"/>
    <x v="1"/>
    <x v="0"/>
    <x v="0"/>
    <s v="Improve interview preparation and communication"/>
  </r>
  <r>
    <n v="43"/>
    <x v="0"/>
    <n v="2"/>
    <n v="15"/>
    <n v="3"/>
    <n v="6.1183542291604596"/>
    <x v="37"/>
    <n v="97"/>
    <n v="12"/>
    <n v="3"/>
    <n v="0"/>
    <s v="C138"/>
    <x v="0"/>
    <x v="0"/>
    <x v="1"/>
    <x v="0"/>
    <x v="0"/>
    <s v="Needs Improvement"/>
    <x v="1"/>
    <n v="54"/>
    <x v="0"/>
    <x v="1"/>
    <x v="1"/>
    <s v="Work on communication and personality development"/>
  </r>
  <r>
    <n v="20"/>
    <x v="0"/>
    <n v="2"/>
    <n v="5"/>
    <n v="5"/>
    <n v="38.588539384148902"/>
    <x v="52"/>
    <n v="25"/>
    <n v="72"/>
    <n v="2"/>
    <n v="0"/>
    <s v="C139"/>
    <x v="0"/>
    <x v="0"/>
    <x v="2"/>
    <x v="2"/>
    <x v="2"/>
    <s v="Good"/>
    <x v="1"/>
    <n v="54"/>
    <x v="0"/>
    <x v="2"/>
    <x v="2"/>
    <s v="Strengthen technical skills and practical knowledge"/>
  </r>
  <r>
    <n v="31"/>
    <x v="0"/>
    <n v="2"/>
    <n v="15"/>
    <n v="5"/>
    <n v="46.311675971756898"/>
    <x v="35"/>
    <n v="0"/>
    <n v="55"/>
    <n v="3"/>
    <n v="0"/>
    <s v="C140"/>
    <x v="0"/>
    <x v="0"/>
    <x v="1"/>
    <x v="0"/>
    <x v="2"/>
    <s v="Good"/>
    <x v="1"/>
    <n v="37"/>
    <x v="1"/>
    <x v="0"/>
    <x v="2"/>
    <s v="Strengthen technical skills and practical knowledge"/>
  </r>
  <r>
    <n v="27"/>
    <x v="1"/>
    <n v="2"/>
    <n v="5"/>
    <n v="2"/>
    <n v="38.1717586978097"/>
    <x v="20"/>
    <n v="3"/>
    <n v="55"/>
    <n v="1"/>
    <n v="0"/>
    <s v="C141"/>
    <x v="1"/>
    <x v="0"/>
    <x v="2"/>
    <x v="2"/>
    <x v="2"/>
    <s v="Good"/>
    <x v="1"/>
    <n v="47"/>
    <x v="1"/>
    <x v="2"/>
    <x v="2"/>
    <s v="Strengthen technical skills and practical knowledge"/>
  </r>
  <r>
    <n v="43"/>
    <x v="1"/>
    <n v="2"/>
    <n v="0"/>
    <n v="5"/>
    <n v="27.641351870069698"/>
    <x v="41"/>
    <n v="38"/>
    <n v="14"/>
    <n v="2"/>
    <n v="0"/>
    <s v="C142"/>
    <x v="1"/>
    <x v="0"/>
    <x v="0"/>
    <x v="0"/>
    <x v="2"/>
    <s v="Needs Improvement"/>
    <x v="1"/>
    <n v="19"/>
    <x v="1"/>
    <x v="1"/>
    <x v="0"/>
    <s v="Improve interview preparation and communication"/>
  </r>
  <r>
    <n v="50"/>
    <x v="0"/>
    <n v="2"/>
    <n v="9"/>
    <n v="4"/>
    <n v="44.033391089444201"/>
    <x v="27"/>
    <n v="53"/>
    <n v="56"/>
    <n v="2"/>
    <n v="0"/>
    <s v="C143"/>
    <x v="0"/>
    <x v="0"/>
    <x v="1"/>
    <x v="2"/>
    <x v="1"/>
    <s v="Good"/>
    <x v="1"/>
    <n v="65"/>
    <x v="0"/>
    <x v="2"/>
    <x v="2"/>
    <s v="Strengthen technical skills and practical knowledge"/>
  </r>
  <r>
    <n v="30"/>
    <x v="1"/>
    <n v="2"/>
    <n v="1"/>
    <n v="4"/>
    <n v="35.7459189890753"/>
    <x v="68"/>
    <n v="89"/>
    <n v="57"/>
    <n v="2"/>
    <n v="0"/>
    <s v="C144"/>
    <x v="1"/>
    <x v="0"/>
    <x v="0"/>
    <x v="0"/>
    <x v="0"/>
    <s v="Good"/>
    <x v="1"/>
    <n v="42"/>
    <x v="1"/>
    <x v="1"/>
    <x v="0"/>
    <s v="Improve interview preparation and communication"/>
  </r>
  <r>
    <n v="38"/>
    <x v="1"/>
    <n v="2"/>
    <n v="10"/>
    <n v="5"/>
    <n v="1.52755612250949"/>
    <x v="63"/>
    <n v="32"/>
    <n v="34"/>
    <n v="2"/>
    <n v="0"/>
    <s v="C145"/>
    <x v="1"/>
    <x v="0"/>
    <x v="1"/>
    <x v="2"/>
    <x v="2"/>
    <s v="Needs Improvement"/>
    <x v="1"/>
    <n v="55"/>
    <x v="0"/>
    <x v="2"/>
    <x v="2"/>
    <s v="Strengthen technical skills and practical knowledge"/>
  </r>
  <r>
    <n v="36"/>
    <x v="1"/>
    <n v="2"/>
    <n v="5"/>
    <n v="2"/>
    <n v="20.704507638725101"/>
    <x v="40"/>
    <n v="32"/>
    <n v="87"/>
    <n v="1"/>
    <n v="0"/>
    <s v="C146"/>
    <x v="1"/>
    <x v="0"/>
    <x v="2"/>
    <x v="0"/>
    <x v="2"/>
    <s v="Strong"/>
    <x v="1"/>
    <n v="40"/>
    <x v="1"/>
    <x v="0"/>
    <x v="0"/>
    <s v="Improve interview preparation and communication"/>
  </r>
  <r>
    <n v="27"/>
    <x v="0"/>
    <n v="3"/>
    <n v="1"/>
    <n v="2"/>
    <n v="43.54759497034"/>
    <x v="12"/>
    <n v="71"/>
    <n v="96"/>
    <n v="2"/>
    <n v="1"/>
    <s v="C147"/>
    <x v="0"/>
    <x v="3"/>
    <x v="0"/>
    <x v="2"/>
    <x v="1"/>
    <s v="Strong"/>
    <x v="0"/>
    <n v="74"/>
    <x v="0"/>
    <x v="2"/>
    <x v="2"/>
    <s v="Strengthen technical skills and practical knowledge"/>
  </r>
  <r>
    <n v="22"/>
    <x v="1"/>
    <n v="1"/>
    <n v="2"/>
    <n v="2"/>
    <n v="18.2929428987634"/>
    <x v="36"/>
    <n v="19"/>
    <n v="15"/>
    <n v="2"/>
    <n v="0"/>
    <s v="C148"/>
    <x v="1"/>
    <x v="2"/>
    <x v="0"/>
    <x v="1"/>
    <x v="2"/>
    <s v="Needs Improvement"/>
    <x v="1"/>
    <n v="33"/>
    <x v="1"/>
    <x v="2"/>
    <x v="1"/>
    <s v="Work on communication and personality development"/>
  </r>
  <r>
    <n v="22"/>
    <x v="0"/>
    <n v="2"/>
    <n v="3"/>
    <n v="1"/>
    <n v="2.7607586762761702"/>
    <x v="69"/>
    <n v="15"/>
    <n v="7"/>
    <n v="1"/>
    <n v="0"/>
    <s v="C149"/>
    <x v="0"/>
    <x v="0"/>
    <x v="2"/>
    <x v="2"/>
    <x v="2"/>
    <s v="Needs Improvement"/>
    <x v="1"/>
    <n v="35"/>
    <x v="1"/>
    <x v="2"/>
    <x v="1"/>
    <s v="Work on communication and personality development"/>
  </r>
  <r>
    <n v="20"/>
    <x v="1"/>
    <n v="3"/>
    <n v="10"/>
    <n v="5"/>
    <n v="38.308981927613601"/>
    <x v="60"/>
    <n v="20"/>
    <n v="92"/>
    <n v="3"/>
    <n v="1"/>
    <s v="C150"/>
    <x v="1"/>
    <x v="3"/>
    <x v="1"/>
    <x v="2"/>
    <x v="2"/>
    <s v="Strong"/>
    <x v="0"/>
    <n v="64"/>
    <x v="0"/>
    <x v="0"/>
    <x v="2"/>
    <s v="Strengthen technical skills and practical knowledge"/>
  </r>
  <r>
    <n v="46"/>
    <x v="1"/>
    <n v="2"/>
    <n v="4"/>
    <n v="2"/>
    <n v="41.101913514143398"/>
    <x v="70"/>
    <n v="44"/>
    <n v="86"/>
    <n v="2"/>
    <n v="0"/>
    <s v="C151"/>
    <x v="1"/>
    <x v="0"/>
    <x v="2"/>
    <x v="1"/>
    <x v="2"/>
    <s v="Strong"/>
    <x v="1"/>
    <n v="59"/>
    <x v="0"/>
    <x v="0"/>
    <x v="2"/>
    <s v="Strengthen technical skills and practical knowledge"/>
  </r>
  <r>
    <n v="24"/>
    <x v="1"/>
    <n v="1"/>
    <n v="14"/>
    <n v="4"/>
    <n v="9.0296847521654193"/>
    <x v="55"/>
    <n v="89"/>
    <n v="44"/>
    <n v="2"/>
    <n v="0"/>
    <s v="C152"/>
    <x v="1"/>
    <x v="2"/>
    <x v="1"/>
    <x v="2"/>
    <x v="0"/>
    <s v="Needs Improvement"/>
    <x v="1"/>
    <n v="76"/>
    <x v="2"/>
    <x v="1"/>
    <x v="1"/>
    <s v="Work on communication and personality development"/>
  </r>
  <r>
    <n v="29"/>
    <x v="0"/>
    <n v="1"/>
    <n v="8"/>
    <n v="3"/>
    <n v="27.867024842159001"/>
    <x v="71"/>
    <n v="86"/>
    <n v="94"/>
    <n v="1"/>
    <n v="1"/>
    <s v="C153"/>
    <x v="0"/>
    <x v="2"/>
    <x v="1"/>
    <x v="0"/>
    <x v="0"/>
    <s v="Strong"/>
    <x v="0"/>
    <n v="61"/>
    <x v="0"/>
    <x v="0"/>
    <x v="0"/>
    <s v="Improve interview preparation and communication"/>
  </r>
  <r>
    <n v="26"/>
    <x v="1"/>
    <n v="2"/>
    <n v="11"/>
    <n v="3"/>
    <n v="10.5977719497862"/>
    <x v="67"/>
    <n v="81"/>
    <n v="39"/>
    <n v="1"/>
    <n v="1"/>
    <s v="C154"/>
    <x v="1"/>
    <x v="0"/>
    <x v="1"/>
    <x v="0"/>
    <x v="0"/>
    <s v="Needs Improvement"/>
    <x v="0"/>
    <n v="59"/>
    <x v="0"/>
    <x v="1"/>
    <x v="1"/>
    <s v="Work on communication and personality development"/>
  </r>
  <r>
    <n v="45"/>
    <x v="0"/>
    <n v="4"/>
    <n v="14"/>
    <n v="2"/>
    <n v="36.961720952207301"/>
    <x v="57"/>
    <n v="61"/>
    <n v="53"/>
    <n v="2"/>
    <n v="1"/>
    <s v="C155"/>
    <x v="0"/>
    <x v="1"/>
    <x v="1"/>
    <x v="2"/>
    <x v="1"/>
    <s v="Good"/>
    <x v="0"/>
    <n v="75"/>
    <x v="2"/>
    <x v="2"/>
    <x v="1"/>
    <s v="Work on communication and personality development"/>
  </r>
  <r>
    <n v="28"/>
    <x v="0"/>
    <n v="2"/>
    <n v="14"/>
    <n v="3"/>
    <n v="14.577522758874199"/>
    <x v="22"/>
    <n v="30"/>
    <n v="13"/>
    <n v="2"/>
    <n v="0"/>
    <s v="C156"/>
    <x v="0"/>
    <x v="0"/>
    <x v="1"/>
    <x v="0"/>
    <x v="2"/>
    <s v="Needs Improvement"/>
    <x v="1"/>
    <n v="32"/>
    <x v="1"/>
    <x v="1"/>
    <x v="0"/>
    <s v="Improve interview preparation and communication"/>
  </r>
  <r>
    <n v="47"/>
    <x v="0"/>
    <n v="4"/>
    <n v="3"/>
    <n v="3"/>
    <n v="16.810756128166499"/>
    <x v="64"/>
    <n v="41"/>
    <n v="58"/>
    <n v="2"/>
    <n v="0"/>
    <s v="C157"/>
    <x v="0"/>
    <x v="1"/>
    <x v="2"/>
    <x v="0"/>
    <x v="2"/>
    <s v="Good"/>
    <x v="1"/>
    <n v="42"/>
    <x v="1"/>
    <x v="0"/>
    <x v="0"/>
    <s v="Improve interview preparation and communication"/>
  </r>
  <r>
    <n v="26"/>
    <x v="1"/>
    <n v="2"/>
    <n v="12"/>
    <n v="1"/>
    <n v="43.248542682005002"/>
    <x v="61"/>
    <n v="11"/>
    <n v="93"/>
    <n v="2"/>
    <n v="0"/>
    <s v="C158"/>
    <x v="1"/>
    <x v="0"/>
    <x v="1"/>
    <x v="0"/>
    <x v="2"/>
    <s v="Strong"/>
    <x v="1"/>
    <n v="38"/>
    <x v="1"/>
    <x v="0"/>
    <x v="0"/>
    <s v="Improve interview preparation and communication"/>
  </r>
  <r>
    <n v="28"/>
    <x v="1"/>
    <n v="2"/>
    <n v="10"/>
    <n v="4"/>
    <n v="24.816117610345199"/>
    <x v="72"/>
    <n v="64"/>
    <n v="52"/>
    <n v="1"/>
    <n v="1"/>
    <s v="C159"/>
    <x v="1"/>
    <x v="0"/>
    <x v="1"/>
    <x v="2"/>
    <x v="1"/>
    <s v="Good"/>
    <x v="0"/>
    <n v="69"/>
    <x v="0"/>
    <x v="2"/>
    <x v="1"/>
    <s v="Work on communication and personality development"/>
  </r>
  <r>
    <n v="27"/>
    <x v="1"/>
    <n v="2"/>
    <n v="8"/>
    <n v="4"/>
    <n v="34.487722560912303"/>
    <x v="38"/>
    <n v="72"/>
    <n v="26"/>
    <n v="2"/>
    <n v="0"/>
    <s v="C160"/>
    <x v="1"/>
    <x v="0"/>
    <x v="1"/>
    <x v="2"/>
    <x v="1"/>
    <s v="Needs Improvement"/>
    <x v="1"/>
    <n v="60"/>
    <x v="0"/>
    <x v="2"/>
    <x v="1"/>
    <s v="Work on communication and personality development"/>
  </r>
  <r>
    <n v="31"/>
    <x v="1"/>
    <n v="2"/>
    <n v="10"/>
    <n v="1"/>
    <n v="21.1186525361233"/>
    <x v="73"/>
    <n v="2"/>
    <n v="46"/>
    <n v="2"/>
    <n v="0"/>
    <s v="C161"/>
    <x v="1"/>
    <x v="0"/>
    <x v="1"/>
    <x v="0"/>
    <x v="2"/>
    <s v="Needs Improvement"/>
    <x v="1"/>
    <n v="30"/>
    <x v="1"/>
    <x v="0"/>
    <x v="2"/>
    <s v="Strengthen technical skills and practical knowledge"/>
  </r>
  <r>
    <n v="21"/>
    <x v="0"/>
    <n v="1"/>
    <n v="9"/>
    <n v="1"/>
    <n v="15.900342859687701"/>
    <x v="56"/>
    <n v="89"/>
    <n v="79"/>
    <n v="2"/>
    <n v="1"/>
    <s v="C162"/>
    <x v="0"/>
    <x v="2"/>
    <x v="1"/>
    <x v="2"/>
    <x v="0"/>
    <s v="Strong"/>
    <x v="0"/>
    <n v="77"/>
    <x v="2"/>
    <x v="1"/>
    <x v="0"/>
    <s v="Improve interview preparation and communication"/>
  </r>
  <r>
    <n v="20"/>
    <x v="0"/>
    <n v="3"/>
    <n v="2"/>
    <n v="3"/>
    <n v="32.273903021232996"/>
    <x v="4"/>
    <n v="8"/>
    <n v="5"/>
    <n v="1"/>
    <n v="0"/>
    <s v="C163"/>
    <x v="0"/>
    <x v="3"/>
    <x v="0"/>
    <x v="0"/>
    <x v="2"/>
    <s v="Needs Improvement"/>
    <x v="1"/>
    <n v="16"/>
    <x v="1"/>
    <x v="2"/>
    <x v="1"/>
    <s v="Work on communication and personality development"/>
  </r>
  <r>
    <n v="35"/>
    <x v="0"/>
    <n v="3"/>
    <n v="7"/>
    <n v="5"/>
    <n v="8.7428787039410594"/>
    <x v="54"/>
    <n v="50"/>
    <n v="54"/>
    <n v="1"/>
    <n v="1"/>
    <s v="C164"/>
    <x v="0"/>
    <x v="3"/>
    <x v="1"/>
    <x v="1"/>
    <x v="1"/>
    <s v="Good"/>
    <x v="0"/>
    <n v="56"/>
    <x v="0"/>
    <x v="2"/>
    <x v="2"/>
    <s v="Strengthen technical skills and practical knowledge"/>
  </r>
  <r>
    <n v="42"/>
    <x v="1"/>
    <n v="2"/>
    <n v="11"/>
    <n v="3"/>
    <n v="19.6499917783431"/>
    <x v="17"/>
    <n v="15"/>
    <n v="96"/>
    <n v="2"/>
    <n v="0"/>
    <s v="C165"/>
    <x v="1"/>
    <x v="0"/>
    <x v="1"/>
    <x v="1"/>
    <x v="2"/>
    <s v="Strong"/>
    <x v="1"/>
    <n v="56"/>
    <x v="0"/>
    <x v="0"/>
    <x v="2"/>
    <s v="Strengthen technical skills and practical knowledge"/>
  </r>
  <r>
    <n v="42"/>
    <x v="0"/>
    <n v="4"/>
    <n v="0"/>
    <n v="1"/>
    <n v="11.4518518692961"/>
    <x v="10"/>
    <n v="87"/>
    <n v="43"/>
    <n v="1"/>
    <n v="1"/>
    <s v="C166"/>
    <x v="0"/>
    <x v="1"/>
    <x v="0"/>
    <x v="2"/>
    <x v="0"/>
    <s v="Needs Improvement"/>
    <x v="0"/>
    <n v="68"/>
    <x v="0"/>
    <x v="2"/>
    <x v="1"/>
    <s v="Work on communication and personality development"/>
  </r>
  <r>
    <n v="49"/>
    <x v="1"/>
    <n v="3"/>
    <n v="10"/>
    <n v="4"/>
    <n v="35.789748347037197"/>
    <x v="74"/>
    <n v="77"/>
    <n v="17"/>
    <n v="1"/>
    <n v="1"/>
    <s v="C167"/>
    <x v="1"/>
    <x v="3"/>
    <x v="1"/>
    <x v="2"/>
    <x v="0"/>
    <s v="Needs Improvement"/>
    <x v="0"/>
    <n v="70"/>
    <x v="0"/>
    <x v="2"/>
    <x v="1"/>
    <s v="Work on communication and personality development"/>
  </r>
  <r>
    <n v="43"/>
    <x v="0"/>
    <n v="2"/>
    <n v="8"/>
    <n v="3"/>
    <n v="48.210441917305303"/>
    <x v="75"/>
    <n v="2"/>
    <n v="15"/>
    <n v="1"/>
    <n v="0"/>
    <s v="C168"/>
    <x v="0"/>
    <x v="0"/>
    <x v="1"/>
    <x v="0"/>
    <x v="2"/>
    <s v="Needs Improvement"/>
    <x v="1"/>
    <n v="28"/>
    <x v="1"/>
    <x v="2"/>
    <x v="2"/>
    <s v="Strengthen technical skills and practical knowledge"/>
  </r>
  <r>
    <n v="24"/>
    <x v="1"/>
    <n v="1"/>
    <n v="8"/>
    <n v="5"/>
    <n v="50.775548400793298"/>
    <x v="17"/>
    <n v="97"/>
    <n v="11"/>
    <n v="2"/>
    <n v="0"/>
    <s v="C169"/>
    <x v="1"/>
    <x v="2"/>
    <x v="1"/>
    <x v="1"/>
    <x v="0"/>
    <s v="Needs Improvement"/>
    <x v="1"/>
    <n v="60"/>
    <x v="0"/>
    <x v="1"/>
    <x v="1"/>
    <s v="Work on communication and personality development"/>
  </r>
  <r>
    <n v="22"/>
    <x v="1"/>
    <n v="2"/>
    <n v="9"/>
    <n v="3"/>
    <n v="23.513840522079501"/>
    <x v="56"/>
    <n v="96"/>
    <n v="19"/>
    <n v="2"/>
    <n v="0"/>
    <s v="C170"/>
    <x v="1"/>
    <x v="0"/>
    <x v="1"/>
    <x v="2"/>
    <x v="0"/>
    <s v="Needs Improvement"/>
    <x v="1"/>
    <n v="67"/>
    <x v="0"/>
    <x v="1"/>
    <x v="1"/>
    <s v="Work on communication and personality development"/>
  </r>
  <r>
    <n v="31"/>
    <x v="0"/>
    <n v="2"/>
    <n v="1"/>
    <n v="2"/>
    <n v="13.6265194818222"/>
    <x v="15"/>
    <n v="23"/>
    <n v="44"/>
    <n v="2"/>
    <n v="0"/>
    <s v="C171"/>
    <x v="0"/>
    <x v="0"/>
    <x v="0"/>
    <x v="0"/>
    <x v="2"/>
    <s v="Needs Improvement"/>
    <x v="1"/>
    <n v="23"/>
    <x v="1"/>
    <x v="0"/>
    <x v="0"/>
    <s v="Improve interview preparation and communication"/>
  </r>
  <r>
    <n v="27"/>
    <x v="0"/>
    <n v="2"/>
    <n v="3"/>
    <n v="3"/>
    <n v="23.1414685192162"/>
    <x v="76"/>
    <n v="72"/>
    <n v="63"/>
    <n v="1"/>
    <n v="1"/>
    <s v="C172"/>
    <x v="0"/>
    <x v="0"/>
    <x v="2"/>
    <x v="0"/>
    <x v="1"/>
    <s v="Good"/>
    <x v="0"/>
    <n v="48"/>
    <x v="1"/>
    <x v="1"/>
    <x v="0"/>
    <s v="Improve interview preparation and communication"/>
  </r>
  <r>
    <n v="41"/>
    <x v="0"/>
    <n v="1"/>
    <n v="12"/>
    <n v="1"/>
    <n v="43.363470498136103"/>
    <x v="39"/>
    <n v="12"/>
    <n v="58"/>
    <n v="2"/>
    <n v="0"/>
    <s v="C173"/>
    <x v="0"/>
    <x v="2"/>
    <x v="1"/>
    <x v="0"/>
    <x v="2"/>
    <s v="Good"/>
    <x v="1"/>
    <n v="43"/>
    <x v="1"/>
    <x v="0"/>
    <x v="2"/>
    <s v="Strengthen technical skills and practical knowledge"/>
  </r>
  <r>
    <n v="46"/>
    <x v="0"/>
    <n v="3"/>
    <n v="7"/>
    <n v="4"/>
    <n v="11.3002839276019"/>
    <x v="9"/>
    <n v="1"/>
    <n v="92"/>
    <n v="1"/>
    <n v="1"/>
    <s v="C174"/>
    <x v="0"/>
    <x v="3"/>
    <x v="1"/>
    <x v="2"/>
    <x v="2"/>
    <s v="Strong"/>
    <x v="0"/>
    <n v="57"/>
    <x v="0"/>
    <x v="2"/>
    <x v="2"/>
    <s v="Strengthen technical skills and practical knowledge"/>
  </r>
  <r>
    <n v="22"/>
    <x v="1"/>
    <n v="1"/>
    <n v="6"/>
    <n v="4"/>
    <n v="48.604782582646102"/>
    <x v="77"/>
    <n v="70"/>
    <n v="93"/>
    <n v="3"/>
    <n v="0"/>
    <s v="C175"/>
    <x v="1"/>
    <x v="2"/>
    <x v="2"/>
    <x v="0"/>
    <x v="1"/>
    <s v="Strong"/>
    <x v="1"/>
    <n v="61"/>
    <x v="0"/>
    <x v="0"/>
    <x v="0"/>
    <s v="Improve interview preparation and communication"/>
  </r>
  <r>
    <n v="20"/>
    <x v="0"/>
    <n v="2"/>
    <n v="0"/>
    <n v="1"/>
    <n v="18.0932884399075"/>
    <x v="58"/>
    <n v="20"/>
    <n v="89"/>
    <n v="2"/>
    <n v="0"/>
    <s v="C176"/>
    <x v="0"/>
    <x v="0"/>
    <x v="0"/>
    <x v="0"/>
    <x v="2"/>
    <s v="Strong"/>
    <x v="1"/>
    <n v="31"/>
    <x v="1"/>
    <x v="0"/>
    <x v="0"/>
    <s v="Improve interview preparation and communication"/>
  </r>
  <r>
    <n v="22"/>
    <x v="0"/>
    <n v="4"/>
    <n v="4"/>
    <n v="2"/>
    <n v="50.290182972515197"/>
    <x v="78"/>
    <n v="18"/>
    <n v="21"/>
    <n v="2"/>
    <n v="0"/>
    <s v="C177"/>
    <x v="0"/>
    <x v="1"/>
    <x v="2"/>
    <x v="0"/>
    <x v="2"/>
    <s v="Needs Improvement"/>
    <x v="1"/>
    <n v="30"/>
    <x v="1"/>
    <x v="2"/>
    <x v="2"/>
    <s v="Strengthen technical skills and practical knowledge"/>
  </r>
  <r>
    <n v="24"/>
    <x v="0"/>
    <n v="3"/>
    <n v="6"/>
    <n v="1"/>
    <n v="42.930444376698098"/>
    <x v="0"/>
    <n v="88"/>
    <n v="96"/>
    <n v="1"/>
    <n v="1"/>
    <s v="C178"/>
    <x v="0"/>
    <x v="3"/>
    <x v="2"/>
    <x v="0"/>
    <x v="0"/>
    <s v="Strong"/>
    <x v="0"/>
    <n v="70"/>
    <x v="0"/>
    <x v="0"/>
    <x v="0"/>
    <s v="Improve interview preparation and communication"/>
  </r>
  <r>
    <n v="34"/>
    <x v="1"/>
    <n v="2"/>
    <n v="14"/>
    <n v="3"/>
    <n v="41.4285267073695"/>
    <x v="79"/>
    <n v="46"/>
    <n v="46"/>
    <n v="1"/>
    <n v="1"/>
    <s v="C179"/>
    <x v="1"/>
    <x v="0"/>
    <x v="1"/>
    <x v="2"/>
    <x v="2"/>
    <s v="Needs Improvement"/>
    <x v="0"/>
    <n v="65"/>
    <x v="0"/>
    <x v="2"/>
    <x v="2"/>
    <s v="Strengthen technical skills and practical knowledge"/>
  </r>
  <r>
    <n v="33"/>
    <x v="1"/>
    <n v="3"/>
    <n v="15"/>
    <n v="1"/>
    <n v="16.895233688664099"/>
    <x v="21"/>
    <n v="21"/>
    <n v="28"/>
    <n v="2"/>
    <n v="0"/>
    <s v="C180"/>
    <x v="1"/>
    <x v="3"/>
    <x v="1"/>
    <x v="1"/>
    <x v="2"/>
    <s v="Needs Improvement"/>
    <x v="1"/>
    <n v="47"/>
    <x v="1"/>
    <x v="2"/>
    <x v="2"/>
    <s v="Strengthen technical skills and practical knowledge"/>
  </r>
  <r>
    <n v="22"/>
    <x v="0"/>
    <n v="1"/>
    <n v="3"/>
    <n v="1"/>
    <n v="1.4388605973964701"/>
    <x v="80"/>
    <n v="74"/>
    <n v="85"/>
    <n v="2"/>
    <n v="0"/>
    <s v="C181"/>
    <x v="0"/>
    <x v="2"/>
    <x v="2"/>
    <x v="2"/>
    <x v="1"/>
    <s v="Strong"/>
    <x v="1"/>
    <n v="71"/>
    <x v="0"/>
    <x v="2"/>
    <x v="2"/>
    <s v="Strengthen technical skills and practical knowledge"/>
  </r>
  <r>
    <n v="20"/>
    <x v="1"/>
    <n v="1"/>
    <n v="14"/>
    <n v="2"/>
    <n v="20.1066454412993"/>
    <x v="52"/>
    <n v="32"/>
    <n v="44"/>
    <n v="1"/>
    <n v="1"/>
    <s v="C182"/>
    <x v="1"/>
    <x v="2"/>
    <x v="1"/>
    <x v="2"/>
    <x v="2"/>
    <s v="Needs Improvement"/>
    <x v="0"/>
    <n v="60"/>
    <x v="0"/>
    <x v="2"/>
    <x v="2"/>
    <s v="Strengthen technical skills and practical knowledge"/>
  </r>
  <r>
    <n v="24"/>
    <x v="0"/>
    <n v="2"/>
    <n v="15"/>
    <n v="3"/>
    <n v="16.0904684831346"/>
    <x v="81"/>
    <n v="31"/>
    <n v="76"/>
    <n v="3"/>
    <n v="0"/>
    <s v="C183"/>
    <x v="0"/>
    <x v="0"/>
    <x v="1"/>
    <x v="1"/>
    <x v="2"/>
    <s v="Strong"/>
    <x v="1"/>
    <n v="61"/>
    <x v="0"/>
    <x v="0"/>
    <x v="2"/>
    <s v="Strengthen technical skills and practical knowledge"/>
  </r>
  <r>
    <n v="45"/>
    <x v="1"/>
    <n v="2"/>
    <n v="14"/>
    <n v="5"/>
    <n v="2.86984952043986"/>
    <x v="30"/>
    <n v="63"/>
    <n v="8"/>
    <n v="3"/>
    <n v="0"/>
    <s v="C184"/>
    <x v="1"/>
    <x v="0"/>
    <x v="1"/>
    <x v="1"/>
    <x v="1"/>
    <s v="Needs Improvement"/>
    <x v="1"/>
    <n v="59"/>
    <x v="0"/>
    <x v="2"/>
    <x v="1"/>
    <s v="Work on communication and personality development"/>
  </r>
  <r>
    <n v="42"/>
    <x v="1"/>
    <n v="2"/>
    <n v="0"/>
    <n v="5"/>
    <n v="26.2682628252964"/>
    <x v="21"/>
    <n v="84"/>
    <n v="23"/>
    <n v="2"/>
    <n v="0"/>
    <s v="C185"/>
    <x v="1"/>
    <x v="0"/>
    <x v="0"/>
    <x v="1"/>
    <x v="0"/>
    <s v="Needs Improvement"/>
    <x v="1"/>
    <n v="49"/>
    <x v="1"/>
    <x v="1"/>
    <x v="1"/>
    <s v="Work on communication and personality development"/>
  </r>
  <r>
    <n v="50"/>
    <x v="1"/>
    <n v="2"/>
    <n v="8"/>
    <n v="4"/>
    <n v="21.151565564136799"/>
    <x v="82"/>
    <n v="38"/>
    <n v="14"/>
    <n v="3"/>
    <n v="0"/>
    <s v="C186"/>
    <x v="1"/>
    <x v="0"/>
    <x v="1"/>
    <x v="2"/>
    <x v="2"/>
    <s v="Needs Improvement"/>
    <x v="1"/>
    <n v="54"/>
    <x v="0"/>
    <x v="2"/>
    <x v="1"/>
    <s v="Work on communication and personality development"/>
  </r>
  <r>
    <n v="33"/>
    <x v="1"/>
    <n v="1"/>
    <n v="13"/>
    <n v="1"/>
    <n v="32.727823387076199"/>
    <x v="70"/>
    <n v="83"/>
    <n v="35"/>
    <n v="1"/>
    <n v="1"/>
    <s v="C187"/>
    <x v="1"/>
    <x v="2"/>
    <x v="1"/>
    <x v="1"/>
    <x v="0"/>
    <s v="Needs Improvement"/>
    <x v="0"/>
    <n v="69"/>
    <x v="0"/>
    <x v="1"/>
    <x v="1"/>
    <s v="Work on communication and personality development"/>
  </r>
  <r>
    <n v="26"/>
    <x v="0"/>
    <n v="2"/>
    <n v="4"/>
    <n v="4"/>
    <n v="32.059316109704099"/>
    <x v="70"/>
    <n v="71"/>
    <n v="12"/>
    <n v="1"/>
    <n v="1"/>
    <s v="C188"/>
    <x v="0"/>
    <x v="0"/>
    <x v="2"/>
    <x v="1"/>
    <x v="1"/>
    <s v="Needs Improvement"/>
    <x v="0"/>
    <n v="52"/>
    <x v="0"/>
    <x v="2"/>
    <x v="1"/>
    <s v="Work on communication and personality development"/>
  </r>
  <r>
    <n v="46"/>
    <x v="0"/>
    <n v="2"/>
    <n v="10"/>
    <n v="2"/>
    <n v="7.0373317948340004"/>
    <x v="43"/>
    <n v="41"/>
    <n v="90"/>
    <n v="1"/>
    <n v="1"/>
    <s v="C189"/>
    <x v="0"/>
    <x v="0"/>
    <x v="1"/>
    <x v="1"/>
    <x v="2"/>
    <s v="Strong"/>
    <x v="0"/>
    <n v="64"/>
    <x v="0"/>
    <x v="0"/>
    <x v="2"/>
    <s v="Strengthen technical skills and practical knowledge"/>
  </r>
  <r>
    <n v="28"/>
    <x v="0"/>
    <n v="3"/>
    <n v="15"/>
    <n v="5"/>
    <n v="49.848277306331099"/>
    <x v="19"/>
    <n v="100"/>
    <n v="43"/>
    <n v="2"/>
    <n v="1"/>
    <s v="C190"/>
    <x v="0"/>
    <x v="3"/>
    <x v="1"/>
    <x v="2"/>
    <x v="0"/>
    <s v="Needs Improvement"/>
    <x v="0"/>
    <n v="87"/>
    <x v="2"/>
    <x v="1"/>
    <x v="1"/>
    <s v="Work on communication and personality development"/>
  </r>
  <r>
    <n v="34"/>
    <x v="1"/>
    <n v="2"/>
    <n v="1"/>
    <n v="1"/>
    <n v="10.3465714720723"/>
    <x v="27"/>
    <n v="8"/>
    <n v="100"/>
    <n v="1"/>
    <n v="1"/>
    <s v="C191"/>
    <x v="1"/>
    <x v="0"/>
    <x v="0"/>
    <x v="2"/>
    <x v="2"/>
    <s v="Strong"/>
    <x v="0"/>
    <n v="52"/>
    <x v="0"/>
    <x v="0"/>
    <x v="2"/>
    <s v="Strengthen technical skills and practical knowledge"/>
  </r>
  <r>
    <n v="34"/>
    <x v="0"/>
    <n v="2"/>
    <n v="7"/>
    <n v="2"/>
    <n v="23.2637012382352"/>
    <x v="83"/>
    <n v="24"/>
    <n v="70"/>
    <n v="3"/>
    <n v="0"/>
    <s v="C192"/>
    <x v="0"/>
    <x v="0"/>
    <x v="1"/>
    <x v="2"/>
    <x v="2"/>
    <s v="Good"/>
    <x v="1"/>
    <n v="53"/>
    <x v="0"/>
    <x v="2"/>
    <x v="2"/>
    <s v="Strengthen technical skills and practical knowledge"/>
  </r>
  <r>
    <n v="45"/>
    <x v="0"/>
    <n v="2"/>
    <n v="10"/>
    <n v="2"/>
    <n v="25.405877171686701"/>
    <x v="77"/>
    <n v="88"/>
    <n v="71"/>
    <n v="1"/>
    <n v="1"/>
    <s v="C193"/>
    <x v="0"/>
    <x v="0"/>
    <x v="1"/>
    <x v="0"/>
    <x v="0"/>
    <s v="Good"/>
    <x v="0"/>
    <n v="66"/>
    <x v="0"/>
    <x v="1"/>
    <x v="0"/>
    <s v="Improve interview preparation and communication"/>
  </r>
  <r>
    <n v="29"/>
    <x v="0"/>
    <n v="1"/>
    <n v="12"/>
    <n v="1"/>
    <n v="41.653139860705998"/>
    <x v="23"/>
    <n v="96"/>
    <n v="100"/>
    <n v="2"/>
    <n v="0"/>
    <s v="C194"/>
    <x v="0"/>
    <x v="2"/>
    <x v="1"/>
    <x v="0"/>
    <x v="0"/>
    <s v="Strong"/>
    <x v="1"/>
    <n v="70"/>
    <x v="0"/>
    <x v="0"/>
    <x v="0"/>
    <s v="Improve interview preparation and communication"/>
  </r>
  <r>
    <n v="47"/>
    <x v="1"/>
    <n v="1"/>
    <n v="1"/>
    <n v="2"/>
    <n v="5.9614798047323303"/>
    <x v="73"/>
    <n v="1"/>
    <n v="77"/>
    <n v="3"/>
    <n v="0"/>
    <s v="C195"/>
    <x v="1"/>
    <x v="2"/>
    <x v="0"/>
    <x v="0"/>
    <x v="2"/>
    <s v="Strong"/>
    <x v="1"/>
    <n v="27"/>
    <x v="1"/>
    <x v="0"/>
    <x v="2"/>
    <s v="Strengthen technical skills and practical knowledge"/>
  </r>
  <r>
    <n v="32"/>
    <x v="1"/>
    <n v="3"/>
    <n v="2"/>
    <n v="1"/>
    <n v="22.432213960426498"/>
    <x v="46"/>
    <n v="18"/>
    <n v="75"/>
    <n v="1"/>
    <n v="1"/>
    <s v="C196"/>
    <x v="1"/>
    <x v="3"/>
    <x v="0"/>
    <x v="1"/>
    <x v="2"/>
    <s v="Strong"/>
    <x v="0"/>
    <n v="43"/>
    <x v="1"/>
    <x v="0"/>
    <x v="2"/>
    <s v="Strengthen technical skills and practical knowledge"/>
  </r>
  <r>
    <n v="38"/>
    <x v="1"/>
    <n v="2"/>
    <n v="13"/>
    <n v="1"/>
    <n v="32.425108511810102"/>
    <x v="3"/>
    <n v="19"/>
    <n v="35"/>
    <n v="1"/>
    <n v="0"/>
    <s v="C197"/>
    <x v="1"/>
    <x v="0"/>
    <x v="1"/>
    <x v="0"/>
    <x v="2"/>
    <s v="Needs Improvement"/>
    <x v="1"/>
    <n v="39"/>
    <x v="1"/>
    <x v="2"/>
    <x v="2"/>
    <s v="Strengthen technical skills and practical knowledge"/>
  </r>
  <r>
    <n v="50"/>
    <x v="0"/>
    <n v="1"/>
    <n v="9"/>
    <n v="3"/>
    <n v="11.757781081202699"/>
    <x v="49"/>
    <n v="92"/>
    <n v="60"/>
    <n v="2"/>
    <n v="0"/>
    <s v="C198"/>
    <x v="0"/>
    <x v="2"/>
    <x v="1"/>
    <x v="0"/>
    <x v="0"/>
    <s v="Good"/>
    <x v="1"/>
    <n v="53"/>
    <x v="0"/>
    <x v="1"/>
    <x v="0"/>
    <s v="Improve interview preparation and communication"/>
  </r>
  <r>
    <n v="26"/>
    <x v="0"/>
    <n v="2"/>
    <n v="0"/>
    <n v="4"/>
    <n v="32.373394938303598"/>
    <x v="48"/>
    <n v="69"/>
    <n v="80"/>
    <n v="1"/>
    <n v="1"/>
    <s v="C199"/>
    <x v="0"/>
    <x v="0"/>
    <x v="0"/>
    <x v="1"/>
    <x v="1"/>
    <s v="Strong"/>
    <x v="0"/>
    <n v="58"/>
    <x v="0"/>
    <x v="0"/>
    <x v="0"/>
    <s v="Improve interview preparation and communication"/>
  </r>
  <r>
    <n v="36"/>
    <x v="0"/>
    <n v="2"/>
    <n v="10"/>
    <n v="2"/>
    <n v="47.183241877482601"/>
    <x v="49"/>
    <n v="16"/>
    <n v="39"/>
    <n v="1"/>
    <n v="0"/>
    <s v="C200"/>
    <x v="0"/>
    <x v="0"/>
    <x v="1"/>
    <x v="0"/>
    <x v="2"/>
    <s v="Needs Improvement"/>
    <x v="1"/>
    <n v="27"/>
    <x v="1"/>
    <x v="0"/>
    <x v="0"/>
    <s v="Improve interview preparation and communication"/>
  </r>
  <r>
    <n v="39"/>
    <x v="1"/>
    <n v="2"/>
    <n v="15"/>
    <n v="2"/>
    <n v="50.875906558633702"/>
    <x v="84"/>
    <n v="88"/>
    <n v="92"/>
    <n v="1"/>
    <n v="1"/>
    <s v="C201"/>
    <x v="1"/>
    <x v="0"/>
    <x v="1"/>
    <x v="0"/>
    <x v="0"/>
    <s v="Strong"/>
    <x v="0"/>
    <n v="77"/>
    <x v="2"/>
    <x v="0"/>
    <x v="0"/>
    <s v="Improve interview preparation and communication"/>
  </r>
  <r>
    <n v="48"/>
    <x v="1"/>
    <n v="2"/>
    <n v="1"/>
    <n v="3"/>
    <n v="2.6225538395337802"/>
    <x v="71"/>
    <n v="67"/>
    <n v="26"/>
    <n v="2"/>
    <n v="0"/>
    <s v="C202"/>
    <x v="1"/>
    <x v="0"/>
    <x v="0"/>
    <x v="0"/>
    <x v="1"/>
    <s v="Needs Improvement"/>
    <x v="1"/>
    <n v="35"/>
    <x v="1"/>
    <x v="1"/>
    <x v="0"/>
    <s v="Improve interview preparation and communication"/>
  </r>
  <r>
    <n v="23"/>
    <x v="0"/>
    <n v="2"/>
    <n v="13"/>
    <n v="3"/>
    <n v="12.779411412233801"/>
    <x v="27"/>
    <n v="93"/>
    <n v="0"/>
    <n v="3"/>
    <n v="0"/>
    <s v="C203"/>
    <x v="0"/>
    <x v="0"/>
    <x v="1"/>
    <x v="2"/>
    <x v="0"/>
    <s v="Needs Improvement"/>
    <x v="1"/>
    <n v="70"/>
    <x v="0"/>
    <x v="1"/>
    <x v="1"/>
    <s v="Work on communication and personality development"/>
  </r>
  <r>
    <n v="49"/>
    <x v="1"/>
    <n v="2"/>
    <n v="15"/>
    <n v="3"/>
    <n v="16.515355789584799"/>
    <x v="6"/>
    <n v="83"/>
    <n v="33"/>
    <n v="3"/>
    <n v="0"/>
    <s v="C204"/>
    <x v="1"/>
    <x v="0"/>
    <x v="1"/>
    <x v="0"/>
    <x v="0"/>
    <s v="Needs Improvement"/>
    <x v="1"/>
    <n v="56"/>
    <x v="0"/>
    <x v="1"/>
    <x v="0"/>
    <s v="Improve interview preparation and communication"/>
  </r>
  <r>
    <n v="24"/>
    <x v="1"/>
    <n v="1"/>
    <n v="6"/>
    <n v="5"/>
    <n v="20.956305022248301"/>
    <x v="69"/>
    <n v="2"/>
    <n v="67"/>
    <n v="1"/>
    <n v="1"/>
    <s v="C205"/>
    <x v="1"/>
    <x v="2"/>
    <x v="2"/>
    <x v="2"/>
    <x v="2"/>
    <s v="Good"/>
    <x v="0"/>
    <n v="46"/>
    <x v="1"/>
    <x v="2"/>
    <x v="2"/>
    <s v="Strengthen technical skills and practical knowledge"/>
  </r>
  <r>
    <n v="42"/>
    <x v="1"/>
    <n v="2"/>
    <n v="9"/>
    <n v="5"/>
    <n v="13.1128578792383"/>
    <x v="72"/>
    <n v="86"/>
    <n v="87"/>
    <n v="2"/>
    <n v="1"/>
    <s v="C206"/>
    <x v="1"/>
    <x v="0"/>
    <x v="1"/>
    <x v="2"/>
    <x v="0"/>
    <s v="Strong"/>
    <x v="0"/>
    <n v="81"/>
    <x v="2"/>
    <x v="2"/>
    <x v="2"/>
    <s v="Strengthen technical skills and practical knowledge"/>
  </r>
  <r>
    <n v="26"/>
    <x v="1"/>
    <n v="3"/>
    <n v="1"/>
    <n v="5"/>
    <n v="11.1743997277656"/>
    <x v="85"/>
    <n v="50"/>
    <n v="20"/>
    <n v="2"/>
    <n v="0"/>
    <s v="C207"/>
    <x v="1"/>
    <x v="3"/>
    <x v="0"/>
    <x v="1"/>
    <x v="1"/>
    <s v="Needs Improvement"/>
    <x v="1"/>
    <n v="45"/>
    <x v="1"/>
    <x v="2"/>
    <x v="1"/>
    <s v="Work on communication and personality development"/>
  </r>
  <r>
    <n v="32"/>
    <x v="0"/>
    <n v="3"/>
    <n v="5"/>
    <n v="1"/>
    <n v="48.727692120874998"/>
    <x v="86"/>
    <n v="81"/>
    <n v="32"/>
    <n v="3"/>
    <n v="0"/>
    <s v="C208"/>
    <x v="0"/>
    <x v="3"/>
    <x v="2"/>
    <x v="1"/>
    <x v="0"/>
    <s v="Needs Improvement"/>
    <x v="1"/>
    <n v="54"/>
    <x v="0"/>
    <x v="1"/>
    <x v="1"/>
    <s v="Work on communication and personality development"/>
  </r>
  <r>
    <n v="34"/>
    <x v="1"/>
    <n v="3"/>
    <n v="14"/>
    <n v="2"/>
    <n v="46.926080138525798"/>
    <x v="27"/>
    <n v="25"/>
    <n v="6"/>
    <n v="1"/>
    <n v="1"/>
    <s v="C209"/>
    <x v="1"/>
    <x v="3"/>
    <x v="1"/>
    <x v="2"/>
    <x v="2"/>
    <s v="Needs Improvement"/>
    <x v="0"/>
    <n v="53"/>
    <x v="0"/>
    <x v="2"/>
    <x v="1"/>
    <s v="Work on communication and personality development"/>
  </r>
  <r>
    <n v="30"/>
    <x v="1"/>
    <n v="2"/>
    <n v="2"/>
    <n v="4"/>
    <n v="3.3496250501558702"/>
    <x v="75"/>
    <n v="55"/>
    <n v="64"/>
    <n v="2"/>
    <n v="0"/>
    <s v="C210"/>
    <x v="1"/>
    <x v="0"/>
    <x v="0"/>
    <x v="0"/>
    <x v="1"/>
    <s v="Good"/>
    <x v="1"/>
    <n v="48"/>
    <x v="1"/>
    <x v="0"/>
    <x v="0"/>
    <s v="Improve interview preparation and communication"/>
  </r>
  <r>
    <n v="48"/>
    <x v="1"/>
    <n v="2"/>
    <n v="3"/>
    <n v="1"/>
    <n v="17.9406510802424"/>
    <x v="43"/>
    <n v="99"/>
    <n v="2"/>
    <n v="2"/>
    <n v="0"/>
    <s v="C211"/>
    <x v="1"/>
    <x v="0"/>
    <x v="2"/>
    <x v="1"/>
    <x v="0"/>
    <s v="Needs Improvement"/>
    <x v="1"/>
    <n v="56"/>
    <x v="0"/>
    <x v="1"/>
    <x v="1"/>
    <s v="Work on communication and personality development"/>
  </r>
  <r>
    <n v="23"/>
    <x v="1"/>
    <n v="2"/>
    <n v="10"/>
    <n v="2"/>
    <n v="21.257427683920302"/>
    <x v="74"/>
    <n v="63"/>
    <n v="50"/>
    <n v="3"/>
    <n v="0"/>
    <s v="C212"/>
    <x v="1"/>
    <x v="0"/>
    <x v="1"/>
    <x v="2"/>
    <x v="1"/>
    <s v="Good"/>
    <x v="1"/>
    <n v="71"/>
    <x v="0"/>
    <x v="2"/>
    <x v="1"/>
    <s v="Work on communication and personality development"/>
  </r>
  <r>
    <n v="32"/>
    <x v="0"/>
    <n v="2"/>
    <n v="14"/>
    <n v="2"/>
    <n v="12.950726733297101"/>
    <x v="48"/>
    <n v="7"/>
    <n v="78"/>
    <n v="1"/>
    <n v="1"/>
    <s v="C213"/>
    <x v="0"/>
    <x v="0"/>
    <x v="1"/>
    <x v="1"/>
    <x v="2"/>
    <s v="Strong"/>
    <x v="0"/>
    <n v="53"/>
    <x v="0"/>
    <x v="0"/>
    <x v="2"/>
    <s v="Strengthen technical skills and practical knowledge"/>
  </r>
  <r>
    <n v="26"/>
    <x v="0"/>
    <n v="2"/>
    <n v="12"/>
    <n v="3"/>
    <n v="32.443644849408699"/>
    <x v="87"/>
    <n v="80"/>
    <n v="94"/>
    <n v="1"/>
    <n v="1"/>
    <s v="C214"/>
    <x v="0"/>
    <x v="0"/>
    <x v="1"/>
    <x v="1"/>
    <x v="0"/>
    <s v="Strong"/>
    <x v="0"/>
    <n v="75"/>
    <x v="2"/>
    <x v="0"/>
    <x v="0"/>
    <s v="Improve interview preparation and communication"/>
  </r>
  <r>
    <n v="46"/>
    <x v="1"/>
    <n v="1"/>
    <n v="7"/>
    <n v="3"/>
    <n v="33.019037332212001"/>
    <x v="67"/>
    <n v="94"/>
    <n v="53"/>
    <n v="1"/>
    <n v="1"/>
    <s v="C215"/>
    <x v="1"/>
    <x v="2"/>
    <x v="1"/>
    <x v="0"/>
    <x v="0"/>
    <s v="Good"/>
    <x v="0"/>
    <n v="62"/>
    <x v="0"/>
    <x v="1"/>
    <x v="0"/>
    <s v="Improve interview preparation and communication"/>
  </r>
  <r>
    <n v="38"/>
    <x v="1"/>
    <n v="2"/>
    <n v="13"/>
    <n v="1"/>
    <n v="43.525211416429798"/>
    <x v="1"/>
    <n v="36"/>
    <n v="79"/>
    <n v="1"/>
    <n v="1"/>
    <s v="C216"/>
    <x v="1"/>
    <x v="0"/>
    <x v="1"/>
    <x v="0"/>
    <x v="2"/>
    <s v="Strong"/>
    <x v="0"/>
    <n v="53"/>
    <x v="0"/>
    <x v="0"/>
    <x v="0"/>
    <s v="Improve interview preparation and communication"/>
  </r>
  <r>
    <n v="41"/>
    <x v="1"/>
    <n v="4"/>
    <n v="2"/>
    <n v="3"/>
    <n v="38.043463419260803"/>
    <x v="46"/>
    <n v="96"/>
    <n v="73"/>
    <n v="2"/>
    <n v="0"/>
    <s v="C217"/>
    <x v="1"/>
    <x v="1"/>
    <x v="0"/>
    <x v="1"/>
    <x v="0"/>
    <s v="Good"/>
    <x v="1"/>
    <n v="68"/>
    <x v="0"/>
    <x v="1"/>
    <x v="0"/>
    <s v="Improve interview preparation and communication"/>
  </r>
  <r>
    <n v="47"/>
    <x v="1"/>
    <n v="2"/>
    <n v="9"/>
    <n v="2"/>
    <n v="28.128666348297699"/>
    <x v="83"/>
    <n v="26"/>
    <n v="92"/>
    <n v="2"/>
    <n v="0"/>
    <s v="C218"/>
    <x v="1"/>
    <x v="0"/>
    <x v="1"/>
    <x v="2"/>
    <x v="2"/>
    <s v="Strong"/>
    <x v="1"/>
    <n v="60"/>
    <x v="0"/>
    <x v="0"/>
    <x v="2"/>
    <s v="Strengthen technical skills and practical knowledge"/>
  </r>
  <r>
    <n v="21"/>
    <x v="1"/>
    <n v="1"/>
    <n v="5"/>
    <n v="3"/>
    <n v="33.679338502220901"/>
    <x v="88"/>
    <n v="44"/>
    <n v="58"/>
    <n v="2"/>
    <n v="0"/>
    <s v="C219"/>
    <x v="1"/>
    <x v="2"/>
    <x v="2"/>
    <x v="0"/>
    <x v="2"/>
    <s v="Good"/>
    <x v="1"/>
    <n v="43"/>
    <x v="1"/>
    <x v="0"/>
    <x v="0"/>
    <s v="Improve interview preparation and communication"/>
  </r>
  <r>
    <n v="29"/>
    <x v="1"/>
    <n v="2"/>
    <n v="0"/>
    <n v="5"/>
    <n v="14.699439077150901"/>
    <x v="13"/>
    <n v="3"/>
    <n v="5"/>
    <n v="1"/>
    <n v="0"/>
    <s v="C220"/>
    <x v="1"/>
    <x v="0"/>
    <x v="0"/>
    <x v="0"/>
    <x v="2"/>
    <s v="Needs Improvement"/>
    <x v="1"/>
    <n v="7"/>
    <x v="1"/>
    <x v="2"/>
    <x v="2"/>
    <s v="Strengthen technical skills and practical knowledge"/>
  </r>
  <r>
    <n v="32"/>
    <x v="0"/>
    <n v="3"/>
    <n v="6"/>
    <n v="3"/>
    <n v="30.652809498367802"/>
    <x v="15"/>
    <n v="85"/>
    <n v="28"/>
    <n v="1"/>
    <n v="1"/>
    <s v="C221"/>
    <x v="0"/>
    <x v="3"/>
    <x v="2"/>
    <x v="0"/>
    <x v="0"/>
    <s v="Needs Improvement"/>
    <x v="0"/>
    <n v="44"/>
    <x v="1"/>
    <x v="1"/>
    <x v="0"/>
    <s v="Improve interview preparation and communication"/>
  </r>
  <r>
    <n v="49"/>
    <x v="1"/>
    <n v="2"/>
    <n v="7"/>
    <n v="2"/>
    <n v="25.4613627374959"/>
    <x v="89"/>
    <n v="89"/>
    <n v="16"/>
    <n v="1"/>
    <n v="1"/>
    <s v="C222"/>
    <x v="1"/>
    <x v="0"/>
    <x v="1"/>
    <x v="0"/>
    <x v="0"/>
    <s v="Needs Improvement"/>
    <x v="0"/>
    <n v="52"/>
    <x v="0"/>
    <x v="1"/>
    <x v="1"/>
    <s v="Work on communication and personality development"/>
  </r>
  <r>
    <n v="44"/>
    <x v="0"/>
    <n v="2"/>
    <n v="10"/>
    <n v="1"/>
    <n v="7.6672233658185203"/>
    <x v="26"/>
    <n v="95"/>
    <n v="59"/>
    <n v="1"/>
    <n v="1"/>
    <s v="C223"/>
    <x v="0"/>
    <x v="0"/>
    <x v="1"/>
    <x v="0"/>
    <x v="0"/>
    <s v="Good"/>
    <x v="0"/>
    <n v="64"/>
    <x v="0"/>
    <x v="1"/>
    <x v="0"/>
    <s v="Improve interview preparation and communication"/>
  </r>
  <r>
    <n v="40"/>
    <x v="0"/>
    <n v="1"/>
    <n v="13"/>
    <n v="4"/>
    <n v="13.1272138291485"/>
    <x v="11"/>
    <n v="87"/>
    <n v="21"/>
    <n v="2"/>
    <n v="0"/>
    <s v="C224"/>
    <x v="0"/>
    <x v="2"/>
    <x v="1"/>
    <x v="1"/>
    <x v="0"/>
    <s v="Needs Improvement"/>
    <x v="1"/>
    <n v="67"/>
    <x v="0"/>
    <x v="1"/>
    <x v="1"/>
    <s v="Work on communication and personality development"/>
  </r>
  <r>
    <n v="25"/>
    <x v="1"/>
    <n v="2"/>
    <n v="7"/>
    <n v="3"/>
    <n v="15.584672536079299"/>
    <x v="13"/>
    <n v="98"/>
    <n v="23"/>
    <n v="1"/>
    <n v="1"/>
    <s v="C225"/>
    <x v="1"/>
    <x v="0"/>
    <x v="1"/>
    <x v="0"/>
    <x v="0"/>
    <s v="Needs Improvement"/>
    <x v="0"/>
    <n v="47"/>
    <x v="1"/>
    <x v="1"/>
    <x v="0"/>
    <s v="Improve interview preparation and communication"/>
  </r>
  <r>
    <n v="47"/>
    <x v="0"/>
    <n v="2"/>
    <n v="2"/>
    <n v="2"/>
    <n v="47.215478352627898"/>
    <x v="1"/>
    <n v="36"/>
    <n v="80"/>
    <n v="1"/>
    <n v="0"/>
    <s v="C226"/>
    <x v="0"/>
    <x v="0"/>
    <x v="0"/>
    <x v="0"/>
    <x v="2"/>
    <s v="Strong"/>
    <x v="1"/>
    <n v="42"/>
    <x v="1"/>
    <x v="0"/>
    <x v="0"/>
    <s v="Improve interview preparation and communication"/>
  </r>
  <r>
    <n v="47"/>
    <x v="0"/>
    <n v="3"/>
    <n v="13"/>
    <n v="4"/>
    <n v="12.519331969294401"/>
    <x v="53"/>
    <n v="95"/>
    <n v="84"/>
    <n v="2"/>
    <n v="1"/>
    <s v="C227"/>
    <x v="0"/>
    <x v="3"/>
    <x v="1"/>
    <x v="1"/>
    <x v="0"/>
    <s v="Strong"/>
    <x v="0"/>
    <n v="77"/>
    <x v="2"/>
    <x v="1"/>
    <x v="0"/>
    <s v="Improve interview preparation and communication"/>
  </r>
  <r>
    <n v="31"/>
    <x v="0"/>
    <n v="2"/>
    <n v="9"/>
    <n v="4"/>
    <n v="15.4621951409834"/>
    <x v="31"/>
    <n v="70"/>
    <n v="50"/>
    <n v="2"/>
    <n v="0"/>
    <s v="C228"/>
    <x v="0"/>
    <x v="0"/>
    <x v="1"/>
    <x v="0"/>
    <x v="1"/>
    <s v="Good"/>
    <x v="1"/>
    <n v="52"/>
    <x v="0"/>
    <x v="1"/>
    <x v="0"/>
    <s v="Improve interview preparation and communication"/>
  </r>
  <r>
    <n v="31"/>
    <x v="0"/>
    <n v="1"/>
    <n v="0"/>
    <n v="5"/>
    <n v="19.4677065044716"/>
    <x v="64"/>
    <n v="32"/>
    <n v="49"/>
    <n v="2"/>
    <n v="0"/>
    <s v="C229"/>
    <x v="0"/>
    <x v="2"/>
    <x v="0"/>
    <x v="0"/>
    <x v="2"/>
    <s v="Needs Improvement"/>
    <x v="1"/>
    <n v="32"/>
    <x v="1"/>
    <x v="0"/>
    <x v="0"/>
    <s v="Improve interview preparation and communication"/>
  </r>
  <r>
    <n v="39"/>
    <x v="0"/>
    <n v="1"/>
    <n v="8"/>
    <n v="4"/>
    <n v="34.187136931269301"/>
    <x v="22"/>
    <n v="30"/>
    <n v="10"/>
    <n v="3"/>
    <n v="0"/>
    <s v="C230"/>
    <x v="0"/>
    <x v="2"/>
    <x v="1"/>
    <x v="0"/>
    <x v="2"/>
    <s v="Needs Improvement"/>
    <x v="1"/>
    <n v="25"/>
    <x v="1"/>
    <x v="1"/>
    <x v="1"/>
    <s v="Work on communication and personality development"/>
  </r>
  <r>
    <n v="49"/>
    <x v="0"/>
    <n v="1"/>
    <n v="12"/>
    <n v="2"/>
    <n v="6.9119196236070204"/>
    <x v="50"/>
    <n v="54"/>
    <n v="55"/>
    <n v="1"/>
    <n v="1"/>
    <s v="C231"/>
    <x v="0"/>
    <x v="2"/>
    <x v="1"/>
    <x v="0"/>
    <x v="1"/>
    <s v="Good"/>
    <x v="0"/>
    <n v="47"/>
    <x v="1"/>
    <x v="0"/>
    <x v="0"/>
    <s v="Improve interview preparation and communication"/>
  </r>
  <r>
    <n v="49"/>
    <x v="1"/>
    <n v="2"/>
    <n v="5"/>
    <n v="2"/>
    <n v="48.697260624688802"/>
    <x v="42"/>
    <n v="11"/>
    <n v="70"/>
    <n v="2"/>
    <n v="0"/>
    <s v="C232"/>
    <x v="1"/>
    <x v="0"/>
    <x v="2"/>
    <x v="0"/>
    <x v="2"/>
    <s v="Good"/>
    <x v="1"/>
    <n v="37"/>
    <x v="1"/>
    <x v="0"/>
    <x v="2"/>
    <s v="Strengthen technical skills and practical knowledge"/>
  </r>
  <r>
    <n v="30"/>
    <x v="0"/>
    <n v="2"/>
    <n v="10"/>
    <n v="3"/>
    <n v="44.278561004738201"/>
    <x v="46"/>
    <n v="10"/>
    <n v="41"/>
    <n v="2"/>
    <n v="0"/>
    <s v="C233"/>
    <x v="0"/>
    <x v="0"/>
    <x v="1"/>
    <x v="1"/>
    <x v="2"/>
    <s v="Needs Improvement"/>
    <x v="1"/>
    <n v="41"/>
    <x v="1"/>
    <x v="2"/>
    <x v="2"/>
    <s v="Strengthen technical skills and practical knowledge"/>
  </r>
  <r>
    <n v="45"/>
    <x v="0"/>
    <n v="2"/>
    <n v="8"/>
    <n v="3"/>
    <n v="29.860803650447501"/>
    <x v="66"/>
    <n v="87"/>
    <n v="38"/>
    <n v="2"/>
    <n v="0"/>
    <s v="C234"/>
    <x v="0"/>
    <x v="0"/>
    <x v="1"/>
    <x v="1"/>
    <x v="0"/>
    <s v="Needs Improvement"/>
    <x v="1"/>
    <n v="61"/>
    <x v="0"/>
    <x v="1"/>
    <x v="1"/>
    <s v="Work on communication and personality development"/>
  </r>
  <r>
    <n v="42"/>
    <x v="0"/>
    <n v="2"/>
    <n v="6"/>
    <n v="3"/>
    <n v="34.701893371247799"/>
    <x v="4"/>
    <n v="71"/>
    <n v="68"/>
    <n v="3"/>
    <n v="0"/>
    <s v="C235"/>
    <x v="0"/>
    <x v="0"/>
    <x v="2"/>
    <x v="0"/>
    <x v="1"/>
    <s v="Good"/>
    <x v="1"/>
    <n v="50"/>
    <x v="0"/>
    <x v="1"/>
    <x v="0"/>
    <s v="Improve interview preparation and communication"/>
  </r>
  <r>
    <n v="47"/>
    <x v="1"/>
    <n v="2"/>
    <n v="0"/>
    <n v="4"/>
    <n v="1.83302356221079"/>
    <x v="14"/>
    <n v="31"/>
    <n v="47"/>
    <n v="1"/>
    <n v="0"/>
    <s v="C236"/>
    <x v="1"/>
    <x v="0"/>
    <x v="0"/>
    <x v="1"/>
    <x v="2"/>
    <s v="Needs Improvement"/>
    <x v="1"/>
    <n v="43"/>
    <x v="1"/>
    <x v="2"/>
    <x v="2"/>
    <s v="Strengthen technical skills and practical knowledge"/>
  </r>
  <r>
    <n v="44"/>
    <x v="0"/>
    <n v="1"/>
    <n v="11"/>
    <n v="4"/>
    <n v="17.947238767422402"/>
    <x v="31"/>
    <n v="56"/>
    <n v="56"/>
    <n v="2"/>
    <n v="0"/>
    <s v="C237"/>
    <x v="0"/>
    <x v="2"/>
    <x v="1"/>
    <x v="0"/>
    <x v="1"/>
    <s v="Good"/>
    <x v="1"/>
    <n v="51"/>
    <x v="0"/>
    <x v="1"/>
    <x v="0"/>
    <s v="Improve interview preparation and communication"/>
  </r>
  <r>
    <n v="26"/>
    <x v="1"/>
    <n v="1"/>
    <n v="11"/>
    <n v="5"/>
    <n v="40.783011533072099"/>
    <x v="5"/>
    <n v="37"/>
    <n v="20"/>
    <n v="1"/>
    <n v="0"/>
    <s v="C238"/>
    <x v="1"/>
    <x v="2"/>
    <x v="1"/>
    <x v="1"/>
    <x v="2"/>
    <s v="Needs Improvement"/>
    <x v="1"/>
    <n v="45"/>
    <x v="1"/>
    <x v="2"/>
    <x v="1"/>
    <s v="Work on communication and personality development"/>
  </r>
  <r>
    <n v="49"/>
    <x v="0"/>
    <n v="3"/>
    <n v="0"/>
    <n v="3"/>
    <n v="4.8741486896192896"/>
    <x v="51"/>
    <n v="59"/>
    <n v="81"/>
    <n v="2"/>
    <n v="0"/>
    <s v="C239"/>
    <x v="0"/>
    <x v="3"/>
    <x v="0"/>
    <x v="0"/>
    <x v="1"/>
    <s v="Strong"/>
    <x v="1"/>
    <n v="40"/>
    <x v="1"/>
    <x v="0"/>
    <x v="0"/>
    <s v="Improve interview preparation and communication"/>
  </r>
  <r>
    <n v="20"/>
    <x v="1"/>
    <n v="2"/>
    <n v="5"/>
    <n v="1"/>
    <n v="15.115691710536"/>
    <x v="87"/>
    <n v="85"/>
    <n v="98"/>
    <n v="2"/>
    <n v="0"/>
    <s v="C240"/>
    <x v="1"/>
    <x v="0"/>
    <x v="2"/>
    <x v="1"/>
    <x v="0"/>
    <s v="Strong"/>
    <x v="1"/>
    <n v="70"/>
    <x v="0"/>
    <x v="0"/>
    <x v="0"/>
    <s v="Improve interview preparation and communication"/>
  </r>
  <r>
    <n v="20"/>
    <x v="1"/>
    <n v="2"/>
    <n v="4"/>
    <n v="5"/>
    <n v="30.264841416715502"/>
    <x v="33"/>
    <n v="97"/>
    <n v="19"/>
    <n v="3"/>
    <n v="0"/>
    <s v="C241"/>
    <x v="1"/>
    <x v="0"/>
    <x v="2"/>
    <x v="0"/>
    <x v="0"/>
    <s v="Needs Improvement"/>
    <x v="1"/>
    <n v="40"/>
    <x v="1"/>
    <x v="1"/>
    <x v="0"/>
    <s v="Improve interview preparation and communication"/>
  </r>
  <r>
    <n v="44"/>
    <x v="0"/>
    <n v="3"/>
    <n v="8"/>
    <n v="1"/>
    <n v="13.820651384947"/>
    <x v="34"/>
    <n v="18"/>
    <n v="14"/>
    <n v="3"/>
    <n v="0"/>
    <s v="C242"/>
    <x v="0"/>
    <x v="3"/>
    <x v="1"/>
    <x v="0"/>
    <x v="2"/>
    <s v="Needs Improvement"/>
    <x v="1"/>
    <n v="24"/>
    <x v="1"/>
    <x v="1"/>
    <x v="0"/>
    <s v="Improve interview preparation and communication"/>
  </r>
  <r>
    <n v="46"/>
    <x v="0"/>
    <n v="2"/>
    <n v="1"/>
    <n v="4"/>
    <n v="47.698898707225901"/>
    <x v="68"/>
    <n v="83"/>
    <n v="68"/>
    <n v="2"/>
    <n v="0"/>
    <s v="C243"/>
    <x v="0"/>
    <x v="0"/>
    <x v="0"/>
    <x v="0"/>
    <x v="0"/>
    <s v="Good"/>
    <x v="1"/>
    <n v="43"/>
    <x v="1"/>
    <x v="1"/>
    <x v="0"/>
    <s v="Improve interview preparation and communication"/>
  </r>
  <r>
    <n v="49"/>
    <x v="1"/>
    <n v="3"/>
    <n v="7"/>
    <n v="5"/>
    <n v="7.5529315402145096"/>
    <x v="77"/>
    <n v="55"/>
    <n v="76"/>
    <n v="1"/>
    <n v="1"/>
    <s v="C244"/>
    <x v="1"/>
    <x v="3"/>
    <x v="1"/>
    <x v="0"/>
    <x v="1"/>
    <s v="Strong"/>
    <x v="0"/>
    <n v="55"/>
    <x v="0"/>
    <x v="0"/>
    <x v="0"/>
    <s v="Improve interview preparation and communication"/>
  </r>
  <r>
    <n v="44"/>
    <x v="0"/>
    <n v="2"/>
    <n v="10"/>
    <n v="5"/>
    <n v="40.869717895388902"/>
    <x v="31"/>
    <n v="13"/>
    <n v="50"/>
    <n v="2"/>
    <n v="0"/>
    <s v="C245"/>
    <x v="0"/>
    <x v="0"/>
    <x v="1"/>
    <x v="0"/>
    <x v="2"/>
    <s v="Good"/>
    <x v="1"/>
    <n v="35"/>
    <x v="1"/>
    <x v="0"/>
    <x v="2"/>
    <s v="Strengthen technical skills and practical knowledge"/>
  </r>
  <r>
    <n v="39"/>
    <x v="1"/>
    <n v="4"/>
    <n v="4"/>
    <n v="2"/>
    <n v="26.397434595320401"/>
    <x v="43"/>
    <n v="32"/>
    <n v="75"/>
    <n v="2"/>
    <n v="0"/>
    <s v="C246"/>
    <x v="1"/>
    <x v="1"/>
    <x v="2"/>
    <x v="1"/>
    <x v="2"/>
    <s v="Strong"/>
    <x v="1"/>
    <n v="54"/>
    <x v="0"/>
    <x v="0"/>
    <x v="2"/>
    <s v="Strengthen technical skills and practical knowledge"/>
  </r>
  <r>
    <n v="32"/>
    <x v="1"/>
    <n v="1"/>
    <n v="1"/>
    <n v="4"/>
    <n v="38.516538790997799"/>
    <x v="54"/>
    <n v="9"/>
    <n v="61"/>
    <n v="1"/>
    <n v="0"/>
    <s v="C247"/>
    <x v="1"/>
    <x v="2"/>
    <x v="0"/>
    <x v="1"/>
    <x v="2"/>
    <s v="Good"/>
    <x v="1"/>
    <n v="38"/>
    <x v="1"/>
    <x v="2"/>
    <x v="2"/>
    <s v="Strengthen technical skills and practical knowledge"/>
  </r>
  <r>
    <n v="28"/>
    <x v="1"/>
    <n v="1"/>
    <n v="12"/>
    <n v="4"/>
    <n v="16.535766415572301"/>
    <x v="66"/>
    <n v="79"/>
    <n v="84"/>
    <n v="2"/>
    <n v="0"/>
    <s v="C248"/>
    <x v="1"/>
    <x v="2"/>
    <x v="1"/>
    <x v="1"/>
    <x v="0"/>
    <s v="Strong"/>
    <x v="1"/>
    <n v="72"/>
    <x v="0"/>
    <x v="0"/>
    <x v="0"/>
    <s v="Improve interview preparation and communication"/>
  </r>
  <r>
    <n v="22"/>
    <x v="1"/>
    <n v="2"/>
    <n v="9"/>
    <n v="5"/>
    <n v="26.724480115601899"/>
    <x v="17"/>
    <n v="63"/>
    <n v="36"/>
    <n v="3"/>
    <n v="0"/>
    <s v="C249"/>
    <x v="1"/>
    <x v="0"/>
    <x v="1"/>
    <x v="1"/>
    <x v="1"/>
    <s v="Needs Improvement"/>
    <x v="1"/>
    <n v="56"/>
    <x v="0"/>
    <x v="1"/>
    <x v="1"/>
    <s v="Work on communication and personality development"/>
  </r>
  <r>
    <n v="26"/>
    <x v="1"/>
    <n v="4"/>
    <n v="10"/>
    <n v="4"/>
    <n v="43.841767486158801"/>
    <x v="30"/>
    <n v="63"/>
    <n v="5"/>
    <n v="2"/>
    <n v="1"/>
    <s v="C250"/>
    <x v="1"/>
    <x v="1"/>
    <x v="1"/>
    <x v="1"/>
    <x v="1"/>
    <s v="Needs Improvement"/>
    <x v="0"/>
    <n v="57"/>
    <x v="0"/>
    <x v="2"/>
    <x v="1"/>
    <s v="Work on communication and personality development"/>
  </r>
  <r>
    <n v="25"/>
    <x v="0"/>
    <n v="3"/>
    <n v="10"/>
    <n v="5"/>
    <n v="24.3439049561552"/>
    <x v="34"/>
    <n v="61"/>
    <n v="70"/>
    <n v="2"/>
    <n v="1"/>
    <s v="C251"/>
    <x v="0"/>
    <x v="3"/>
    <x v="1"/>
    <x v="0"/>
    <x v="1"/>
    <s v="Good"/>
    <x v="0"/>
    <n v="50"/>
    <x v="0"/>
    <x v="0"/>
    <x v="0"/>
    <s v="Improve interview preparation and communication"/>
  </r>
  <r>
    <n v="27"/>
    <x v="1"/>
    <n v="1"/>
    <n v="11"/>
    <n v="2"/>
    <n v="18.9859930955134"/>
    <x v="20"/>
    <n v="67"/>
    <n v="25"/>
    <n v="3"/>
    <n v="0"/>
    <s v="C252"/>
    <x v="1"/>
    <x v="2"/>
    <x v="1"/>
    <x v="2"/>
    <x v="1"/>
    <s v="Needs Improvement"/>
    <x v="1"/>
    <n v="66"/>
    <x v="0"/>
    <x v="2"/>
    <x v="1"/>
    <s v="Work on communication and personality development"/>
  </r>
  <r>
    <n v="46"/>
    <x v="1"/>
    <n v="2"/>
    <n v="5"/>
    <n v="5"/>
    <n v="27.8077693126368"/>
    <x v="51"/>
    <n v="90"/>
    <n v="7"/>
    <n v="1"/>
    <n v="0"/>
    <s v="C253"/>
    <x v="1"/>
    <x v="0"/>
    <x v="2"/>
    <x v="0"/>
    <x v="0"/>
    <s v="Needs Improvement"/>
    <x v="1"/>
    <n v="39"/>
    <x v="1"/>
    <x v="1"/>
    <x v="1"/>
    <s v="Work on communication and personality development"/>
  </r>
  <r>
    <n v="28"/>
    <x v="0"/>
    <n v="4"/>
    <n v="9"/>
    <n v="4"/>
    <n v="36.868137651818301"/>
    <x v="88"/>
    <n v="91"/>
    <n v="72"/>
    <n v="1"/>
    <n v="1"/>
    <s v="C254"/>
    <x v="0"/>
    <x v="1"/>
    <x v="1"/>
    <x v="0"/>
    <x v="0"/>
    <s v="Good"/>
    <x v="0"/>
    <n v="67"/>
    <x v="0"/>
    <x v="1"/>
    <x v="0"/>
    <s v="Improve interview preparation and communication"/>
  </r>
  <r>
    <n v="49"/>
    <x v="1"/>
    <n v="2"/>
    <n v="7"/>
    <n v="4"/>
    <n v="23.178167274925102"/>
    <x v="90"/>
    <n v="42"/>
    <n v="90"/>
    <n v="2"/>
    <n v="0"/>
    <s v="C255"/>
    <x v="1"/>
    <x v="0"/>
    <x v="1"/>
    <x v="0"/>
    <x v="2"/>
    <s v="Strong"/>
    <x v="1"/>
    <n v="54"/>
    <x v="0"/>
    <x v="0"/>
    <x v="2"/>
    <s v="Strengthen technical skills and practical knowledge"/>
  </r>
  <r>
    <n v="24"/>
    <x v="0"/>
    <n v="3"/>
    <n v="3"/>
    <n v="5"/>
    <n v="47.943848757113599"/>
    <x v="21"/>
    <n v="79"/>
    <n v="3"/>
    <n v="2"/>
    <n v="0"/>
    <s v="C256"/>
    <x v="0"/>
    <x v="3"/>
    <x v="2"/>
    <x v="1"/>
    <x v="0"/>
    <s v="Needs Improvement"/>
    <x v="1"/>
    <n v="48"/>
    <x v="1"/>
    <x v="1"/>
    <x v="1"/>
    <s v="Work on communication and personality development"/>
  </r>
  <r>
    <n v="20"/>
    <x v="0"/>
    <n v="3"/>
    <n v="1"/>
    <n v="5"/>
    <n v="15.747291202117101"/>
    <x v="84"/>
    <n v="58"/>
    <n v="20"/>
    <n v="2"/>
    <n v="0"/>
    <s v="C257"/>
    <x v="0"/>
    <x v="3"/>
    <x v="0"/>
    <x v="0"/>
    <x v="1"/>
    <s v="Needs Improvement"/>
    <x v="1"/>
    <n v="41"/>
    <x v="1"/>
    <x v="1"/>
    <x v="1"/>
    <s v="Work on communication and personality development"/>
  </r>
  <r>
    <n v="38"/>
    <x v="0"/>
    <n v="2"/>
    <n v="11"/>
    <n v="5"/>
    <n v="24.773180308455998"/>
    <x v="11"/>
    <n v="51"/>
    <n v="30"/>
    <n v="1"/>
    <n v="1"/>
    <s v="C258"/>
    <x v="0"/>
    <x v="0"/>
    <x v="1"/>
    <x v="1"/>
    <x v="1"/>
    <s v="Needs Improvement"/>
    <x v="0"/>
    <n v="56"/>
    <x v="0"/>
    <x v="2"/>
    <x v="1"/>
    <s v="Work on communication and personality development"/>
  </r>
  <r>
    <n v="29"/>
    <x v="1"/>
    <n v="2"/>
    <n v="10"/>
    <n v="3"/>
    <n v="38.846382967072003"/>
    <x v="34"/>
    <n v="96"/>
    <n v="20"/>
    <n v="1"/>
    <n v="1"/>
    <s v="C259"/>
    <x v="1"/>
    <x v="0"/>
    <x v="1"/>
    <x v="0"/>
    <x v="0"/>
    <s v="Needs Improvement"/>
    <x v="0"/>
    <n v="50"/>
    <x v="0"/>
    <x v="1"/>
    <x v="0"/>
    <s v="Improve interview preparation and communication"/>
  </r>
  <r>
    <n v="31"/>
    <x v="1"/>
    <n v="2"/>
    <n v="4"/>
    <n v="4"/>
    <n v="35.456054524787902"/>
    <x v="50"/>
    <n v="18"/>
    <n v="24"/>
    <n v="1"/>
    <n v="0"/>
    <s v="C260"/>
    <x v="1"/>
    <x v="0"/>
    <x v="2"/>
    <x v="0"/>
    <x v="2"/>
    <s v="Needs Improvement"/>
    <x v="1"/>
    <n v="22"/>
    <x v="1"/>
    <x v="0"/>
    <x v="0"/>
    <s v="Improve interview preparation and communication"/>
  </r>
  <r>
    <n v="43"/>
    <x v="1"/>
    <n v="2"/>
    <n v="14"/>
    <n v="4"/>
    <n v="44.182052620857803"/>
    <x v="55"/>
    <n v="20"/>
    <n v="14"/>
    <n v="3"/>
    <n v="0"/>
    <s v="C261"/>
    <x v="1"/>
    <x v="0"/>
    <x v="1"/>
    <x v="2"/>
    <x v="2"/>
    <s v="Needs Improvement"/>
    <x v="1"/>
    <n v="50"/>
    <x v="0"/>
    <x v="2"/>
    <x v="1"/>
    <s v="Work on communication and personality development"/>
  </r>
  <r>
    <n v="34"/>
    <x v="0"/>
    <n v="3"/>
    <n v="11"/>
    <n v="3"/>
    <n v="50.840459034055399"/>
    <x v="27"/>
    <n v="21"/>
    <n v="34"/>
    <n v="2"/>
    <n v="0"/>
    <s v="C262"/>
    <x v="0"/>
    <x v="3"/>
    <x v="1"/>
    <x v="2"/>
    <x v="2"/>
    <s v="Needs Improvement"/>
    <x v="1"/>
    <n v="54"/>
    <x v="0"/>
    <x v="2"/>
    <x v="2"/>
    <s v="Strengthen technical skills and practical knowledge"/>
  </r>
  <r>
    <n v="46"/>
    <x v="1"/>
    <n v="2"/>
    <n v="1"/>
    <n v="5"/>
    <n v="22.342916439754401"/>
    <x v="33"/>
    <n v="8"/>
    <n v="48"/>
    <n v="2"/>
    <n v="0"/>
    <s v="C263"/>
    <x v="1"/>
    <x v="0"/>
    <x v="0"/>
    <x v="0"/>
    <x v="2"/>
    <s v="Needs Improvement"/>
    <x v="1"/>
    <n v="16"/>
    <x v="1"/>
    <x v="0"/>
    <x v="0"/>
    <s v="Improve interview preparation and communication"/>
  </r>
  <r>
    <n v="41"/>
    <x v="0"/>
    <n v="3"/>
    <n v="1"/>
    <n v="2"/>
    <n v="6.5575439891655902"/>
    <x v="52"/>
    <n v="8"/>
    <n v="42"/>
    <n v="1"/>
    <n v="1"/>
    <s v="C264"/>
    <x v="0"/>
    <x v="3"/>
    <x v="0"/>
    <x v="2"/>
    <x v="2"/>
    <s v="Needs Improvement"/>
    <x v="0"/>
    <n v="40"/>
    <x v="1"/>
    <x v="2"/>
    <x v="2"/>
    <s v="Strengthen technical skills and practical knowledge"/>
  </r>
  <r>
    <n v="43"/>
    <x v="1"/>
    <n v="1"/>
    <n v="14"/>
    <n v="5"/>
    <n v="2.5207940403983899"/>
    <x v="82"/>
    <n v="72"/>
    <n v="40"/>
    <n v="1"/>
    <n v="1"/>
    <s v="C265"/>
    <x v="1"/>
    <x v="2"/>
    <x v="1"/>
    <x v="2"/>
    <x v="1"/>
    <s v="Needs Improvement"/>
    <x v="0"/>
    <n v="75"/>
    <x v="2"/>
    <x v="2"/>
    <x v="1"/>
    <s v="Work on communication and personality development"/>
  </r>
  <r>
    <n v="28"/>
    <x v="0"/>
    <n v="4"/>
    <n v="5"/>
    <n v="5"/>
    <n v="37.343845306988499"/>
    <x v="77"/>
    <n v="26"/>
    <n v="36"/>
    <n v="2"/>
    <n v="0"/>
    <s v="C266"/>
    <x v="0"/>
    <x v="1"/>
    <x v="2"/>
    <x v="0"/>
    <x v="2"/>
    <s v="Needs Improvement"/>
    <x v="1"/>
    <n v="38"/>
    <x v="1"/>
    <x v="2"/>
    <x v="2"/>
    <s v="Strengthen technical skills and practical knowledge"/>
  </r>
  <r>
    <n v="39"/>
    <x v="1"/>
    <n v="2"/>
    <n v="15"/>
    <n v="3"/>
    <n v="44.700683565435703"/>
    <x v="45"/>
    <n v="16"/>
    <n v="56"/>
    <n v="1"/>
    <n v="0"/>
    <s v="C267"/>
    <x v="1"/>
    <x v="0"/>
    <x v="1"/>
    <x v="0"/>
    <x v="2"/>
    <s v="Good"/>
    <x v="1"/>
    <n v="41"/>
    <x v="1"/>
    <x v="0"/>
    <x v="2"/>
    <s v="Strengthen technical skills and practical knowledge"/>
  </r>
  <r>
    <n v="36"/>
    <x v="1"/>
    <n v="1"/>
    <n v="10"/>
    <n v="4"/>
    <n v="12.0356292972209"/>
    <x v="11"/>
    <n v="43"/>
    <n v="41"/>
    <n v="2"/>
    <n v="0"/>
    <s v="C268"/>
    <x v="1"/>
    <x v="2"/>
    <x v="1"/>
    <x v="1"/>
    <x v="2"/>
    <s v="Needs Improvement"/>
    <x v="1"/>
    <n v="55"/>
    <x v="0"/>
    <x v="2"/>
    <x v="1"/>
    <s v="Work on communication and personality development"/>
  </r>
  <r>
    <n v="49"/>
    <x v="1"/>
    <n v="1"/>
    <n v="9"/>
    <n v="5"/>
    <n v="8.9224018594952899"/>
    <x v="88"/>
    <n v="44"/>
    <n v="46"/>
    <n v="2"/>
    <n v="0"/>
    <s v="C269"/>
    <x v="1"/>
    <x v="2"/>
    <x v="1"/>
    <x v="0"/>
    <x v="2"/>
    <s v="Needs Improvement"/>
    <x v="1"/>
    <n v="45"/>
    <x v="1"/>
    <x v="0"/>
    <x v="0"/>
    <s v="Improve interview preparation and communication"/>
  </r>
  <r>
    <n v="36"/>
    <x v="0"/>
    <n v="3"/>
    <n v="8"/>
    <n v="4"/>
    <n v="4.1102545762845404"/>
    <x v="10"/>
    <n v="7"/>
    <n v="91"/>
    <n v="2"/>
    <n v="1"/>
    <s v="C270"/>
    <x v="0"/>
    <x v="3"/>
    <x v="1"/>
    <x v="2"/>
    <x v="2"/>
    <s v="Strong"/>
    <x v="0"/>
    <n v="60"/>
    <x v="0"/>
    <x v="2"/>
    <x v="2"/>
    <s v="Strengthen technical skills and practical knowledge"/>
  </r>
  <r>
    <n v="45"/>
    <x v="0"/>
    <n v="2"/>
    <n v="12"/>
    <n v="1"/>
    <n v="42.135146085860299"/>
    <x v="89"/>
    <n v="79"/>
    <n v="60"/>
    <n v="2"/>
    <n v="0"/>
    <s v="C271"/>
    <x v="0"/>
    <x v="0"/>
    <x v="1"/>
    <x v="0"/>
    <x v="0"/>
    <s v="Good"/>
    <x v="1"/>
    <n v="63"/>
    <x v="0"/>
    <x v="1"/>
    <x v="0"/>
    <s v="Improve interview preparation and communication"/>
  </r>
  <r>
    <n v="39"/>
    <x v="1"/>
    <n v="3"/>
    <n v="3"/>
    <n v="4"/>
    <n v="16.569096994629199"/>
    <x v="61"/>
    <n v="17"/>
    <n v="13"/>
    <n v="2"/>
    <n v="0"/>
    <s v="C272"/>
    <x v="1"/>
    <x v="3"/>
    <x v="2"/>
    <x v="0"/>
    <x v="2"/>
    <s v="Needs Improvement"/>
    <x v="1"/>
    <n v="16"/>
    <x v="1"/>
    <x v="1"/>
    <x v="0"/>
    <s v="Improve interview preparation and communication"/>
  </r>
  <r>
    <n v="31"/>
    <x v="1"/>
    <n v="1"/>
    <n v="5"/>
    <n v="2"/>
    <n v="21.084844637988802"/>
    <x v="13"/>
    <n v="32"/>
    <n v="67"/>
    <n v="1"/>
    <n v="0"/>
    <s v="C273"/>
    <x v="1"/>
    <x v="2"/>
    <x v="2"/>
    <x v="0"/>
    <x v="2"/>
    <s v="Good"/>
    <x v="1"/>
    <n v="34"/>
    <x v="1"/>
    <x v="0"/>
    <x v="0"/>
    <s v="Improve interview preparation and communication"/>
  </r>
  <r>
    <n v="49"/>
    <x v="0"/>
    <n v="1"/>
    <n v="15"/>
    <n v="2"/>
    <n v="26.1375095804806"/>
    <x v="48"/>
    <n v="0"/>
    <n v="52"/>
    <n v="2"/>
    <n v="0"/>
    <s v="C274"/>
    <x v="0"/>
    <x v="2"/>
    <x v="1"/>
    <x v="1"/>
    <x v="2"/>
    <s v="Good"/>
    <x v="1"/>
    <n v="47"/>
    <x v="1"/>
    <x v="2"/>
    <x v="2"/>
    <s v="Strengthen technical skills and practical knowledge"/>
  </r>
  <r>
    <n v="26"/>
    <x v="0"/>
    <n v="2"/>
    <n v="6"/>
    <n v="5"/>
    <n v="42.972661710477503"/>
    <x v="29"/>
    <n v="75"/>
    <n v="83"/>
    <n v="2"/>
    <n v="0"/>
    <s v="C275"/>
    <x v="0"/>
    <x v="0"/>
    <x v="2"/>
    <x v="0"/>
    <x v="0"/>
    <s v="Strong"/>
    <x v="1"/>
    <n v="58"/>
    <x v="0"/>
    <x v="0"/>
    <x v="0"/>
    <s v="Improve interview preparation and communication"/>
  </r>
  <r>
    <n v="21"/>
    <x v="0"/>
    <n v="2"/>
    <n v="12"/>
    <n v="4"/>
    <n v="33.541661078074199"/>
    <x v="91"/>
    <n v="5"/>
    <n v="33"/>
    <n v="1"/>
    <n v="0"/>
    <s v="C276"/>
    <x v="0"/>
    <x v="0"/>
    <x v="1"/>
    <x v="0"/>
    <x v="2"/>
    <s v="Needs Improvement"/>
    <x v="1"/>
    <n v="23"/>
    <x v="1"/>
    <x v="0"/>
    <x v="0"/>
    <s v="Improve interview preparation and communication"/>
  </r>
  <r>
    <n v="22"/>
    <x v="1"/>
    <n v="2"/>
    <n v="10"/>
    <n v="5"/>
    <n v="31.7532314928905"/>
    <x v="24"/>
    <n v="40"/>
    <n v="75"/>
    <n v="3"/>
    <n v="0"/>
    <s v="C277"/>
    <x v="1"/>
    <x v="0"/>
    <x v="1"/>
    <x v="2"/>
    <x v="2"/>
    <s v="Strong"/>
    <x v="1"/>
    <n v="64"/>
    <x v="0"/>
    <x v="2"/>
    <x v="2"/>
    <s v="Strengthen technical skills and practical knowledge"/>
  </r>
  <r>
    <n v="36"/>
    <x v="0"/>
    <n v="4"/>
    <n v="5"/>
    <n v="3"/>
    <n v="9.7836049977955302"/>
    <x v="33"/>
    <n v="54"/>
    <n v="96"/>
    <n v="1"/>
    <n v="1"/>
    <s v="C278"/>
    <x v="0"/>
    <x v="1"/>
    <x v="2"/>
    <x v="0"/>
    <x v="1"/>
    <s v="Strong"/>
    <x v="0"/>
    <n v="46"/>
    <x v="1"/>
    <x v="0"/>
    <x v="0"/>
    <s v="Improve interview preparation and communication"/>
  </r>
  <r>
    <n v="24"/>
    <x v="1"/>
    <n v="4"/>
    <n v="7"/>
    <n v="2"/>
    <n v="26.659494585491402"/>
    <x v="79"/>
    <n v="4"/>
    <n v="23"/>
    <n v="1"/>
    <n v="1"/>
    <s v="C279"/>
    <x v="1"/>
    <x v="1"/>
    <x v="1"/>
    <x v="2"/>
    <x v="2"/>
    <s v="Needs Improvement"/>
    <x v="0"/>
    <n v="43"/>
    <x v="1"/>
    <x v="2"/>
    <x v="2"/>
    <s v="Strengthen technical skills and practical knowledge"/>
  </r>
  <r>
    <n v="36"/>
    <x v="0"/>
    <n v="4"/>
    <n v="3"/>
    <n v="5"/>
    <n v="36.769050858932701"/>
    <x v="92"/>
    <n v="58"/>
    <n v="19"/>
    <n v="1"/>
    <n v="1"/>
    <s v="C280"/>
    <x v="0"/>
    <x v="1"/>
    <x v="2"/>
    <x v="0"/>
    <x v="1"/>
    <s v="Needs Improvement"/>
    <x v="0"/>
    <n v="35"/>
    <x v="1"/>
    <x v="1"/>
    <x v="0"/>
    <s v="Improve interview preparation and communication"/>
  </r>
  <r>
    <n v="43"/>
    <x v="1"/>
    <n v="3"/>
    <n v="11"/>
    <n v="3"/>
    <n v="49.663044151524502"/>
    <x v="44"/>
    <n v="79"/>
    <n v="68"/>
    <n v="3"/>
    <n v="1"/>
    <s v="C281"/>
    <x v="1"/>
    <x v="3"/>
    <x v="1"/>
    <x v="1"/>
    <x v="0"/>
    <s v="Good"/>
    <x v="0"/>
    <n v="70"/>
    <x v="0"/>
    <x v="1"/>
    <x v="0"/>
    <s v="Improve interview preparation and communication"/>
  </r>
  <r>
    <n v="36"/>
    <x v="0"/>
    <n v="2"/>
    <n v="14"/>
    <n v="5"/>
    <n v="11.070315460667601"/>
    <x v="80"/>
    <n v="17"/>
    <n v="29"/>
    <n v="2"/>
    <n v="0"/>
    <s v="C282"/>
    <x v="0"/>
    <x v="0"/>
    <x v="1"/>
    <x v="2"/>
    <x v="2"/>
    <s v="Needs Improvement"/>
    <x v="1"/>
    <n v="53"/>
    <x v="0"/>
    <x v="2"/>
    <x v="2"/>
    <s v="Strengthen technical skills and practical knowledge"/>
  </r>
  <r>
    <n v="46"/>
    <x v="0"/>
    <n v="2"/>
    <n v="0"/>
    <n v="4"/>
    <n v="1.47716765336133"/>
    <x v="2"/>
    <n v="48"/>
    <n v="87"/>
    <n v="2"/>
    <n v="0"/>
    <s v="C283"/>
    <x v="0"/>
    <x v="0"/>
    <x v="0"/>
    <x v="0"/>
    <x v="2"/>
    <s v="Strong"/>
    <x v="1"/>
    <n v="40"/>
    <x v="1"/>
    <x v="0"/>
    <x v="0"/>
    <s v="Improve interview preparation and communication"/>
  </r>
  <r>
    <n v="36"/>
    <x v="0"/>
    <n v="2"/>
    <n v="6"/>
    <n v="4"/>
    <n v="4.76507167992348"/>
    <x v="27"/>
    <n v="81"/>
    <n v="6"/>
    <n v="1"/>
    <n v="1"/>
    <s v="C284"/>
    <x v="0"/>
    <x v="0"/>
    <x v="2"/>
    <x v="2"/>
    <x v="0"/>
    <s v="Needs Improvement"/>
    <x v="0"/>
    <n v="60"/>
    <x v="0"/>
    <x v="2"/>
    <x v="1"/>
    <s v="Work on communication and personality development"/>
  </r>
  <r>
    <n v="21"/>
    <x v="0"/>
    <n v="3"/>
    <n v="2"/>
    <n v="4"/>
    <n v="19.7926232590989"/>
    <x v="18"/>
    <n v="64"/>
    <n v="35"/>
    <n v="2"/>
    <n v="0"/>
    <s v="C285"/>
    <x v="0"/>
    <x v="3"/>
    <x v="0"/>
    <x v="1"/>
    <x v="1"/>
    <s v="Needs Improvement"/>
    <x v="1"/>
    <n v="52"/>
    <x v="0"/>
    <x v="2"/>
    <x v="1"/>
    <s v="Work on communication and personality development"/>
  </r>
  <r>
    <n v="21"/>
    <x v="0"/>
    <n v="1"/>
    <n v="13"/>
    <n v="4"/>
    <n v="42.0272323872993"/>
    <x v="15"/>
    <n v="82"/>
    <n v="37"/>
    <n v="2"/>
    <n v="0"/>
    <s v="C286"/>
    <x v="0"/>
    <x v="2"/>
    <x v="1"/>
    <x v="0"/>
    <x v="0"/>
    <s v="Needs Improvement"/>
    <x v="1"/>
    <n v="51"/>
    <x v="0"/>
    <x v="1"/>
    <x v="0"/>
    <s v="Improve interview preparation and communication"/>
  </r>
  <r>
    <n v="47"/>
    <x v="1"/>
    <n v="2"/>
    <n v="5"/>
    <n v="1"/>
    <n v="1.3571040884122501"/>
    <x v="71"/>
    <n v="53"/>
    <n v="79"/>
    <n v="3"/>
    <n v="0"/>
    <s v="C287"/>
    <x v="1"/>
    <x v="0"/>
    <x v="2"/>
    <x v="0"/>
    <x v="1"/>
    <s v="Strong"/>
    <x v="1"/>
    <n v="46"/>
    <x v="1"/>
    <x v="0"/>
    <x v="0"/>
    <s v="Improve interview preparation and communication"/>
  </r>
  <r>
    <n v="41"/>
    <x v="0"/>
    <n v="1"/>
    <n v="1"/>
    <n v="3"/>
    <n v="23.836529644292"/>
    <x v="92"/>
    <n v="60"/>
    <n v="51"/>
    <n v="1"/>
    <n v="0"/>
    <s v="C288"/>
    <x v="0"/>
    <x v="2"/>
    <x v="0"/>
    <x v="0"/>
    <x v="1"/>
    <s v="Good"/>
    <x v="1"/>
    <n v="37"/>
    <x v="1"/>
    <x v="1"/>
    <x v="0"/>
    <s v="Improve interview preparation and communication"/>
  </r>
  <r>
    <n v="42"/>
    <x v="0"/>
    <n v="2"/>
    <n v="8"/>
    <n v="3"/>
    <n v="17.4615307670697"/>
    <x v="55"/>
    <n v="7"/>
    <n v="14"/>
    <n v="1"/>
    <n v="1"/>
    <s v="C289"/>
    <x v="0"/>
    <x v="0"/>
    <x v="1"/>
    <x v="2"/>
    <x v="2"/>
    <s v="Needs Improvement"/>
    <x v="0"/>
    <n v="40"/>
    <x v="1"/>
    <x v="2"/>
    <x v="2"/>
    <s v="Strengthen technical skills and practical knowledge"/>
  </r>
  <r>
    <n v="24"/>
    <x v="0"/>
    <n v="3"/>
    <n v="0"/>
    <n v="4"/>
    <n v="3.6240855049863701"/>
    <x v="91"/>
    <n v="2"/>
    <n v="45"/>
    <n v="1"/>
    <n v="0"/>
    <s v="C290"/>
    <x v="0"/>
    <x v="3"/>
    <x v="0"/>
    <x v="0"/>
    <x v="2"/>
    <s v="Needs Improvement"/>
    <x v="1"/>
    <n v="13"/>
    <x v="1"/>
    <x v="0"/>
    <x v="0"/>
    <s v="Improve interview preparation and communication"/>
  </r>
  <r>
    <n v="20"/>
    <x v="1"/>
    <n v="3"/>
    <n v="5"/>
    <n v="1"/>
    <n v="23.511814333630799"/>
    <x v="47"/>
    <n v="24"/>
    <n v="22"/>
    <n v="3"/>
    <n v="0"/>
    <s v="C291"/>
    <x v="1"/>
    <x v="3"/>
    <x v="2"/>
    <x v="0"/>
    <x v="2"/>
    <s v="Needs Improvement"/>
    <x v="1"/>
    <n v="29"/>
    <x v="1"/>
    <x v="2"/>
    <x v="1"/>
    <s v="Work on communication and personality development"/>
  </r>
  <r>
    <n v="20"/>
    <x v="0"/>
    <n v="2"/>
    <n v="5"/>
    <n v="4"/>
    <n v="13.7374353668359"/>
    <x v="12"/>
    <n v="68"/>
    <n v="11"/>
    <n v="2"/>
    <n v="0"/>
    <s v="C292"/>
    <x v="0"/>
    <x v="0"/>
    <x v="2"/>
    <x v="2"/>
    <x v="1"/>
    <s v="Needs Improvement"/>
    <x v="1"/>
    <n v="59"/>
    <x v="0"/>
    <x v="2"/>
    <x v="1"/>
    <s v="Work on communication and personality development"/>
  </r>
  <r>
    <n v="38"/>
    <x v="1"/>
    <n v="4"/>
    <n v="4"/>
    <n v="1"/>
    <n v="18.5942417173503"/>
    <x v="4"/>
    <n v="54"/>
    <n v="92"/>
    <n v="2"/>
    <n v="0"/>
    <s v="C293"/>
    <x v="1"/>
    <x v="1"/>
    <x v="2"/>
    <x v="0"/>
    <x v="1"/>
    <s v="Strong"/>
    <x v="1"/>
    <n v="51"/>
    <x v="0"/>
    <x v="0"/>
    <x v="0"/>
    <s v="Improve interview preparation and communication"/>
  </r>
  <r>
    <n v="49"/>
    <x v="0"/>
    <n v="2"/>
    <n v="15"/>
    <n v="4"/>
    <n v="36.280765239214603"/>
    <x v="65"/>
    <n v="39"/>
    <n v="43"/>
    <n v="2"/>
    <n v="0"/>
    <s v="C294"/>
    <x v="0"/>
    <x v="0"/>
    <x v="1"/>
    <x v="0"/>
    <x v="2"/>
    <s v="Needs Improvement"/>
    <x v="1"/>
    <n v="42"/>
    <x v="1"/>
    <x v="0"/>
    <x v="0"/>
    <s v="Improve interview preparation and communication"/>
  </r>
  <r>
    <n v="21"/>
    <x v="0"/>
    <n v="1"/>
    <n v="12"/>
    <n v="2"/>
    <n v="27.077549195548301"/>
    <x v="1"/>
    <n v="82"/>
    <n v="14"/>
    <n v="3"/>
    <n v="0"/>
    <s v="C295"/>
    <x v="0"/>
    <x v="2"/>
    <x v="1"/>
    <x v="0"/>
    <x v="0"/>
    <s v="Needs Improvement"/>
    <x v="1"/>
    <n v="52"/>
    <x v="0"/>
    <x v="1"/>
    <x v="1"/>
    <s v="Work on communication and personality development"/>
  </r>
  <r>
    <n v="40"/>
    <x v="1"/>
    <n v="2"/>
    <n v="4"/>
    <n v="2"/>
    <n v="7.2323714496406604"/>
    <x v="93"/>
    <n v="81"/>
    <n v="92"/>
    <n v="3"/>
    <n v="0"/>
    <s v="C296"/>
    <x v="1"/>
    <x v="0"/>
    <x v="2"/>
    <x v="1"/>
    <x v="0"/>
    <s v="Strong"/>
    <x v="1"/>
    <n v="70"/>
    <x v="0"/>
    <x v="0"/>
    <x v="0"/>
    <s v="Improve interview preparation and communication"/>
  </r>
  <r>
    <n v="31"/>
    <x v="0"/>
    <n v="2"/>
    <n v="0"/>
    <n v="5"/>
    <n v="49.070727021181902"/>
    <x v="30"/>
    <n v="49"/>
    <n v="48"/>
    <n v="2"/>
    <n v="0"/>
    <s v="C297"/>
    <x v="0"/>
    <x v="0"/>
    <x v="0"/>
    <x v="1"/>
    <x v="2"/>
    <s v="Needs Improvement"/>
    <x v="1"/>
    <n v="49"/>
    <x v="1"/>
    <x v="2"/>
    <x v="1"/>
    <s v="Work on communication and personality development"/>
  </r>
  <r>
    <n v="45"/>
    <x v="1"/>
    <n v="1"/>
    <n v="9"/>
    <n v="4"/>
    <n v="32.795538285486899"/>
    <x v="4"/>
    <n v="94"/>
    <n v="20"/>
    <n v="1"/>
    <n v="1"/>
    <s v="C298"/>
    <x v="1"/>
    <x v="2"/>
    <x v="1"/>
    <x v="0"/>
    <x v="0"/>
    <s v="Needs Improvement"/>
    <x v="0"/>
    <n v="51"/>
    <x v="0"/>
    <x v="1"/>
    <x v="1"/>
    <s v="Work on communication and personality development"/>
  </r>
  <r>
    <n v="25"/>
    <x v="1"/>
    <n v="4"/>
    <n v="11"/>
    <n v="3"/>
    <n v="39.293421283126499"/>
    <x v="87"/>
    <n v="32"/>
    <n v="14"/>
    <n v="1"/>
    <n v="1"/>
    <s v="C299"/>
    <x v="1"/>
    <x v="1"/>
    <x v="1"/>
    <x v="1"/>
    <x v="2"/>
    <s v="Needs Improvement"/>
    <x v="0"/>
    <n v="46"/>
    <x v="1"/>
    <x v="2"/>
    <x v="1"/>
    <s v="Work on communication and personality development"/>
  </r>
  <r>
    <n v="42"/>
    <x v="0"/>
    <n v="2"/>
    <n v="4"/>
    <n v="5"/>
    <n v="4.9606575004185398"/>
    <x v="94"/>
    <n v="17"/>
    <n v="13"/>
    <n v="3"/>
    <n v="0"/>
    <s v="C300"/>
    <x v="0"/>
    <x v="0"/>
    <x v="2"/>
    <x v="2"/>
    <x v="2"/>
    <s v="Needs Improvement"/>
    <x v="1"/>
    <n v="42"/>
    <x v="1"/>
    <x v="2"/>
    <x v="1"/>
    <s v="Work on communication and personality development"/>
  </r>
  <r>
    <n v="23"/>
    <x v="1"/>
    <n v="3"/>
    <n v="1"/>
    <n v="2"/>
    <n v="3.3529189730009401"/>
    <x v="5"/>
    <n v="56"/>
    <n v="41"/>
    <n v="2"/>
    <n v="0"/>
    <s v="C301"/>
    <x v="1"/>
    <x v="3"/>
    <x v="0"/>
    <x v="1"/>
    <x v="1"/>
    <s v="Needs Improvement"/>
    <x v="1"/>
    <n v="46"/>
    <x v="1"/>
    <x v="1"/>
    <x v="1"/>
    <s v="Work on communication and personality development"/>
  </r>
  <r>
    <n v="42"/>
    <x v="0"/>
    <n v="2"/>
    <n v="6"/>
    <n v="4"/>
    <n v="1.9724025184040499"/>
    <x v="38"/>
    <n v="15"/>
    <n v="79"/>
    <n v="1"/>
    <n v="1"/>
    <s v="C302"/>
    <x v="0"/>
    <x v="0"/>
    <x v="2"/>
    <x v="2"/>
    <x v="2"/>
    <s v="Strong"/>
    <x v="0"/>
    <n v="52"/>
    <x v="0"/>
    <x v="0"/>
    <x v="2"/>
    <s v="Strengthen technical skills and practical knowledge"/>
  </r>
  <r>
    <n v="30"/>
    <x v="0"/>
    <n v="1"/>
    <n v="2"/>
    <n v="5"/>
    <n v="10.4397013886722"/>
    <x v="28"/>
    <n v="79"/>
    <n v="14"/>
    <n v="2"/>
    <n v="0"/>
    <s v="C303"/>
    <x v="0"/>
    <x v="2"/>
    <x v="0"/>
    <x v="2"/>
    <x v="0"/>
    <s v="Needs Improvement"/>
    <x v="1"/>
    <n v="55"/>
    <x v="0"/>
    <x v="2"/>
    <x v="1"/>
    <s v="Work on communication and personality development"/>
  </r>
  <r>
    <n v="43"/>
    <x v="1"/>
    <n v="2"/>
    <n v="12"/>
    <n v="4"/>
    <n v="21.720419885924699"/>
    <x v="4"/>
    <n v="37"/>
    <n v="62"/>
    <n v="3"/>
    <n v="0"/>
    <s v="C304"/>
    <x v="1"/>
    <x v="0"/>
    <x v="1"/>
    <x v="0"/>
    <x v="2"/>
    <s v="Good"/>
    <x v="1"/>
    <n v="45"/>
    <x v="1"/>
    <x v="0"/>
    <x v="0"/>
    <s v="Improve interview preparation and communication"/>
  </r>
  <r>
    <n v="46"/>
    <x v="1"/>
    <n v="1"/>
    <n v="14"/>
    <n v="2"/>
    <n v="47.791306670141097"/>
    <x v="38"/>
    <n v="40"/>
    <n v="67"/>
    <n v="2"/>
    <n v="0"/>
    <s v="C305"/>
    <x v="1"/>
    <x v="2"/>
    <x v="1"/>
    <x v="2"/>
    <x v="2"/>
    <s v="Good"/>
    <x v="1"/>
    <n v="65"/>
    <x v="0"/>
    <x v="2"/>
    <x v="2"/>
    <s v="Strengthen technical skills and practical knowledge"/>
  </r>
  <r>
    <n v="36"/>
    <x v="1"/>
    <n v="2"/>
    <n v="3"/>
    <n v="5"/>
    <n v="23.852982963288799"/>
    <x v="4"/>
    <n v="6"/>
    <n v="26"/>
    <n v="2"/>
    <n v="0"/>
    <s v="C306"/>
    <x v="1"/>
    <x v="0"/>
    <x v="2"/>
    <x v="0"/>
    <x v="2"/>
    <s v="Needs Improvement"/>
    <x v="1"/>
    <n v="19"/>
    <x v="1"/>
    <x v="0"/>
    <x v="2"/>
    <s v="Strengthen technical skills and practical knowledge"/>
  </r>
  <r>
    <n v="50"/>
    <x v="1"/>
    <n v="4"/>
    <n v="2"/>
    <n v="2"/>
    <n v="15.5127552686264"/>
    <x v="95"/>
    <n v="77"/>
    <n v="86"/>
    <n v="3"/>
    <n v="0"/>
    <s v="C307"/>
    <x v="1"/>
    <x v="1"/>
    <x v="0"/>
    <x v="1"/>
    <x v="0"/>
    <s v="Strong"/>
    <x v="1"/>
    <n v="63"/>
    <x v="0"/>
    <x v="0"/>
    <x v="0"/>
    <s v="Improve interview preparation and communication"/>
  </r>
  <r>
    <n v="25"/>
    <x v="0"/>
    <n v="2"/>
    <n v="2"/>
    <n v="1"/>
    <n v="29.096762675983101"/>
    <x v="45"/>
    <n v="52"/>
    <n v="92"/>
    <n v="2"/>
    <n v="0"/>
    <s v="C308"/>
    <x v="0"/>
    <x v="0"/>
    <x v="0"/>
    <x v="0"/>
    <x v="1"/>
    <s v="Strong"/>
    <x v="1"/>
    <n v="46"/>
    <x v="1"/>
    <x v="0"/>
    <x v="0"/>
    <s v="Improve interview preparation and communication"/>
  </r>
  <r>
    <n v="43"/>
    <x v="0"/>
    <n v="2"/>
    <n v="3"/>
    <n v="2"/>
    <n v="6.5967289067394601"/>
    <x v="36"/>
    <n v="62"/>
    <n v="52"/>
    <n v="1"/>
    <n v="0"/>
    <s v="C309"/>
    <x v="0"/>
    <x v="0"/>
    <x v="2"/>
    <x v="1"/>
    <x v="1"/>
    <s v="Good"/>
    <x v="1"/>
    <n v="54"/>
    <x v="0"/>
    <x v="2"/>
    <x v="1"/>
    <s v="Work on communication and personality development"/>
  </r>
  <r>
    <n v="24"/>
    <x v="1"/>
    <n v="1"/>
    <n v="4"/>
    <n v="4"/>
    <n v="31.4752945502491"/>
    <x v="28"/>
    <n v="88"/>
    <n v="51"/>
    <n v="3"/>
    <n v="0"/>
    <s v="C310"/>
    <x v="1"/>
    <x v="2"/>
    <x v="2"/>
    <x v="2"/>
    <x v="0"/>
    <s v="Good"/>
    <x v="1"/>
    <n v="67"/>
    <x v="0"/>
    <x v="1"/>
    <x v="1"/>
    <s v="Work on communication and personality development"/>
  </r>
  <r>
    <n v="39"/>
    <x v="0"/>
    <n v="1"/>
    <n v="0"/>
    <n v="3"/>
    <n v="29.421597716525099"/>
    <x v="88"/>
    <n v="31"/>
    <n v="62"/>
    <n v="3"/>
    <n v="0"/>
    <s v="C311"/>
    <x v="0"/>
    <x v="2"/>
    <x v="0"/>
    <x v="0"/>
    <x v="2"/>
    <s v="Good"/>
    <x v="1"/>
    <n v="35"/>
    <x v="1"/>
    <x v="0"/>
    <x v="2"/>
    <s v="Strengthen technical skills and practical knowledge"/>
  </r>
  <r>
    <n v="21"/>
    <x v="0"/>
    <n v="1"/>
    <n v="3"/>
    <n v="2"/>
    <n v="40.599651670285397"/>
    <x v="48"/>
    <n v="37"/>
    <n v="72"/>
    <n v="3"/>
    <n v="0"/>
    <s v="C312"/>
    <x v="0"/>
    <x v="2"/>
    <x v="2"/>
    <x v="1"/>
    <x v="2"/>
    <s v="Good"/>
    <x v="1"/>
    <n v="50"/>
    <x v="0"/>
    <x v="0"/>
    <x v="2"/>
    <s v="Strengthen technical skills and practical knowledge"/>
  </r>
  <r>
    <n v="25"/>
    <x v="0"/>
    <n v="2"/>
    <n v="11"/>
    <n v="3"/>
    <n v="50.334380580851203"/>
    <x v="30"/>
    <n v="21"/>
    <n v="52"/>
    <n v="2"/>
    <n v="0"/>
    <s v="C313"/>
    <x v="0"/>
    <x v="0"/>
    <x v="1"/>
    <x v="1"/>
    <x v="2"/>
    <s v="Good"/>
    <x v="1"/>
    <n v="52"/>
    <x v="0"/>
    <x v="2"/>
    <x v="2"/>
    <s v="Strengthen technical skills and practical knowledge"/>
  </r>
  <r>
    <n v="41"/>
    <x v="0"/>
    <n v="1"/>
    <n v="11"/>
    <n v="1"/>
    <n v="13.5436735858055"/>
    <x v="86"/>
    <n v="15"/>
    <n v="56"/>
    <n v="1"/>
    <n v="0"/>
    <s v="C314"/>
    <x v="0"/>
    <x v="2"/>
    <x v="1"/>
    <x v="1"/>
    <x v="2"/>
    <s v="Good"/>
    <x v="1"/>
    <n v="44"/>
    <x v="1"/>
    <x v="0"/>
    <x v="2"/>
    <s v="Strengthen technical skills and practical knowledge"/>
  </r>
  <r>
    <n v="30"/>
    <x v="1"/>
    <n v="2"/>
    <n v="10"/>
    <n v="5"/>
    <n v="26.482822540188"/>
    <x v="16"/>
    <n v="51"/>
    <n v="51"/>
    <n v="3"/>
    <n v="0"/>
    <s v="C315"/>
    <x v="1"/>
    <x v="0"/>
    <x v="1"/>
    <x v="0"/>
    <x v="1"/>
    <s v="Good"/>
    <x v="1"/>
    <n v="48"/>
    <x v="1"/>
    <x v="1"/>
    <x v="0"/>
    <s v="Improve interview preparation and communication"/>
  </r>
  <r>
    <n v="50"/>
    <x v="1"/>
    <n v="2"/>
    <n v="7"/>
    <n v="5"/>
    <n v="46.443270315950102"/>
    <x v="77"/>
    <n v="28"/>
    <n v="42"/>
    <n v="1"/>
    <n v="0"/>
    <s v="C316"/>
    <x v="1"/>
    <x v="0"/>
    <x v="1"/>
    <x v="0"/>
    <x v="2"/>
    <s v="Needs Improvement"/>
    <x v="1"/>
    <n v="39"/>
    <x v="1"/>
    <x v="2"/>
    <x v="2"/>
    <s v="Strengthen technical skills and practical knowledge"/>
  </r>
  <r>
    <n v="35"/>
    <x v="0"/>
    <n v="2"/>
    <n v="9"/>
    <n v="3"/>
    <n v="40.259494221141999"/>
    <x v="35"/>
    <n v="15"/>
    <n v="6"/>
    <n v="3"/>
    <n v="0"/>
    <s v="C317"/>
    <x v="0"/>
    <x v="0"/>
    <x v="1"/>
    <x v="0"/>
    <x v="2"/>
    <s v="Needs Improvement"/>
    <x v="1"/>
    <n v="26"/>
    <x v="1"/>
    <x v="2"/>
    <x v="1"/>
    <s v="Work on communication and personality development"/>
  </r>
  <r>
    <n v="35"/>
    <x v="1"/>
    <n v="1"/>
    <n v="6"/>
    <n v="5"/>
    <n v="25.370315155040299"/>
    <x v="3"/>
    <n v="75"/>
    <n v="41"/>
    <n v="3"/>
    <n v="0"/>
    <s v="C318"/>
    <x v="1"/>
    <x v="2"/>
    <x v="2"/>
    <x v="0"/>
    <x v="0"/>
    <s v="Needs Improvement"/>
    <x v="1"/>
    <n v="50"/>
    <x v="0"/>
    <x v="1"/>
    <x v="0"/>
    <s v="Improve interview preparation and communication"/>
  </r>
  <r>
    <n v="20"/>
    <x v="1"/>
    <n v="2"/>
    <n v="8"/>
    <n v="2"/>
    <n v="48.2685824807388"/>
    <x v="8"/>
    <n v="16"/>
    <n v="3"/>
    <n v="2"/>
    <n v="0"/>
    <s v="C319"/>
    <x v="1"/>
    <x v="0"/>
    <x v="1"/>
    <x v="2"/>
    <x v="2"/>
    <s v="Needs Improvement"/>
    <x v="1"/>
    <n v="40"/>
    <x v="1"/>
    <x v="2"/>
    <x v="1"/>
    <s v="Work on communication and personality development"/>
  </r>
  <r>
    <n v="28"/>
    <x v="1"/>
    <n v="4"/>
    <n v="4"/>
    <n v="3"/>
    <n v="3.86183467584046"/>
    <x v="46"/>
    <n v="100"/>
    <n v="68"/>
    <n v="3"/>
    <n v="0"/>
    <s v="C320"/>
    <x v="1"/>
    <x v="1"/>
    <x v="2"/>
    <x v="1"/>
    <x v="0"/>
    <s v="Good"/>
    <x v="1"/>
    <n v="70"/>
    <x v="0"/>
    <x v="1"/>
    <x v="0"/>
    <s v="Improve interview preparation and communication"/>
  </r>
  <r>
    <n v="47"/>
    <x v="0"/>
    <n v="2"/>
    <n v="12"/>
    <n v="4"/>
    <n v="47.549930985629203"/>
    <x v="95"/>
    <n v="63"/>
    <n v="4"/>
    <n v="2"/>
    <n v="0"/>
    <s v="C321"/>
    <x v="0"/>
    <x v="0"/>
    <x v="1"/>
    <x v="1"/>
    <x v="1"/>
    <s v="Needs Improvement"/>
    <x v="1"/>
    <n v="50"/>
    <x v="0"/>
    <x v="1"/>
    <x v="1"/>
    <s v="Work on communication and personality development"/>
  </r>
  <r>
    <n v="46"/>
    <x v="0"/>
    <n v="2"/>
    <n v="14"/>
    <n v="2"/>
    <n v="3.5253696191403199"/>
    <x v="26"/>
    <n v="90"/>
    <n v="74"/>
    <n v="1"/>
    <n v="1"/>
    <s v="C322"/>
    <x v="0"/>
    <x v="0"/>
    <x v="1"/>
    <x v="0"/>
    <x v="0"/>
    <s v="Good"/>
    <x v="0"/>
    <n v="70"/>
    <x v="0"/>
    <x v="1"/>
    <x v="0"/>
    <s v="Improve interview preparation and communication"/>
  </r>
  <r>
    <n v="25"/>
    <x v="0"/>
    <n v="1"/>
    <n v="9"/>
    <n v="2"/>
    <n v="28.3652372057342"/>
    <x v="89"/>
    <n v="88"/>
    <n v="91"/>
    <n v="2"/>
    <n v="0"/>
    <s v="C323"/>
    <x v="0"/>
    <x v="2"/>
    <x v="1"/>
    <x v="0"/>
    <x v="0"/>
    <s v="Strong"/>
    <x v="1"/>
    <n v="68"/>
    <x v="0"/>
    <x v="0"/>
    <x v="0"/>
    <s v="Improve interview preparation and communication"/>
  </r>
  <r>
    <n v="35"/>
    <x v="1"/>
    <n v="4"/>
    <n v="3"/>
    <n v="2"/>
    <n v="45.522047400054198"/>
    <x v="76"/>
    <n v="12"/>
    <n v="79"/>
    <n v="1"/>
    <n v="1"/>
    <s v="C324"/>
    <x v="1"/>
    <x v="1"/>
    <x v="2"/>
    <x v="0"/>
    <x v="2"/>
    <s v="Strong"/>
    <x v="0"/>
    <n v="36"/>
    <x v="1"/>
    <x v="0"/>
    <x v="2"/>
    <s v="Strengthen technical skills and practical knowledge"/>
  </r>
  <r>
    <n v="48"/>
    <x v="0"/>
    <n v="2"/>
    <n v="7"/>
    <n v="4"/>
    <n v="14.1360471780651"/>
    <x v="35"/>
    <n v="71"/>
    <n v="40"/>
    <n v="2"/>
    <n v="0"/>
    <s v="C325"/>
    <x v="0"/>
    <x v="0"/>
    <x v="1"/>
    <x v="0"/>
    <x v="1"/>
    <s v="Needs Improvement"/>
    <x v="1"/>
    <n v="47"/>
    <x v="1"/>
    <x v="1"/>
    <x v="0"/>
    <s v="Improve interview preparation and communication"/>
  </r>
  <r>
    <n v="22"/>
    <x v="0"/>
    <n v="2"/>
    <n v="8"/>
    <n v="1"/>
    <n v="24.6124249472579"/>
    <x v="77"/>
    <n v="55"/>
    <n v="93"/>
    <n v="1"/>
    <n v="1"/>
    <s v="C326"/>
    <x v="0"/>
    <x v="0"/>
    <x v="1"/>
    <x v="0"/>
    <x v="1"/>
    <s v="Strong"/>
    <x v="0"/>
    <n v="58"/>
    <x v="0"/>
    <x v="0"/>
    <x v="0"/>
    <s v="Improve interview preparation and communication"/>
  </r>
  <r>
    <n v="39"/>
    <x v="1"/>
    <n v="3"/>
    <n v="12"/>
    <n v="5"/>
    <n v="17.216443956848298"/>
    <x v="68"/>
    <n v="4"/>
    <n v="3"/>
    <n v="2"/>
    <n v="0"/>
    <s v="C327"/>
    <x v="1"/>
    <x v="3"/>
    <x v="1"/>
    <x v="0"/>
    <x v="2"/>
    <s v="Needs Improvement"/>
    <x v="1"/>
    <n v="18"/>
    <x v="1"/>
    <x v="1"/>
    <x v="0"/>
    <s v="Improve interview preparation and communication"/>
  </r>
  <r>
    <n v="47"/>
    <x v="0"/>
    <n v="2"/>
    <n v="6"/>
    <n v="3"/>
    <n v="48.607195853817501"/>
    <x v="51"/>
    <n v="11"/>
    <n v="1"/>
    <n v="3"/>
    <n v="0"/>
    <s v="C328"/>
    <x v="0"/>
    <x v="0"/>
    <x v="2"/>
    <x v="0"/>
    <x v="2"/>
    <s v="Needs Improvement"/>
    <x v="1"/>
    <n v="15"/>
    <x v="1"/>
    <x v="1"/>
    <x v="1"/>
    <s v="Work on communication and personality development"/>
  </r>
  <r>
    <n v="46"/>
    <x v="0"/>
    <n v="2"/>
    <n v="13"/>
    <n v="1"/>
    <n v="42.182279737654497"/>
    <x v="96"/>
    <n v="40"/>
    <n v="66"/>
    <n v="3"/>
    <n v="0"/>
    <s v="C329"/>
    <x v="0"/>
    <x v="0"/>
    <x v="1"/>
    <x v="1"/>
    <x v="2"/>
    <s v="Good"/>
    <x v="1"/>
    <n v="58"/>
    <x v="0"/>
    <x v="0"/>
    <x v="2"/>
    <s v="Strengthen technical skills and practical knowledge"/>
  </r>
  <r>
    <n v="23"/>
    <x v="1"/>
    <n v="2"/>
    <n v="15"/>
    <n v="3"/>
    <n v="36.450075566318901"/>
    <x v="65"/>
    <n v="2"/>
    <n v="20"/>
    <n v="2"/>
    <n v="0"/>
    <s v="C330"/>
    <x v="1"/>
    <x v="0"/>
    <x v="1"/>
    <x v="0"/>
    <x v="2"/>
    <s v="Needs Improvement"/>
    <x v="1"/>
    <n v="26"/>
    <x v="1"/>
    <x v="0"/>
    <x v="2"/>
    <s v="Strengthen technical skills and practical knowledge"/>
  </r>
  <r>
    <n v="38"/>
    <x v="1"/>
    <n v="2"/>
    <n v="6"/>
    <n v="5"/>
    <n v="30.381349330755398"/>
    <x v="83"/>
    <n v="98"/>
    <n v="69"/>
    <n v="2"/>
    <n v="1"/>
    <s v="C331"/>
    <x v="1"/>
    <x v="0"/>
    <x v="2"/>
    <x v="2"/>
    <x v="0"/>
    <s v="Good"/>
    <x v="0"/>
    <n v="74"/>
    <x v="0"/>
    <x v="1"/>
    <x v="1"/>
    <s v="Work on communication and personality development"/>
  </r>
  <r>
    <n v="45"/>
    <x v="1"/>
    <n v="4"/>
    <n v="15"/>
    <n v="4"/>
    <n v="42.029589466207398"/>
    <x v="90"/>
    <n v="32"/>
    <n v="42"/>
    <n v="2"/>
    <n v="0"/>
    <s v="C332"/>
    <x v="1"/>
    <x v="1"/>
    <x v="1"/>
    <x v="0"/>
    <x v="2"/>
    <s v="Needs Improvement"/>
    <x v="1"/>
    <n v="52"/>
    <x v="0"/>
    <x v="2"/>
    <x v="2"/>
    <s v="Strengthen technical skills and practical knowledge"/>
  </r>
  <r>
    <n v="22"/>
    <x v="0"/>
    <n v="3"/>
    <n v="4"/>
    <n v="2"/>
    <n v="20.6133520761773"/>
    <x v="89"/>
    <n v="85"/>
    <n v="81"/>
    <n v="3"/>
    <n v="0"/>
    <s v="C333"/>
    <x v="0"/>
    <x v="3"/>
    <x v="2"/>
    <x v="0"/>
    <x v="0"/>
    <s v="Strong"/>
    <x v="1"/>
    <n v="62"/>
    <x v="0"/>
    <x v="1"/>
    <x v="0"/>
    <s v="Improve interview preparation and communication"/>
  </r>
  <r>
    <n v="50"/>
    <x v="0"/>
    <n v="2"/>
    <n v="3"/>
    <n v="2"/>
    <n v="23.377592755302999"/>
    <x v="10"/>
    <n v="49"/>
    <n v="68"/>
    <n v="2"/>
    <n v="0"/>
    <s v="C334"/>
    <x v="0"/>
    <x v="0"/>
    <x v="2"/>
    <x v="2"/>
    <x v="2"/>
    <s v="Good"/>
    <x v="1"/>
    <n v="62"/>
    <x v="0"/>
    <x v="2"/>
    <x v="2"/>
    <s v="Strengthen technical skills and practical knowledge"/>
  </r>
  <r>
    <n v="38"/>
    <x v="0"/>
    <n v="1"/>
    <n v="13"/>
    <n v="4"/>
    <n v="37.500086054043003"/>
    <x v="97"/>
    <n v="55"/>
    <n v="8"/>
    <n v="2"/>
    <n v="0"/>
    <s v="C335"/>
    <x v="0"/>
    <x v="2"/>
    <x v="1"/>
    <x v="0"/>
    <x v="1"/>
    <s v="Needs Improvement"/>
    <x v="1"/>
    <n v="43"/>
    <x v="1"/>
    <x v="1"/>
    <x v="1"/>
    <s v="Work on communication and personality development"/>
  </r>
  <r>
    <n v="39"/>
    <x v="1"/>
    <n v="1"/>
    <n v="9"/>
    <n v="1"/>
    <n v="18.8877381646857"/>
    <x v="97"/>
    <n v="8"/>
    <n v="83"/>
    <n v="3"/>
    <n v="0"/>
    <s v="C336"/>
    <x v="1"/>
    <x v="2"/>
    <x v="1"/>
    <x v="0"/>
    <x v="2"/>
    <s v="Strong"/>
    <x v="1"/>
    <n v="40"/>
    <x v="1"/>
    <x v="0"/>
    <x v="2"/>
    <s v="Strengthen technical skills and practical knowledge"/>
  </r>
  <r>
    <n v="26"/>
    <x v="1"/>
    <n v="2"/>
    <n v="0"/>
    <n v="1"/>
    <n v="4.1950471024186902"/>
    <x v="89"/>
    <n v="81"/>
    <n v="27"/>
    <n v="2"/>
    <n v="0"/>
    <s v="C337"/>
    <x v="1"/>
    <x v="0"/>
    <x v="0"/>
    <x v="0"/>
    <x v="0"/>
    <s v="Needs Improvement"/>
    <x v="1"/>
    <n v="45"/>
    <x v="1"/>
    <x v="1"/>
    <x v="1"/>
    <s v="Work on communication and personality development"/>
  </r>
  <r>
    <n v="39"/>
    <x v="0"/>
    <n v="3"/>
    <n v="9"/>
    <n v="3"/>
    <n v="4.71673044430357"/>
    <x v="97"/>
    <n v="49"/>
    <n v="25"/>
    <n v="3"/>
    <n v="0"/>
    <s v="C338"/>
    <x v="0"/>
    <x v="3"/>
    <x v="1"/>
    <x v="0"/>
    <x v="2"/>
    <s v="Needs Improvement"/>
    <x v="1"/>
    <n v="42"/>
    <x v="1"/>
    <x v="1"/>
    <x v="1"/>
    <s v="Work on communication and personality development"/>
  </r>
  <r>
    <n v="28"/>
    <x v="0"/>
    <n v="2"/>
    <n v="9"/>
    <n v="4"/>
    <n v="6.7681400652851904"/>
    <x v="45"/>
    <n v="28"/>
    <n v="81"/>
    <n v="3"/>
    <n v="0"/>
    <s v="C339"/>
    <x v="0"/>
    <x v="0"/>
    <x v="1"/>
    <x v="0"/>
    <x v="2"/>
    <s v="Strong"/>
    <x v="1"/>
    <n v="44"/>
    <x v="1"/>
    <x v="0"/>
    <x v="0"/>
    <s v="Improve interview preparation and communication"/>
  </r>
  <r>
    <n v="20"/>
    <x v="1"/>
    <n v="2"/>
    <n v="6"/>
    <n v="1"/>
    <n v="44.484066167183101"/>
    <x v="91"/>
    <n v="38"/>
    <n v="82"/>
    <n v="3"/>
    <n v="0"/>
    <s v="C340"/>
    <x v="1"/>
    <x v="0"/>
    <x v="2"/>
    <x v="0"/>
    <x v="2"/>
    <s v="Strong"/>
    <x v="1"/>
    <n v="36"/>
    <x v="1"/>
    <x v="0"/>
    <x v="0"/>
    <s v="Improve interview preparation and communication"/>
  </r>
  <r>
    <n v="27"/>
    <x v="1"/>
    <n v="3"/>
    <n v="15"/>
    <n v="4"/>
    <n v="24.611321287810199"/>
    <x v="66"/>
    <n v="90"/>
    <n v="2"/>
    <n v="1"/>
    <n v="1"/>
    <s v="C341"/>
    <x v="1"/>
    <x v="3"/>
    <x v="1"/>
    <x v="1"/>
    <x v="0"/>
    <s v="Needs Improvement"/>
    <x v="0"/>
    <n v="63"/>
    <x v="0"/>
    <x v="1"/>
    <x v="1"/>
    <s v="Work on communication and personality development"/>
  </r>
  <r>
    <n v="26"/>
    <x v="1"/>
    <n v="1"/>
    <n v="0"/>
    <n v="5"/>
    <n v="36.644118467236801"/>
    <x v="33"/>
    <n v="99"/>
    <n v="72"/>
    <n v="2"/>
    <n v="0"/>
    <s v="C342"/>
    <x v="1"/>
    <x v="2"/>
    <x v="0"/>
    <x v="0"/>
    <x v="0"/>
    <s v="Good"/>
    <x v="1"/>
    <n v="47"/>
    <x v="1"/>
    <x v="1"/>
    <x v="0"/>
    <s v="Improve interview preparation and communication"/>
  </r>
  <r>
    <n v="37"/>
    <x v="1"/>
    <n v="2"/>
    <n v="0"/>
    <n v="2"/>
    <n v="20.6454667802446"/>
    <x v="8"/>
    <n v="44"/>
    <n v="99"/>
    <n v="3"/>
    <n v="0"/>
    <s v="C343"/>
    <x v="1"/>
    <x v="0"/>
    <x v="0"/>
    <x v="2"/>
    <x v="2"/>
    <s v="Strong"/>
    <x v="1"/>
    <n v="60"/>
    <x v="0"/>
    <x v="0"/>
    <x v="2"/>
    <s v="Strengthen technical skills and practical knowledge"/>
  </r>
  <r>
    <n v="27"/>
    <x v="0"/>
    <n v="1"/>
    <n v="4"/>
    <n v="2"/>
    <n v="13.9355473707817"/>
    <x v="47"/>
    <n v="16"/>
    <n v="94"/>
    <n v="2"/>
    <n v="0"/>
    <s v="C344"/>
    <x v="0"/>
    <x v="2"/>
    <x v="2"/>
    <x v="0"/>
    <x v="2"/>
    <s v="Strong"/>
    <x v="1"/>
    <n v="39"/>
    <x v="1"/>
    <x v="0"/>
    <x v="2"/>
    <s v="Strengthen technical skills and practical knowledge"/>
  </r>
  <r>
    <n v="20"/>
    <x v="1"/>
    <n v="4"/>
    <n v="12"/>
    <n v="2"/>
    <n v="18.359608378110501"/>
    <x v="11"/>
    <n v="55"/>
    <n v="48"/>
    <n v="2"/>
    <n v="0"/>
    <s v="C345"/>
    <x v="1"/>
    <x v="1"/>
    <x v="1"/>
    <x v="1"/>
    <x v="1"/>
    <s v="Needs Improvement"/>
    <x v="1"/>
    <n v="64"/>
    <x v="0"/>
    <x v="2"/>
    <x v="1"/>
    <s v="Work on communication and personality development"/>
  </r>
  <r>
    <n v="30"/>
    <x v="0"/>
    <n v="2"/>
    <n v="8"/>
    <n v="4"/>
    <n v="40.709117265859099"/>
    <x v="53"/>
    <n v="97"/>
    <n v="16"/>
    <n v="1"/>
    <n v="1"/>
    <s v="C346"/>
    <x v="0"/>
    <x v="0"/>
    <x v="1"/>
    <x v="1"/>
    <x v="0"/>
    <s v="Needs Improvement"/>
    <x v="0"/>
    <n v="58"/>
    <x v="0"/>
    <x v="1"/>
    <x v="1"/>
    <s v="Work on communication and personality development"/>
  </r>
  <r>
    <n v="47"/>
    <x v="0"/>
    <n v="1"/>
    <n v="5"/>
    <n v="4"/>
    <n v="32.2608062515719"/>
    <x v="57"/>
    <n v="45"/>
    <n v="62"/>
    <n v="1"/>
    <n v="1"/>
    <s v="C347"/>
    <x v="0"/>
    <x v="2"/>
    <x v="2"/>
    <x v="2"/>
    <x v="2"/>
    <s v="Good"/>
    <x v="0"/>
    <n v="60"/>
    <x v="0"/>
    <x v="2"/>
    <x v="2"/>
    <s v="Strengthen technical skills and practical knowledge"/>
  </r>
  <r>
    <n v="44"/>
    <x v="0"/>
    <n v="2"/>
    <n v="2"/>
    <n v="3"/>
    <n v="47.8819889978951"/>
    <x v="98"/>
    <n v="66"/>
    <n v="54"/>
    <n v="2"/>
    <n v="0"/>
    <s v="C348"/>
    <x v="0"/>
    <x v="0"/>
    <x v="0"/>
    <x v="0"/>
    <x v="1"/>
    <s v="Good"/>
    <x v="1"/>
    <n v="38"/>
    <x v="1"/>
    <x v="1"/>
    <x v="0"/>
    <s v="Improve interview preparation and communication"/>
  </r>
  <r>
    <n v="44"/>
    <x v="1"/>
    <n v="2"/>
    <n v="12"/>
    <n v="2"/>
    <n v="34.985238928841603"/>
    <x v="71"/>
    <n v="68"/>
    <n v="22"/>
    <n v="2"/>
    <n v="0"/>
    <s v="C349"/>
    <x v="1"/>
    <x v="0"/>
    <x v="1"/>
    <x v="0"/>
    <x v="1"/>
    <s v="Needs Improvement"/>
    <x v="1"/>
    <n v="46"/>
    <x v="1"/>
    <x v="1"/>
    <x v="0"/>
    <s v="Improve interview preparation and communication"/>
  </r>
  <r>
    <n v="37"/>
    <x v="1"/>
    <n v="3"/>
    <n v="2"/>
    <n v="3"/>
    <n v="29.509081587734698"/>
    <x v="29"/>
    <n v="13"/>
    <n v="33"/>
    <n v="2"/>
    <n v="0"/>
    <s v="C350"/>
    <x v="1"/>
    <x v="3"/>
    <x v="0"/>
    <x v="0"/>
    <x v="2"/>
    <s v="Needs Improvement"/>
    <x v="1"/>
    <n v="26"/>
    <x v="1"/>
    <x v="2"/>
    <x v="2"/>
    <s v="Strengthen technical skills and practical knowledge"/>
  </r>
  <r>
    <n v="42"/>
    <x v="1"/>
    <n v="3"/>
    <n v="6"/>
    <n v="2"/>
    <n v="31.509800449291699"/>
    <x v="0"/>
    <n v="66"/>
    <n v="68"/>
    <n v="2"/>
    <n v="1"/>
    <s v="C351"/>
    <x v="1"/>
    <x v="3"/>
    <x v="2"/>
    <x v="0"/>
    <x v="1"/>
    <s v="Good"/>
    <x v="0"/>
    <n v="58"/>
    <x v="0"/>
    <x v="0"/>
    <x v="0"/>
    <s v="Improve interview preparation and communication"/>
  </r>
  <r>
    <n v="50"/>
    <x v="1"/>
    <n v="2"/>
    <n v="5"/>
    <n v="3"/>
    <n v="48.1185719734207"/>
    <x v="91"/>
    <n v="22"/>
    <n v="14"/>
    <n v="2"/>
    <n v="0"/>
    <s v="C352"/>
    <x v="1"/>
    <x v="0"/>
    <x v="2"/>
    <x v="0"/>
    <x v="2"/>
    <s v="Needs Improvement"/>
    <x v="1"/>
    <n v="17"/>
    <x v="1"/>
    <x v="1"/>
    <x v="0"/>
    <s v="Improve interview preparation and communication"/>
  </r>
  <r>
    <n v="49"/>
    <x v="0"/>
    <n v="1"/>
    <n v="8"/>
    <n v="3"/>
    <n v="40.410046493335301"/>
    <x v="14"/>
    <n v="93"/>
    <n v="46"/>
    <n v="2"/>
    <n v="0"/>
    <s v="C353"/>
    <x v="0"/>
    <x v="2"/>
    <x v="1"/>
    <x v="1"/>
    <x v="0"/>
    <s v="Needs Improvement"/>
    <x v="1"/>
    <n v="69"/>
    <x v="0"/>
    <x v="1"/>
    <x v="1"/>
    <s v="Work on communication and personality development"/>
  </r>
  <r>
    <n v="29"/>
    <x v="1"/>
    <n v="1"/>
    <n v="5"/>
    <n v="5"/>
    <n v="2.20206186832189"/>
    <x v="52"/>
    <n v="60"/>
    <n v="2"/>
    <n v="2"/>
    <n v="0"/>
    <s v="C354"/>
    <x v="1"/>
    <x v="2"/>
    <x v="2"/>
    <x v="2"/>
    <x v="1"/>
    <s v="Needs Improvement"/>
    <x v="1"/>
    <n v="51"/>
    <x v="0"/>
    <x v="2"/>
    <x v="1"/>
    <s v="Work on communication and personality development"/>
  </r>
  <r>
    <n v="22"/>
    <x v="1"/>
    <n v="1"/>
    <n v="4"/>
    <n v="3"/>
    <n v="27.706984806784799"/>
    <x v="59"/>
    <n v="22"/>
    <n v="82"/>
    <n v="2"/>
    <n v="0"/>
    <s v="C355"/>
    <x v="1"/>
    <x v="2"/>
    <x v="2"/>
    <x v="1"/>
    <x v="2"/>
    <s v="Strong"/>
    <x v="1"/>
    <n v="45"/>
    <x v="1"/>
    <x v="0"/>
    <x v="2"/>
    <s v="Strengthen technical skills and practical knowledge"/>
  </r>
  <r>
    <n v="26"/>
    <x v="0"/>
    <n v="2"/>
    <n v="9"/>
    <n v="4"/>
    <n v="35.416920577328199"/>
    <x v="24"/>
    <n v="26"/>
    <n v="27"/>
    <n v="2"/>
    <n v="0"/>
    <s v="C356"/>
    <x v="0"/>
    <x v="0"/>
    <x v="1"/>
    <x v="2"/>
    <x v="2"/>
    <s v="Needs Improvement"/>
    <x v="1"/>
    <n v="49"/>
    <x v="1"/>
    <x v="2"/>
    <x v="2"/>
    <s v="Strengthen technical skills and practical knowledge"/>
  </r>
  <r>
    <n v="47"/>
    <x v="1"/>
    <n v="3"/>
    <n v="6"/>
    <n v="3"/>
    <n v="38.434923921957697"/>
    <x v="19"/>
    <n v="53"/>
    <n v="2"/>
    <n v="1"/>
    <n v="1"/>
    <s v="C357"/>
    <x v="1"/>
    <x v="3"/>
    <x v="2"/>
    <x v="2"/>
    <x v="1"/>
    <s v="Needs Improvement"/>
    <x v="0"/>
    <n v="56"/>
    <x v="0"/>
    <x v="2"/>
    <x v="1"/>
    <s v="Work on communication and personality development"/>
  </r>
  <r>
    <n v="35"/>
    <x v="0"/>
    <n v="2"/>
    <n v="0"/>
    <n v="2"/>
    <n v="11.6571059656968"/>
    <x v="78"/>
    <n v="9"/>
    <n v="3"/>
    <n v="2"/>
    <n v="0"/>
    <s v="C358"/>
    <x v="0"/>
    <x v="0"/>
    <x v="0"/>
    <x v="0"/>
    <x v="2"/>
    <s v="Needs Improvement"/>
    <x v="1"/>
    <n v="18"/>
    <x v="1"/>
    <x v="2"/>
    <x v="1"/>
    <s v="Work on communication and personality development"/>
  </r>
  <r>
    <n v="45"/>
    <x v="0"/>
    <n v="1"/>
    <n v="11"/>
    <n v="3"/>
    <n v="44.358867722567602"/>
    <x v="99"/>
    <n v="88"/>
    <n v="87"/>
    <n v="2"/>
    <n v="0"/>
    <s v="C359"/>
    <x v="0"/>
    <x v="2"/>
    <x v="1"/>
    <x v="0"/>
    <x v="0"/>
    <s v="Strong"/>
    <x v="1"/>
    <n v="71"/>
    <x v="0"/>
    <x v="1"/>
    <x v="0"/>
    <s v="Improve interview preparation and communication"/>
  </r>
  <r>
    <n v="35"/>
    <x v="0"/>
    <n v="2"/>
    <n v="6"/>
    <n v="1"/>
    <n v="48.792157358758097"/>
    <x v="18"/>
    <n v="76"/>
    <n v="30"/>
    <n v="2"/>
    <n v="0"/>
    <s v="C360"/>
    <x v="0"/>
    <x v="0"/>
    <x v="2"/>
    <x v="1"/>
    <x v="0"/>
    <s v="Needs Improvement"/>
    <x v="1"/>
    <n v="57"/>
    <x v="0"/>
    <x v="1"/>
    <x v="1"/>
    <s v="Work on communication and personality development"/>
  </r>
  <r>
    <n v="44"/>
    <x v="0"/>
    <n v="3"/>
    <n v="15"/>
    <n v="2"/>
    <n v="12.8357652922434"/>
    <x v="98"/>
    <n v="15"/>
    <n v="44"/>
    <n v="2"/>
    <n v="0"/>
    <s v="C361"/>
    <x v="0"/>
    <x v="3"/>
    <x v="1"/>
    <x v="0"/>
    <x v="2"/>
    <s v="Needs Improvement"/>
    <x v="1"/>
    <n v="34"/>
    <x v="1"/>
    <x v="0"/>
    <x v="0"/>
    <s v="Improve interview preparation and communication"/>
  </r>
  <r>
    <n v="39"/>
    <x v="0"/>
    <n v="3"/>
    <n v="2"/>
    <n v="1"/>
    <n v="45.130772875862199"/>
    <x v="71"/>
    <n v="40"/>
    <n v="58"/>
    <n v="2"/>
    <n v="0"/>
    <s v="C362"/>
    <x v="0"/>
    <x v="3"/>
    <x v="0"/>
    <x v="0"/>
    <x v="2"/>
    <s v="Good"/>
    <x v="1"/>
    <n v="36"/>
    <x v="1"/>
    <x v="0"/>
    <x v="0"/>
    <s v="Improve interview preparation and communication"/>
  </r>
  <r>
    <n v="47"/>
    <x v="0"/>
    <n v="3"/>
    <n v="13"/>
    <n v="2"/>
    <n v="5.8489381258047697"/>
    <x v="50"/>
    <n v="97"/>
    <n v="44"/>
    <n v="1"/>
    <n v="1"/>
    <s v="C363"/>
    <x v="0"/>
    <x v="3"/>
    <x v="1"/>
    <x v="0"/>
    <x v="0"/>
    <s v="Needs Improvement"/>
    <x v="0"/>
    <n v="60"/>
    <x v="0"/>
    <x v="1"/>
    <x v="0"/>
    <s v="Improve interview preparation and communication"/>
  </r>
  <r>
    <n v="36"/>
    <x v="0"/>
    <n v="2"/>
    <n v="8"/>
    <n v="4"/>
    <n v="3.7853418057622501"/>
    <x v="83"/>
    <n v="54"/>
    <n v="74"/>
    <n v="3"/>
    <n v="1"/>
    <s v="C364"/>
    <x v="0"/>
    <x v="0"/>
    <x v="1"/>
    <x v="2"/>
    <x v="1"/>
    <s v="Good"/>
    <x v="0"/>
    <n v="64"/>
    <x v="0"/>
    <x v="2"/>
    <x v="2"/>
    <s v="Strengthen technical skills and practical knowledge"/>
  </r>
  <r>
    <n v="21"/>
    <x v="0"/>
    <n v="1"/>
    <n v="14"/>
    <n v="4"/>
    <n v="7.4611900051374596"/>
    <x v="77"/>
    <n v="100"/>
    <n v="36"/>
    <n v="1"/>
    <n v="1"/>
    <s v="C365"/>
    <x v="0"/>
    <x v="2"/>
    <x v="1"/>
    <x v="0"/>
    <x v="0"/>
    <s v="Needs Improvement"/>
    <x v="0"/>
    <n v="66"/>
    <x v="0"/>
    <x v="1"/>
    <x v="1"/>
    <s v="Work on communication and personality development"/>
  </r>
  <r>
    <n v="20"/>
    <x v="1"/>
    <n v="3"/>
    <n v="5"/>
    <n v="4"/>
    <n v="3.8870539733517999"/>
    <x v="26"/>
    <n v="60"/>
    <n v="64"/>
    <n v="3"/>
    <n v="0"/>
    <s v="C366"/>
    <x v="1"/>
    <x v="3"/>
    <x v="2"/>
    <x v="0"/>
    <x v="1"/>
    <s v="Good"/>
    <x v="1"/>
    <n v="51"/>
    <x v="0"/>
    <x v="0"/>
    <x v="0"/>
    <s v="Improve interview preparation and communication"/>
  </r>
  <r>
    <n v="35"/>
    <x v="1"/>
    <n v="2"/>
    <n v="8"/>
    <n v="1"/>
    <n v="43.250611857788797"/>
    <x v="14"/>
    <n v="85"/>
    <n v="8"/>
    <n v="2"/>
    <n v="0"/>
    <s v="C367"/>
    <x v="1"/>
    <x v="0"/>
    <x v="1"/>
    <x v="1"/>
    <x v="0"/>
    <s v="Needs Improvement"/>
    <x v="1"/>
    <n v="59"/>
    <x v="0"/>
    <x v="1"/>
    <x v="1"/>
    <s v="Work on communication and personality development"/>
  </r>
  <r>
    <n v="49"/>
    <x v="1"/>
    <n v="2"/>
    <n v="12"/>
    <n v="5"/>
    <n v="3.95250722291359"/>
    <x v="49"/>
    <n v="80"/>
    <n v="16"/>
    <n v="2"/>
    <n v="0"/>
    <s v="C368"/>
    <x v="1"/>
    <x v="0"/>
    <x v="1"/>
    <x v="0"/>
    <x v="0"/>
    <s v="Needs Improvement"/>
    <x v="1"/>
    <n v="43"/>
    <x v="1"/>
    <x v="1"/>
    <x v="0"/>
    <s v="Improve interview preparation and communication"/>
  </r>
  <r>
    <n v="31"/>
    <x v="1"/>
    <n v="3"/>
    <n v="14"/>
    <n v="2"/>
    <n v="14.583209568182699"/>
    <x v="24"/>
    <n v="86"/>
    <n v="64"/>
    <n v="1"/>
    <n v="1"/>
    <s v="C369"/>
    <x v="1"/>
    <x v="3"/>
    <x v="1"/>
    <x v="2"/>
    <x v="0"/>
    <s v="Good"/>
    <x v="0"/>
    <n v="81"/>
    <x v="2"/>
    <x v="1"/>
    <x v="1"/>
    <s v="Work on communication and personality development"/>
  </r>
  <r>
    <n v="24"/>
    <x v="0"/>
    <n v="3"/>
    <n v="4"/>
    <n v="4"/>
    <n v="6.1878171767928096"/>
    <x v="75"/>
    <n v="99"/>
    <n v="2"/>
    <n v="1"/>
    <n v="1"/>
    <s v="C370"/>
    <x v="0"/>
    <x v="3"/>
    <x v="2"/>
    <x v="0"/>
    <x v="0"/>
    <s v="Needs Improvement"/>
    <x v="0"/>
    <n v="52"/>
    <x v="0"/>
    <x v="1"/>
    <x v="1"/>
    <s v="Work on communication and personality development"/>
  </r>
  <r>
    <n v="24"/>
    <x v="1"/>
    <n v="2"/>
    <n v="6"/>
    <n v="2"/>
    <n v="15.771101815688199"/>
    <x v="7"/>
    <n v="48"/>
    <n v="25"/>
    <n v="1"/>
    <n v="0"/>
    <s v="C371"/>
    <x v="1"/>
    <x v="0"/>
    <x v="2"/>
    <x v="0"/>
    <x v="2"/>
    <s v="Needs Improvement"/>
    <x v="1"/>
    <n v="30"/>
    <x v="1"/>
    <x v="1"/>
    <x v="0"/>
    <s v="Improve interview preparation and communication"/>
  </r>
  <r>
    <n v="46"/>
    <x v="0"/>
    <n v="2"/>
    <n v="12"/>
    <n v="1"/>
    <n v="5.5279733800460198"/>
    <x v="28"/>
    <n v="72"/>
    <n v="52"/>
    <n v="1"/>
    <n v="1"/>
    <s v="C372"/>
    <x v="0"/>
    <x v="0"/>
    <x v="1"/>
    <x v="2"/>
    <x v="1"/>
    <s v="Good"/>
    <x v="0"/>
    <n v="70"/>
    <x v="0"/>
    <x v="2"/>
    <x v="1"/>
    <s v="Work on communication and personality development"/>
  </r>
  <r>
    <n v="42"/>
    <x v="1"/>
    <n v="2"/>
    <n v="15"/>
    <n v="5"/>
    <n v="34.400162537150699"/>
    <x v="93"/>
    <n v="51"/>
    <n v="30"/>
    <n v="2"/>
    <n v="0"/>
    <s v="C373"/>
    <x v="1"/>
    <x v="0"/>
    <x v="1"/>
    <x v="1"/>
    <x v="1"/>
    <s v="Needs Improvement"/>
    <x v="1"/>
    <n v="59"/>
    <x v="0"/>
    <x v="2"/>
    <x v="1"/>
    <s v="Work on communication and personality development"/>
  </r>
  <r>
    <n v="28"/>
    <x v="1"/>
    <n v="2"/>
    <n v="13"/>
    <n v="1"/>
    <n v="7.6663408171287504"/>
    <x v="37"/>
    <n v="1"/>
    <n v="25"/>
    <n v="2"/>
    <n v="0"/>
    <s v="C374"/>
    <x v="1"/>
    <x v="0"/>
    <x v="1"/>
    <x v="0"/>
    <x v="2"/>
    <s v="Needs Improvement"/>
    <x v="1"/>
    <n v="25"/>
    <x v="1"/>
    <x v="0"/>
    <x v="2"/>
    <s v="Strengthen technical skills and practical knowledge"/>
  </r>
  <r>
    <n v="28"/>
    <x v="1"/>
    <n v="2"/>
    <n v="3"/>
    <n v="2"/>
    <n v="43.592296291944301"/>
    <x v="91"/>
    <n v="95"/>
    <n v="22"/>
    <n v="2"/>
    <n v="0"/>
    <s v="C375"/>
    <x v="1"/>
    <x v="0"/>
    <x v="2"/>
    <x v="0"/>
    <x v="0"/>
    <s v="Needs Improvement"/>
    <x v="1"/>
    <n v="38"/>
    <x v="1"/>
    <x v="1"/>
    <x v="0"/>
    <s v="Improve interview preparation and communication"/>
  </r>
  <r>
    <n v="22"/>
    <x v="0"/>
    <n v="3"/>
    <n v="14"/>
    <n v="5"/>
    <n v="41.859552536331996"/>
    <x v="3"/>
    <n v="49"/>
    <n v="29"/>
    <n v="1"/>
    <n v="1"/>
    <s v="C376"/>
    <x v="0"/>
    <x v="3"/>
    <x v="1"/>
    <x v="0"/>
    <x v="2"/>
    <s v="Needs Improvement"/>
    <x v="0"/>
    <n v="49"/>
    <x v="1"/>
    <x v="1"/>
    <x v="1"/>
    <s v="Work on communication and personality development"/>
  </r>
  <r>
    <n v="38"/>
    <x v="1"/>
    <n v="3"/>
    <n v="15"/>
    <n v="5"/>
    <n v="1.6830842735304701"/>
    <x v="24"/>
    <n v="85"/>
    <n v="9"/>
    <n v="3"/>
    <n v="1"/>
    <s v="C377"/>
    <x v="1"/>
    <x v="3"/>
    <x v="1"/>
    <x v="2"/>
    <x v="0"/>
    <s v="Needs Improvement"/>
    <x v="0"/>
    <n v="71"/>
    <x v="0"/>
    <x v="1"/>
    <x v="1"/>
    <s v="Work on communication and personality development"/>
  </r>
  <r>
    <n v="35"/>
    <x v="0"/>
    <n v="3"/>
    <n v="6"/>
    <n v="1"/>
    <n v="45.786317775755698"/>
    <x v="3"/>
    <n v="42"/>
    <n v="71"/>
    <n v="2"/>
    <n v="0"/>
    <s v="C378"/>
    <x v="0"/>
    <x v="3"/>
    <x v="2"/>
    <x v="0"/>
    <x v="2"/>
    <s v="Good"/>
    <x v="1"/>
    <n v="47"/>
    <x v="1"/>
    <x v="0"/>
    <x v="0"/>
    <s v="Improve interview preparation and communication"/>
  </r>
  <r>
    <n v="35"/>
    <x v="0"/>
    <n v="1"/>
    <n v="12"/>
    <n v="4"/>
    <n v="2.4472158371683501"/>
    <x v="8"/>
    <n v="76"/>
    <n v="88"/>
    <n v="1"/>
    <n v="1"/>
    <s v="C379"/>
    <x v="0"/>
    <x v="2"/>
    <x v="1"/>
    <x v="2"/>
    <x v="0"/>
    <s v="Strong"/>
    <x v="0"/>
    <n v="79"/>
    <x v="2"/>
    <x v="0"/>
    <x v="2"/>
    <s v="Strengthen technical skills and practical knowledge"/>
  </r>
  <r>
    <n v="22"/>
    <x v="1"/>
    <n v="3"/>
    <n v="0"/>
    <n v="2"/>
    <n v="12.9822892478778"/>
    <x v="81"/>
    <n v="7"/>
    <n v="63"/>
    <n v="2"/>
    <n v="0"/>
    <s v="C380"/>
    <x v="1"/>
    <x v="3"/>
    <x v="0"/>
    <x v="1"/>
    <x v="2"/>
    <s v="Good"/>
    <x v="1"/>
    <n v="37"/>
    <x v="1"/>
    <x v="2"/>
    <x v="2"/>
    <s v="Strengthen technical skills and practical knowledge"/>
  </r>
  <r>
    <n v="39"/>
    <x v="1"/>
    <n v="3"/>
    <n v="6"/>
    <n v="3"/>
    <n v="2.6194568887997498"/>
    <x v="72"/>
    <n v="58"/>
    <n v="21"/>
    <n v="1"/>
    <n v="1"/>
    <s v="C381"/>
    <x v="1"/>
    <x v="3"/>
    <x v="2"/>
    <x v="2"/>
    <x v="1"/>
    <s v="Needs Improvement"/>
    <x v="0"/>
    <n v="58"/>
    <x v="0"/>
    <x v="2"/>
    <x v="1"/>
    <s v="Work on communication and personality development"/>
  </r>
  <r>
    <n v="43"/>
    <x v="1"/>
    <n v="2"/>
    <n v="7"/>
    <n v="3"/>
    <n v="17.792174351965699"/>
    <x v="60"/>
    <n v="64"/>
    <n v="14"/>
    <n v="1"/>
    <n v="1"/>
    <s v="C382"/>
    <x v="1"/>
    <x v="0"/>
    <x v="1"/>
    <x v="2"/>
    <x v="1"/>
    <s v="Needs Improvement"/>
    <x v="0"/>
    <n v="57"/>
    <x v="0"/>
    <x v="2"/>
    <x v="1"/>
    <s v="Work on communication and personality development"/>
  </r>
  <r>
    <n v="41"/>
    <x v="0"/>
    <n v="3"/>
    <n v="4"/>
    <n v="1"/>
    <n v="26.693326285663499"/>
    <x v="32"/>
    <n v="80"/>
    <n v="55"/>
    <n v="2"/>
    <n v="0"/>
    <s v="C383"/>
    <x v="0"/>
    <x v="3"/>
    <x v="2"/>
    <x v="1"/>
    <x v="0"/>
    <s v="Good"/>
    <x v="1"/>
    <n v="61"/>
    <x v="0"/>
    <x v="1"/>
    <x v="1"/>
    <s v="Work on communication and personality development"/>
  </r>
  <r>
    <n v="43"/>
    <x v="1"/>
    <n v="3"/>
    <n v="1"/>
    <n v="2"/>
    <n v="40.832243450756899"/>
    <x v="85"/>
    <n v="11"/>
    <n v="73"/>
    <n v="2"/>
    <n v="0"/>
    <s v="C384"/>
    <x v="1"/>
    <x v="3"/>
    <x v="0"/>
    <x v="1"/>
    <x v="2"/>
    <s v="Good"/>
    <x v="1"/>
    <n v="44"/>
    <x v="1"/>
    <x v="0"/>
    <x v="2"/>
    <s v="Strengthen technical skills and practical knowledge"/>
  </r>
  <r>
    <n v="20"/>
    <x v="0"/>
    <n v="2"/>
    <n v="4"/>
    <n v="2"/>
    <n v="17.899077523491801"/>
    <x v="44"/>
    <n v="3"/>
    <n v="19"/>
    <n v="3"/>
    <n v="0"/>
    <s v="C385"/>
    <x v="0"/>
    <x v="0"/>
    <x v="2"/>
    <x v="1"/>
    <x v="2"/>
    <s v="Needs Improvement"/>
    <x v="1"/>
    <n v="29"/>
    <x v="1"/>
    <x v="2"/>
    <x v="2"/>
    <s v="Strengthen technical skills and practical knowledge"/>
  </r>
  <r>
    <n v="43"/>
    <x v="0"/>
    <n v="2"/>
    <n v="5"/>
    <n v="1"/>
    <n v="36.274501233655798"/>
    <x v="64"/>
    <n v="76"/>
    <n v="46"/>
    <n v="2"/>
    <n v="0"/>
    <s v="C386"/>
    <x v="0"/>
    <x v="0"/>
    <x v="2"/>
    <x v="0"/>
    <x v="0"/>
    <s v="Needs Improvement"/>
    <x v="1"/>
    <n v="49"/>
    <x v="1"/>
    <x v="1"/>
    <x v="0"/>
    <s v="Improve interview preparation and communication"/>
  </r>
  <r>
    <n v="39"/>
    <x v="1"/>
    <n v="1"/>
    <n v="11"/>
    <n v="2"/>
    <n v="10.375222855949"/>
    <x v="36"/>
    <n v="94"/>
    <n v="86"/>
    <n v="3"/>
    <n v="0"/>
    <s v="C387"/>
    <x v="1"/>
    <x v="2"/>
    <x v="1"/>
    <x v="1"/>
    <x v="0"/>
    <s v="Strong"/>
    <x v="1"/>
    <n v="78"/>
    <x v="2"/>
    <x v="1"/>
    <x v="0"/>
    <s v="Improve interview preparation and communication"/>
  </r>
  <r>
    <n v="30"/>
    <x v="1"/>
    <n v="2"/>
    <n v="1"/>
    <n v="4"/>
    <n v="38.5299228372063"/>
    <x v="47"/>
    <n v="40"/>
    <n v="52"/>
    <n v="3"/>
    <n v="0"/>
    <s v="C388"/>
    <x v="1"/>
    <x v="0"/>
    <x v="0"/>
    <x v="0"/>
    <x v="2"/>
    <s v="Good"/>
    <x v="1"/>
    <n v="35"/>
    <x v="1"/>
    <x v="0"/>
    <x v="0"/>
    <s v="Improve interview preparation and communication"/>
  </r>
  <r>
    <n v="36"/>
    <x v="0"/>
    <n v="2"/>
    <n v="13"/>
    <n v="1"/>
    <n v="12.799830295461801"/>
    <x v="92"/>
    <n v="6"/>
    <n v="52"/>
    <n v="3"/>
    <n v="0"/>
    <s v="C389"/>
    <x v="0"/>
    <x v="0"/>
    <x v="1"/>
    <x v="0"/>
    <x v="2"/>
    <s v="Good"/>
    <x v="1"/>
    <n v="33"/>
    <x v="1"/>
    <x v="0"/>
    <x v="2"/>
    <s v="Strengthen technical skills and practical knowledge"/>
  </r>
  <r>
    <n v="27"/>
    <x v="0"/>
    <n v="3"/>
    <n v="5"/>
    <n v="4"/>
    <n v="8.1772377971883898"/>
    <x v="87"/>
    <n v="86"/>
    <n v="0"/>
    <n v="2"/>
    <n v="0"/>
    <s v="C390"/>
    <x v="0"/>
    <x v="3"/>
    <x v="2"/>
    <x v="1"/>
    <x v="0"/>
    <s v="Needs Improvement"/>
    <x v="1"/>
    <n v="52"/>
    <x v="0"/>
    <x v="1"/>
    <x v="1"/>
    <s v="Work on communication and personality development"/>
  </r>
  <r>
    <n v="23"/>
    <x v="0"/>
    <n v="2"/>
    <n v="5"/>
    <n v="2"/>
    <n v="10.2704425187027"/>
    <x v="55"/>
    <n v="87"/>
    <n v="1"/>
    <n v="1"/>
    <n v="1"/>
    <s v="C391"/>
    <x v="0"/>
    <x v="0"/>
    <x v="2"/>
    <x v="2"/>
    <x v="0"/>
    <s v="Needs Improvement"/>
    <x v="0"/>
    <n v="58"/>
    <x v="0"/>
    <x v="1"/>
    <x v="1"/>
    <s v="Work on communication and personality development"/>
  </r>
  <r>
    <n v="25"/>
    <x v="1"/>
    <n v="1"/>
    <n v="0"/>
    <n v="1"/>
    <n v="10.103156444092701"/>
    <x v="70"/>
    <n v="68"/>
    <n v="57"/>
    <n v="1"/>
    <n v="1"/>
    <s v="C392"/>
    <x v="1"/>
    <x v="2"/>
    <x v="0"/>
    <x v="1"/>
    <x v="1"/>
    <s v="Good"/>
    <x v="0"/>
    <n v="56"/>
    <x v="0"/>
    <x v="2"/>
    <x v="1"/>
    <s v="Work on communication and personality development"/>
  </r>
  <r>
    <n v="27"/>
    <x v="0"/>
    <n v="2"/>
    <n v="13"/>
    <n v="2"/>
    <n v="26.6431439688495"/>
    <x v="4"/>
    <n v="68"/>
    <n v="18"/>
    <n v="2"/>
    <n v="0"/>
    <s v="C393"/>
    <x v="0"/>
    <x v="0"/>
    <x v="1"/>
    <x v="0"/>
    <x v="1"/>
    <s v="Needs Improvement"/>
    <x v="1"/>
    <n v="46"/>
    <x v="1"/>
    <x v="1"/>
    <x v="1"/>
    <s v="Work on communication and personality development"/>
  </r>
  <r>
    <n v="39"/>
    <x v="1"/>
    <n v="1"/>
    <n v="0"/>
    <n v="1"/>
    <n v="43.239879059407301"/>
    <x v="62"/>
    <n v="80"/>
    <n v="61"/>
    <n v="2"/>
    <n v="0"/>
    <s v="C394"/>
    <x v="1"/>
    <x v="2"/>
    <x v="0"/>
    <x v="0"/>
    <x v="0"/>
    <s v="Good"/>
    <x v="1"/>
    <n v="40"/>
    <x v="1"/>
    <x v="1"/>
    <x v="0"/>
    <s v="Improve interview preparation and communication"/>
  </r>
  <r>
    <n v="49"/>
    <x v="0"/>
    <n v="1"/>
    <n v="13"/>
    <n v="2"/>
    <n v="4.9802538496252797"/>
    <x v="3"/>
    <n v="29"/>
    <n v="77"/>
    <n v="1"/>
    <n v="1"/>
    <s v="C395"/>
    <x v="0"/>
    <x v="2"/>
    <x v="1"/>
    <x v="0"/>
    <x v="2"/>
    <s v="Strong"/>
    <x v="0"/>
    <n v="50"/>
    <x v="0"/>
    <x v="0"/>
    <x v="2"/>
    <s v="Strengthen technical skills and practical knowledge"/>
  </r>
  <r>
    <n v="22"/>
    <x v="0"/>
    <n v="1"/>
    <n v="10"/>
    <n v="4"/>
    <n v="36.347815924671103"/>
    <x v="62"/>
    <n v="72"/>
    <n v="71"/>
    <n v="2"/>
    <n v="0"/>
    <s v="C396"/>
    <x v="0"/>
    <x v="2"/>
    <x v="1"/>
    <x v="0"/>
    <x v="1"/>
    <s v="Good"/>
    <x v="1"/>
    <n v="49"/>
    <x v="1"/>
    <x v="1"/>
    <x v="0"/>
    <s v="Improve interview preparation and communication"/>
  </r>
  <r>
    <n v="35"/>
    <x v="1"/>
    <n v="1"/>
    <n v="15"/>
    <n v="4"/>
    <n v="33.717322982642798"/>
    <x v="38"/>
    <n v="5"/>
    <n v="11"/>
    <n v="1"/>
    <n v="1"/>
    <s v="C397"/>
    <x v="1"/>
    <x v="2"/>
    <x v="1"/>
    <x v="2"/>
    <x v="2"/>
    <s v="Needs Improvement"/>
    <x v="0"/>
    <n v="44"/>
    <x v="1"/>
    <x v="2"/>
    <x v="2"/>
    <s v="Strengthen technical skills and practical knowledge"/>
  </r>
  <r>
    <n v="49"/>
    <x v="0"/>
    <n v="1"/>
    <n v="9"/>
    <n v="2"/>
    <n v="44.625997591468099"/>
    <x v="63"/>
    <n v="88"/>
    <n v="25"/>
    <n v="2"/>
    <n v="0"/>
    <s v="C398"/>
    <x v="0"/>
    <x v="2"/>
    <x v="1"/>
    <x v="2"/>
    <x v="0"/>
    <s v="Needs Improvement"/>
    <x v="1"/>
    <n v="69"/>
    <x v="0"/>
    <x v="2"/>
    <x v="1"/>
    <s v="Work on communication and personality development"/>
  </r>
  <r>
    <n v="44"/>
    <x v="1"/>
    <n v="2"/>
    <n v="2"/>
    <n v="1"/>
    <n v="13.207378025345299"/>
    <x v="38"/>
    <n v="18"/>
    <n v="26"/>
    <n v="1"/>
    <n v="0"/>
    <s v="C399"/>
    <x v="1"/>
    <x v="0"/>
    <x v="0"/>
    <x v="2"/>
    <x v="2"/>
    <s v="Needs Improvement"/>
    <x v="1"/>
    <n v="38"/>
    <x v="1"/>
    <x v="2"/>
    <x v="2"/>
    <s v="Strengthen technical skills and practical knowledge"/>
  </r>
  <r>
    <n v="22"/>
    <x v="1"/>
    <n v="2"/>
    <n v="13"/>
    <n v="3"/>
    <n v="23.5054929342514"/>
    <x v="50"/>
    <n v="79"/>
    <n v="28"/>
    <n v="2"/>
    <n v="0"/>
    <s v="C400"/>
    <x v="1"/>
    <x v="0"/>
    <x v="1"/>
    <x v="0"/>
    <x v="0"/>
    <s v="Needs Improvement"/>
    <x v="1"/>
    <n v="50"/>
    <x v="0"/>
    <x v="1"/>
    <x v="0"/>
    <s v="Improve interview preparation and communication"/>
  </r>
  <r>
    <n v="44"/>
    <x v="0"/>
    <n v="3"/>
    <n v="9"/>
    <n v="4"/>
    <n v="47.291368722175797"/>
    <x v="27"/>
    <n v="84"/>
    <n v="14"/>
    <n v="2"/>
    <n v="1"/>
    <s v="C401"/>
    <x v="0"/>
    <x v="3"/>
    <x v="1"/>
    <x v="2"/>
    <x v="0"/>
    <s v="Needs Improvement"/>
    <x v="0"/>
    <n v="67"/>
    <x v="0"/>
    <x v="2"/>
    <x v="1"/>
    <s v="Work on communication and personality development"/>
  </r>
  <r>
    <n v="48"/>
    <x v="1"/>
    <n v="2"/>
    <n v="9"/>
    <n v="4"/>
    <n v="33.999672506765798"/>
    <x v="36"/>
    <n v="65"/>
    <n v="45"/>
    <n v="1"/>
    <n v="1"/>
    <s v="C402"/>
    <x v="1"/>
    <x v="0"/>
    <x v="1"/>
    <x v="1"/>
    <x v="1"/>
    <s v="Needs Improvement"/>
    <x v="0"/>
    <n v="60"/>
    <x v="0"/>
    <x v="2"/>
    <x v="1"/>
    <s v="Work on communication and personality development"/>
  </r>
  <r>
    <n v="37"/>
    <x v="1"/>
    <n v="3"/>
    <n v="14"/>
    <n v="3"/>
    <n v="20.438420643079802"/>
    <x v="75"/>
    <n v="9"/>
    <n v="0"/>
    <n v="2"/>
    <n v="0"/>
    <s v="C403"/>
    <x v="1"/>
    <x v="3"/>
    <x v="1"/>
    <x v="0"/>
    <x v="2"/>
    <s v="Needs Improvement"/>
    <x v="1"/>
    <n v="35"/>
    <x v="1"/>
    <x v="2"/>
    <x v="1"/>
    <s v="Work on communication and personality development"/>
  </r>
  <r>
    <n v="33"/>
    <x v="0"/>
    <n v="1"/>
    <n v="11"/>
    <n v="2"/>
    <n v="7.5706191427634204"/>
    <x v="64"/>
    <n v="15"/>
    <n v="59"/>
    <n v="2"/>
    <n v="0"/>
    <s v="C404"/>
    <x v="0"/>
    <x v="2"/>
    <x v="1"/>
    <x v="0"/>
    <x v="2"/>
    <s v="Good"/>
    <x v="1"/>
    <n v="39"/>
    <x v="1"/>
    <x v="0"/>
    <x v="2"/>
    <s v="Strengthen technical skills and practical knowledge"/>
  </r>
  <r>
    <n v="37"/>
    <x v="1"/>
    <n v="2"/>
    <n v="2"/>
    <n v="1"/>
    <n v="14.124250395029501"/>
    <x v="46"/>
    <n v="36"/>
    <n v="91"/>
    <n v="1"/>
    <n v="0"/>
    <s v="C405"/>
    <x v="1"/>
    <x v="0"/>
    <x v="0"/>
    <x v="1"/>
    <x v="2"/>
    <s v="Strong"/>
    <x v="1"/>
    <n v="51"/>
    <x v="0"/>
    <x v="0"/>
    <x v="2"/>
    <s v="Strengthen technical skills and practical knowledge"/>
  </r>
  <r>
    <n v="21"/>
    <x v="1"/>
    <n v="3"/>
    <n v="3"/>
    <n v="2"/>
    <n v="30.060773874469099"/>
    <x v="24"/>
    <n v="78"/>
    <n v="56"/>
    <n v="1"/>
    <n v="1"/>
    <s v="C406"/>
    <x v="1"/>
    <x v="3"/>
    <x v="2"/>
    <x v="2"/>
    <x v="0"/>
    <s v="Good"/>
    <x v="0"/>
    <n v="66"/>
    <x v="0"/>
    <x v="2"/>
    <x v="1"/>
    <s v="Work on communication and personality development"/>
  </r>
  <r>
    <n v="41"/>
    <x v="1"/>
    <n v="1"/>
    <n v="1"/>
    <n v="5"/>
    <n v="36.908397378025597"/>
    <x v="14"/>
    <n v="76"/>
    <n v="2"/>
    <n v="2"/>
    <n v="0"/>
    <s v="C407"/>
    <x v="1"/>
    <x v="2"/>
    <x v="0"/>
    <x v="1"/>
    <x v="0"/>
    <s v="Needs Improvement"/>
    <x v="1"/>
    <n v="48"/>
    <x v="1"/>
    <x v="1"/>
    <x v="1"/>
    <s v="Work on communication and personality development"/>
  </r>
  <r>
    <n v="22"/>
    <x v="0"/>
    <n v="2"/>
    <n v="8"/>
    <n v="4"/>
    <n v="7.2210943425946699"/>
    <x v="76"/>
    <n v="76"/>
    <n v="17"/>
    <n v="2"/>
    <n v="0"/>
    <s v="C408"/>
    <x v="0"/>
    <x v="0"/>
    <x v="1"/>
    <x v="0"/>
    <x v="0"/>
    <s v="Needs Improvement"/>
    <x v="1"/>
    <n v="45"/>
    <x v="1"/>
    <x v="1"/>
    <x v="1"/>
    <s v="Work on communication and personality development"/>
  </r>
  <r>
    <n v="35"/>
    <x v="1"/>
    <n v="2"/>
    <n v="9"/>
    <n v="5"/>
    <n v="30.979863002202698"/>
    <x v="16"/>
    <n v="31"/>
    <n v="51"/>
    <n v="2"/>
    <n v="0"/>
    <s v="C409"/>
    <x v="1"/>
    <x v="0"/>
    <x v="1"/>
    <x v="0"/>
    <x v="2"/>
    <s v="Good"/>
    <x v="1"/>
    <n v="41"/>
    <x v="1"/>
    <x v="0"/>
    <x v="2"/>
    <s v="Strengthen technical skills and practical knowledge"/>
  </r>
  <r>
    <n v="48"/>
    <x v="0"/>
    <n v="2"/>
    <n v="11"/>
    <n v="4"/>
    <n v="28.5175639419375"/>
    <x v="51"/>
    <n v="46"/>
    <n v="59"/>
    <n v="1"/>
    <n v="0"/>
    <s v="C410"/>
    <x v="0"/>
    <x v="0"/>
    <x v="1"/>
    <x v="0"/>
    <x v="2"/>
    <s v="Good"/>
    <x v="1"/>
    <n v="42"/>
    <x v="1"/>
    <x v="0"/>
    <x v="0"/>
    <s v="Improve interview preparation and communication"/>
  </r>
  <r>
    <n v="28"/>
    <x v="0"/>
    <n v="1"/>
    <n v="10"/>
    <n v="4"/>
    <n v="26.697772334535401"/>
    <x v="48"/>
    <n v="71"/>
    <n v="33"/>
    <n v="2"/>
    <n v="0"/>
    <s v="C411"/>
    <x v="0"/>
    <x v="2"/>
    <x v="1"/>
    <x v="1"/>
    <x v="1"/>
    <s v="Needs Improvement"/>
    <x v="1"/>
    <n v="60"/>
    <x v="0"/>
    <x v="1"/>
    <x v="1"/>
    <s v="Work on communication and personality development"/>
  </r>
  <r>
    <n v="23"/>
    <x v="1"/>
    <n v="2"/>
    <n v="13"/>
    <n v="5"/>
    <n v="35.506155884100302"/>
    <x v="89"/>
    <n v="42"/>
    <n v="95"/>
    <n v="1"/>
    <n v="1"/>
    <s v="C412"/>
    <x v="1"/>
    <x v="0"/>
    <x v="1"/>
    <x v="0"/>
    <x v="2"/>
    <s v="Strong"/>
    <x v="0"/>
    <n v="59"/>
    <x v="0"/>
    <x v="0"/>
    <x v="0"/>
    <s v="Improve interview preparation and communication"/>
  </r>
  <r>
    <n v="20"/>
    <x v="1"/>
    <n v="2"/>
    <n v="6"/>
    <n v="5"/>
    <n v="42.872479754173"/>
    <x v="79"/>
    <n v="81"/>
    <n v="92"/>
    <n v="3"/>
    <n v="1"/>
    <s v="C413"/>
    <x v="1"/>
    <x v="0"/>
    <x v="2"/>
    <x v="2"/>
    <x v="0"/>
    <s v="Strong"/>
    <x v="0"/>
    <n v="76"/>
    <x v="2"/>
    <x v="0"/>
    <x v="2"/>
    <s v="Strengthen technical skills and practical knowledge"/>
  </r>
  <r>
    <n v="23"/>
    <x v="1"/>
    <n v="1"/>
    <n v="6"/>
    <n v="2"/>
    <n v="17.1494841588434"/>
    <x v="98"/>
    <n v="35"/>
    <n v="88"/>
    <n v="2"/>
    <n v="0"/>
    <s v="C414"/>
    <x v="1"/>
    <x v="2"/>
    <x v="2"/>
    <x v="0"/>
    <x v="2"/>
    <s v="Strong"/>
    <x v="1"/>
    <n v="39"/>
    <x v="1"/>
    <x v="0"/>
    <x v="0"/>
    <s v="Improve interview preparation and communication"/>
  </r>
  <r>
    <n v="20"/>
    <x v="0"/>
    <n v="2"/>
    <n v="14"/>
    <n v="5"/>
    <n v="45.450609505547902"/>
    <x v="87"/>
    <n v="25"/>
    <n v="59"/>
    <n v="3"/>
    <n v="0"/>
    <s v="C415"/>
    <x v="0"/>
    <x v="0"/>
    <x v="1"/>
    <x v="1"/>
    <x v="2"/>
    <s v="Good"/>
    <x v="1"/>
    <n v="54"/>
    <x v="0"/>
    <x v="2"/>
    <x v="2"/>
    <s v="Strengthen technical skills and practical knowledge"/>
  </r>
  <r>
    <n v="33"/>
    <x v="1"/>
    <n v="3"/>
    <n v="5"/>
    <n v="2"/>
    <n v="9.0316806309275304"/>
    <x v="34"/>
    <n v="9"/>
    <n v="25"/>
    <n v="2"/>
    <n v="0"/>
    <s v="C416"/>
    <x v="1"/>
    <x v="3"/>
    <x v="2"/>
    <x v="0"/>
    <x v="2"/>
    <s v="Needs Improvement"/>
    <x v="1"/>
    <n v="21"/>
    <x v="1"/>
    <x v="0"/>
    <x v="2"/>
    <s v="Strengthen technical skills and practical knowledge"/>
  </r>
  <r>
    <n v="40"/>
    <x v="1"/>
    <n v="4"/>
    <n v="14"/>
    <n v="2"/>
    <n v="9.6511934875582099"/>
    <x v="74"/>
    <n v="30"/>
    <n v="71"/>
    <n v="2"/>
    <n v="1"/>
    <s v="C417"/>
    <x v="1"/>
    <x v="1"/>
    <x v="1"/>
    <x v="2"/>
    <x v="2"/>
    <s v="Good"/>
    <x v="0"/>
    <n v="72"/>
    <x v="0"/>
    <x v="2"/>
    <x v="2"/>
    <s v="Strengthen technical skills and practical knowledge"/>
  </r>
  <r>
    <n v="35"/>
    <x v="1"/>
    <n v="2"/>
    <n v="2"/>
    <n v="2"/>
    <n v="14.338603181196101"/>
    <x v="21"/>
    <n v="96"/>
    <n v="18"/>
    <n v="2"/>
    <n v="0"/>
    <s v="C418"/>
    <x v="1"/>
    <x v="0"/>
    <x v="0"/>
    <x v="1"/>
    <x v="0"/>
    <s v="Needs Improvement"/>
    <x v="1"/>
    <n v="54"/>
    <x v="0"/>
    <x v="1"/>
    <x v="1"/>
    <s v="Work on communication and personality development"/>
  </r>
  <r>
    <n v="39"/>
    <x v="1"/>
    <n v="3"/>
    <n v="5"/>
    <n v="4"/>
    <n v="6.9765434773538901"/>
    <x v="93"/>
    <n v="28"/>
    <n v="21"/>
    <n v="2"/>
    <n v="0"/>
    <s v="C419"/>
    <x v="1"/>
    <x v="3"/>
    <x v="2"/>
    <x v="1"/>
    <x v="2"/>
    <s v="Needs Improvement"/>
    <x v="1"/>
    <n v="42"/>
    <x v="1"/>
    <x v="2"/>
    <x v="1"/>
    <s v="Work on communication and personality development"/>
  </r>
  <r>
    <n v="43"/>
    <x v="1"/>
    <n v="2"/>
    <n v="14"/>
    <n v="4"/>
    <n v="12.5159612341438"/>
    <x v="71"/>
    <n v="4"/>
    <n v="92"/>
    <n v="2"/>
    <n v="0"/>
    <s v="C420"/>
    <x v="1"/>
    <x v="0"/>
    <x v="1"/>
    <x v="0"/>
    <x v="2"/>
    <s v="Strong"/>
    <x v="1"/>
    <n v="42"/>
    <x v="1"/>
    <x v="0"/>
    <x v="2"/>
    <s v="Strengthen technical skills and practical knowledge"/>
  </r>
  <r>
    <n v="27"/>
    <x v="0"/>
    <n v="2"/>
    <n v="13"/>
    <n v="5"/>
    <n v="6.3205881451422297"/>
    <x v="81"/>
    <n v="76"/>
    <n v="32"/>
    <n v="2"/>
    <n v="0"/>
    <s v="C421"/>
    <x v="0"/>
    <x v="0"/>
    <x v="1"/>
    <x v="1"/>
    <x v="0"/>
    <s v="Needs Improvement"/>
    <x v="1"/>
    <n v="64"/>
    <x v="0"/>
    <x v="1"/>
    <x v="1"/>
    <s v="Work on communication and personality development"/>
  </r>
  <r>
    <n v="26"/>
    <x v="0"/>
    <n v="1"/>
    <n v="11"/>
    <n v="4"/>
    <n v="42.087620849269499"/>
    <x v="42"/>
    <n v="0"/>
    <n v="37"/>
    <n v="2"/>
    <n v="0"/>
    <s v="C422"/>
    <x v="0"/>
    <x v="2"/>
    <x v="1"/>
    <x v="0"/>
    <x v="2"/>
    <s v="Needs Improvement"/>
    <x v="1"/>
    <n v="33"/>
    <x v="1"/>
    <x v="2"/>
    <x v="2"/>
    <s v="Strengthen technical skills and practical knowledge"/>
  </r>
  <r>
    <n v="22"/>
    <x v="1"/>
    <n v="3"/>
    <n v="7"/>
    <n v="5"/>
    <n v="7.9484495943312297"/>
    <x v="80"/>
    <n v="86"/>
    <n v="34"/>
    <n v="2"/>
    <n v="1"/>
    <s v="C423"/>
    <x v="1"/>
    <x v="3"/>
    <x v="1"/>
    <x v="2"/>
    <x v="0"/>
    <s v="Needs Improvement"/>
    <x v="0"/>
    <n v="69"/>
    <x v="0"/>
    <x v="2"/>
    <x v="1"/>
    <s v="Work on communication and personality development"/>
  </r>
  <r>
    <n v="36"/>
    <x v="1"/>
    <n v="2"/>
    <n v="7"/>
    <n v="4"/>
    <n v="38.364877877992797"/>
    <x v="11"/>
    <n v="2"/>
    <n v="66"/>
    <n v="2"/>
    <n v="0"/>
    <s v="C424"/>
    <x v="1"/>
    <x v="0"/>
    <x v="1"/>
    <x v="1"/>
    <x v="2"/>
    <s v="Good"/>
    <x v="1"/>
    <n v="44"/>
    <x v="1"/>
    <x v="2"/>
    <x v="2"/>
    <s v="Strengthen technical skills and practical knowledge"/>
  </r>
  <r>
    <n v="20"/>
    <x v="1"/>
    <n v="2"/>
    <n v="10"/>
    <n v="1"/>
    <n v="3.3956933956666799"/>
    <x v="66"/>
    <n v="66"/>
    <n v="82"/>
    <n v="3"/>
    <n v="0"/>
    <s v="C425"/>
    <x v="1"/>
    <x v="0"/>
    <x v="1"/>
    <x v="1"/>
    <x v="1"/>
    <s v="Strong"/>
    <x v="1"/>
    <n v="65"/>
    <x v="0"/>
    <x v="0"/>
    <x v="0"/>
    <s v="Improve interview preparation and communication"/>
  </r>
  <r>
    <n v="35"/>
    <x v="1"/>
    <n v="1"/>
    <n v="12"/>
    <n v="1"/>
    <n v="48.426016375695703"/>
    <x v="23"/>
    <n v="70"/>
    <n v="9"/>
    <n v="2"/>
    <n v="0"/>
    <s v="C426"/>
    <x v="1"/>
    <x v="2"/>
    <x v="1"/>
    <x v="0"/>
    <x v="1"/>
    <s v="Needs Improvement"/>
    <x v="1"/>
    <n v="44"/>
    <x v="1"/>
    <x v="1"/>
    <x v="1"/>
    <s v="Work on communication and personality development"/>
  </r>
  <r>
    <n v="31"/>
    <x v="0"/>
    <n v="3"/>
    <n v="8"/>
    <n v="5"/>
    <n v="36.558004376388297"/>
    <x v="6"/>
    <n v="99"/>
    <n v="90"/>
    <n v="2"/>
    <n v="1"/>
    <s v="C427"/>
    <x v="0"/>
    <x v="3"/>
    <x v="1"/>
    <x v="0"/>
    <x v="0"/>
    <s v="Strong"/>
    <x v="0"/>
    <n v="67"/>
    <x v="0"/>
    <x v="1"/>
    <x v="0"/>
    <s v="Improve interview preparation and communication"/>
  </r>
  <r>
    <n v="46"/>
    <x v="1"/>
    <n v="3"/>
    <n v="14"/>
    <n v="4"/>
    <n v="1.3398274293055801"/>
    <x v="57"/>
    <n v="34"/>
    <n v="14"/>
    <n v="2"/>
    <n v="0"/>
    <s v="C428"/>
    <x v="1"/>
    <x v="3"/>
    <x v="1"/>
    <x v="2"/>
    <x v="2"/>
    <s v="Needs Improvement"/>
    <x v="1"/>
    <n v="58"/>
    <x v="0"/>
    <x v="2"/>
    <x v="1"/>
    <s v="Work on communication and personality development"/>
  </r>
  <r>
    <n v="38"/>
    <x v="0"/>
    <n v="3"/>
    <n v="0"/>
    <n v="4"/>
    <n v="39.192825010010701"/>
    <x v="49"/>
    <n v="14"/>
    <n v="10"/>
    <n v="2"/>
    <n v="0"/>
    <s v="C429"/>
    <x v="0"/>
    <x v="3"/>
    <x v="0"/>
    <x v="0"/>
    <x v="2"/>
    <s v="Needs Improvement"/>
    <x v="1"/>
    <n v="11"/>
    <x v="1"/>
    <x v="1"/>
    <x v="0"/>
    <s v="Improve interview preparation and communication"/>
  </r>
  <r>
    <n v="41"/>
    <x v="0"/>
    <n v="2"/>
    <n v="13"/>
    <n v="2"/>
    <n v="26.704096038309199"/>
    <x v="29"/>
    <n v="66"/>
    <n v="89"/>
    <n v="3"/>
    <n v="0"/>
    <s v="C430"/>
    <x v="0"/>
    <x v="0"/>
    <x v="1"/>
    <x v="0"/>
    <x v="1"/>
    <s v="Strong"/>
    <x v="1"/>
    <n v="63"/>
    <x v="0"/>
    <x v="0"/>
    <x v="0"/>
    <s v="Improve interview preparation and communication"/>
  </r>
  <r>
    <n v="42"/>
    <x v="1"/>
    <n v="1"/>
    <n v="0"/>
    <n v="3"/>
    <n v="39.968258516755903"/>
    <x v="17"/>
    <n v="92"/>
    <n v="23"/>
    <n v="3"/>
    <n v="0"/>
    <s v="C431"/>
    <x v="1"/>
    <x v="2"/>
    <x v="0"/>
    <x v="1"/>
    <x v="0"/>
    <s v="Needs Improvement"/>
    <x v="1"/>
    <n v="53"/>
    <x v="0"/>
    <x v="1"/>
    <x v="1"/>
    <s v="Work on communication and personality development"/>
  </r>
  <r>
    <n v="41"/>
    <x v="0"/>
    <n v="2"/>
    <n v="2"/>
    <n v="5"/>
    <n v="27.124840444529401"/>
    <x v="98"/>
    <n v="29"/>
    <n v="76"/>
    <n v="2"/>
    <n v="0"/>
    <s v="C432"/>
    <x v="0"/>
    <x v="0"/>
    <x v="0"/>
    <x v="0"/>
    <x v="2"/>
    <s v="Strong"/>
    <x v="1"/>
    <n v="31"/>
    <x v="1"/>
    <x v="0"/>
    <x v="0"/>
    <s v="Improve interview preparation and communication"/>
  </r>
  <r>
    <n v="33"/>
    <x v="0"/>
    <n v="2"/>
    <n v="2"/>
    <n v="3"/>
    <n v="33.051242881767699"/>
    <x v="87"/>
    <n v="81"/>
    <n v="95"/>
    <n v="2"/>
    <n v="0"/>
    <s v="C433"/>
    <x v="0"/>
    <x v="0"/>
    <x v="0"/>
    <x v="1"/>
    <x v="0"/>
    <s v="Strong"/>
    <x v="1"/>
    <n v="66"/>
    <x v="0"/>
    <x v="0"/>
    <x v="0"/>
    <s v="Improve interview preparation and communication"/>
  </r>
  <r>
    <n v="49"/>
    <x v="0"/>
    <n v="1"/>
    <n v="9"/>
    <n v="3"/>
    <n v="40.316582769752003"/>
    <x v="0"/>
    <n v="74"/>
    <n v="100"/>
    <n v="2"/>
    <n v="0"/>
    <s v="C434"/>
    <x v="0"/>
    <x v="2"/>
    <x v="1"/>
    <x v="0"/>
    <x v="1"/>
    <s v="Strong"/>
    <x v="1"/>
    <n v="68"/>
    <x v="0"/>
    <x v="0"/>
    <x v="0"/>
    <s v="Improve interview preparation and communication"/>
  </r>
  <r>
    <n v="25"/>
    <x v="0"/>
    <n v="2"/>
    <n v="7"/>
    <n v="5"/>
    <n v="21.255402729392799"/>
    <x v="12"/>
    <n v="42"/>
    <n v="3"/>
    <n v="2"/>
    <n v="0"/>
    <s v="C435"/>
    <x v="0"/>
    <x v="0"/>
    <x v="1"/>
    <x v="2"/>
    <x v="2"/>
    <s v="Needs Improvement"/>
    <x v="1"/>
    <n v="52"/>
    <x v="0"/>
    <x v="2"/>
    <x v="1"/>
    <s v="Work on communication and personality development"/>
  </r>
  <r>
    <n v="25"/>
    <x v="1"/>
    <n v="4"/>
    <n v="14"/>
    <n v="4"/>
    <n v="1.1354074910226"/>
    <x v="86"/>
    <n v="59"/>
    <n v="12"/>
    <n v="3"/>
    <n v="0"/>
    <s v="C436"/>
    <x v="1"/>
    <x v="1"/>
    <x v="1"/>
    <x v="1"/>
    <x v="1"/>
    <s v="Needs Improvement"/>
    <x v="1"/>
    <n v="54"/>
    <x v="0"/>
    <x v="1"/>
    <x v="1"/>
    <s v="Work on communication and personality development"/>
  </r>
  <r>
    <n v="32"/>
    <x v="1"/>
    <n v="3"/>
    <n v="9"/>
    <n v="5"/>
    <n v="43.497324797259402"/>
    <x v="87"/>
    <n v="39"/>
    <n v="72"/>
    <n v="1"/>
    <n v="1"/>
    <s v="C437"/>
    <x v="1"/>
    <x v="3"/>
    <x v="1"/>
    <x v="1"/>
    <x v="2"/>
    <s v="Good"/>
    <x v="0"/>
    <n v="57"/>
    <x v="0"/>
    <x v="0"/>
    <x v="2"/>
    <s v="Strengthen technical skills and practical knowledge"/>
  </r>
  <r>
    <n v="38"/>
    <x v="0"/>
    <n v="3"/>
    <n v="0"/>
    <n v="3"/>
    <n v="20.044518131233101"/>
    <x v="43"/>
    <n v="64"/>
    <n v="56"/>
    <n v="1"/>
    <n v="1"/>
    <s v="C438"/>
    <x v="0"/>
    <x v="3"/>
    <x v="0"/>
    <x v="1"/>
    <x v="1"/>
    <s v="Good"/>
    <x v="0"/>
    <n v="55"/>
    <x v="0"/>
    <x v="2"/>
    <x v="1"/>
    <s v="Work on communication and personality development"/>
  </r>
  <r>
    <n v="41"/>
    <x v="1"/>
    <n v="4"/>
    <n v="12"/>
    <n v="4"/>
    <n v="25.802136300829101"/>
    <x v="3"/>
    <n v="28"/>
    <n v="97"/>
    <n v="1"/>
    <n v="1"/>
    <s v="C439"/>
    <x v="1"/>
    <x v="1"/>
    <x v="1"/>
    <x v="0"/>
    <x v="2"/>
    <s v="Strong"/>
    <x v="0"/>
    <n v="56"/>
    <x v="0"/>
    <x v="0"/>
    <x v="2"/>
    <s v="Strengthen technical skills and practical knowledge"/>
  </r>
  <r>
    <n v="27"/>
    <x v="1"/>
    <n v="2"/>
    <n v="1"/>
    <n v="1"/>
    <n v="1.3883321076984301"/>
    <x v="31"/>
    <n v="73"/>
    <n v="36"/>
    <n v="2"/>
    <n v="0"/>
    <s v="C440"/>
    <x v="1"/>
    <x v="0"/>
    <x v="0"/>
    <x v="0"/>
    <x v="1"/>
    <s v="Needs Improvement"/>
    <x v="1"/>
    <n v="42"/>
    <x v="1"/>
    <x v="1"/>
    <x v="0"/>
    <s v="Improve interview preparation and communication"/>
  </r>
  <r>
    <n v="46"/>
    <x v="1"/>
    <n v="2"/>
    <n v="1"/>
    <n v="5"/>
    <n v="25.604600517504899"/>
    <x v="82"/>
    <n v="91"/>
    <n v="47"/>
    <n v="3"/>
    <n v="0"/>
    <s v="C441"/>
    <x v="1"/>
    <x v="0"/>
    <x v="0"/>
    <x v="2"/>
    <x v="0"/>
    <s v="Needs Improvement"/>
    <x v="1"/>
    <n v="69"/>
    <x v="0"/>
    <x v="2"/>
    <x v="1"/>
    <s v="Work on communication and personality development"/>
  </r>
  <r>
    <n v="46"/>
    <x v="1"/>
    <n v="4"/>
    <n v="2"/>
    <n v="5"/>
    <n v="50.324370078586398"/>
    <x v="42"/>
    <n v="94"/>
    <n v="70"/>
    <n v="1"/>
    <n v="1"/>
    <s v="C442"/>
    <x v="1"/>
    <x v="1"/>
    <x v="0"/>
    <x v="0"/>
    <x v="0"/>
    <s v="Good"/>
    <x v="0"/>
    <n v="61"/>
    <x v="0"/>
    <x v="1"/>
    <x v="0"/>
    <s v="Improve interview preparation and communication"/>
  </r>
  <r>
    <n v="21"/>
    <x v="1"/>
    <n v="1"/>
    <n v="12"/>
    <n v="4"/>
    <n v="14.913383040938401"/>
    <x v="32"/>
    <n v="18"/>
    <n v="0"/>
    <n v="2"/>
    <n v="0"/>
    <s v="C443"/>
    <x v="1"/>
    <x v="2"/>
    <x v="1"/>
    <x v="1"/>
    <x v="2"/>
    <s v="Needs Improvement"/>
    <x v="1"/>
    <n v="38"/>
    <x v="1"/>
    <x v="2"/>
    <x v="1"/>
    <s v="Work on communication and personality development"/>
  </r>
  <r>
    <n v="40"/>
    <x v="0"/>
    <n v="3"/>
    <n v="5"/>
    <n v="1"/>
    <n v="20.770913512118899"/>
    <x v="9"/>
    <n v="2"/>
    <n v="59"/>
    <n v="2"/>
    <n v="0"/>
    <s v="C444"/>
    <x v="0"/>
    <x v="3"/>
    <x v="2"/>
    <x v="2"/>
    <x v="2"/>
    <s v="Good"/>
    <x v="1"/>
    <n v="49"/>
    <x v="1"/>
    <x v="2"/>
    <x v="2"/>
    <s v="Strengthen technical skills and practical knowledge"/>
  </r>
  <r>
    <n v="49"/>
    <x v="1"/>
    <n v="2"/>
    <n v="0"/>
    <n v="1"/>
    <n v="35.359499823433801"/>
    <x v="46"/>
    <n v="35"/>
    <n v="11"/>
    <n v="2"/>
    <n v="0"/>
    <s v="C445"/>
    <x v="1"/>
    <x v="0"/>
    <x v="0"/>
    <x v="1"/>
    <x v="2"/>
    <s v="Needs Improvement"/>
    <x v="1"/>
    <n v="32"/>
    <x v="1"/>
    <x v="2"/>
    <x v="1"/>
    <s v="Work on communication and personality development"/>
  </r>
  <r>
    <n v="20"/>
    <x v="1"/>
    <n v="2"/>
    <n v="1"/>
    <n v="4"/>
    <n v="41.739683376182903"/>
    <x v="65"/>
    <n v="42"/>
    <n v="20"/>
    <n v="2"/>
    <n v="0"/>
    <s v="C446"/>
    <x v="1"/>
    <x v="0"/>
    <x v="0"/>
    <x v="0"/>
    <x v="2"/>
    <s v="Needs Improvement"/>
    <x v="1"/>
    <n v="24"/>
    <x v="1"/>
    <x v="1"/>
    <x v="0"/>
    <s v="Improve interview preparation and communication"/>
  </r>
  <r>
    <n v="47"/>
    <x v="1"/>
    <n v="2"/>
    <n v="12"/>
    <n v="2"/>
    <n v="21.869581200304999"/>
    <x v="1"/>
    <n v="14"/>
    <n v="10"/>
    <n v="3"/>
    <n v="0"/>
    <s v="C447"/>
    <x v="1"/>
    <x v="0"/>
    <x v="1"/>
    <x v="0"/>
    <x v="2"/>
    <s v="Needs Improvement"/>
    <x v="1"/>
    <n v="31"/>
    <x v="1"/>
    <x v="2"/>
    <x v="1"/>
    <s v="Work on communication and personality development"/>
  </r>
  <r>
    <n v="34"/>
    <x v="1"/>
    <n v="4"/>
    <n v="15"/>
    <n v="5"/>
    <n v="16.483443520064601"/>
    <x v="1"/>
    <n v="96"/>
    <n v="43"/>
    <n v="1"/>
    <n v="1"/>
    <s v="C448"/>
    <x v="1"/>
    <x v="1"/>
    <x v="1"/>
    <x v="0"/>
    <x v="0"/>
    <s v="Needs Improvement"/>
    <x v="0"/>
    <n v="68"/>
    <x v="0"/>
    <x v="1"/>
    <x v="0"/>
    <s v="Improve interview preparation and communication"/>
  </r>
  <r>
    <n v="20"/>
    <x v="0"/>
    <n v="3"/>
    <n v="14"/>
    <n v="5"/>
    <n v="47.891289999253303"/>
    <x v="69"/>
    <n v="40"/>
    <n v="57"/>
    <n v="2"/>
    <n v="0"/>
    <s v="C449"/>
    <x v="0"/>
    <x v="3"/>
    <x v="1"/>
    <x v="2"/>
    <x v="2"/>
    <s v="Good"/>
    <x v="1"/>
    <n v="65"/>
    <x v="0"/>
    <x v="2"/>
    <x v="2"/>
    <s v="Strengthen technical skills and practical knowledge"/>
  </r>
  <r>
    <n v="24"/>
    <x v="0"/>
    <n v="1"/>
    <n v="12"/>
    <n v="3"/>
    <n v="34.857248333583399"/>
    <x v="41"/>
    <n v="89"/>
    <n v="43"/>
    <n v="1"/>
    <n v="1"/>
    <s v="C450"/>
    <x v="0"/>
    <x v="2"/>
    <x v="1"/>
    <x v="0"/>
    <x v="0"/>
    <s v="Needs Improvement"/>
    <x v="0"/>
    <n v="52"/>
    <x v="0"/>
    <x v="1"/>
    <x v="0"/>
    <s v="Improve interview preparation and communication"/>
  </r>
  <r>
    <n v="47"/>
    <x v="0"/>
    <n v="3"/>
    <n v="15"/>
    <n v="4"/>
    <n v="6.9510652246570501"/>
    <x v="45"/>
    <n v="79"/>
    <n v="77"/>
    <n v="2"/>
    <n v="1"/>
    <s v="C451"/>
    <x v="0"/>
    <x v="3"/>
    <x v="1"/>
    <x v="0"/>
    <x v="0"/>
    <s v="Strong"/>
    <x v="0"/>
    <n v="65"/>
    <x v="0"/>
    <x v="1"/>
    <x v="0"/>
    <s v="Improve interview preparation and communication"/>
  </r>
  <r>
    <n v="48"/>
    <x v="0"/>
    <n v="2"/>
    <n v="0"/>
    <n v="3"/>
    <n v="4.4463939067324301"/>
    <x v="1"/>
    <n v="35"/>
    <n v="97"/>
    <n v="3"/>
    <n v="0"/>
    <s v="C452"/>
    <x v="0"/>
    <x v="0"/>
    <x v="0"/>
    <x v="0"/>
    <x v="2"/>
    <s v="Strong"/>
    <x v="1"/>
    <n v="43"/>
    <x v="1"/>
    <x v="0"/>
    <x v="0"/>
    <s v="Improve interview preparation and communication"/>
  </r>
  <r>
    <n v="35"/>
    <x v="1"/>
    <n v="2"/>
    <n v="4"/>
    <n v="3"/>
    <n v="25.177492539518401"/>
    <x v="75"/>
    <n v="96"/>
    <n v="33"/>
    <n v="1"/>
    <n v="0"/>
    <s v="C453"/>
    <x v="1"/>
    <x v="0"/>
    <x v="2"/>
    <x v="0"/>
    <x v="0"/>
    <s v="Needs Improvement"/>
    <x v="1"/>
    <n v="56"/>
    <x v="0"/>
    <x v="1"/>
    <x v="1"/>
    <s v="Work on communication and personality development"/>
  </r>
  <r>
    <n v="38"/>
    <x v="0"/>
    <n v="2"/>
    <n v="15"/>
    <n v="1"/>
    <n v="12.004503302363601"/>
    <x v="79"/>
    <n v="83"/>
    <n v="24"/>
    <n v="1"/>
    <n v="1"/>
    <s v="C454"/>
    <x v="0"/>
    <x v="0"/>
    <x v="1"/>
    <x v="2"/>
    <x v="0"/>
    <s v="Needs Improvement"/>
    <x v="0"/>
    <n v="72"/>
    <x v="0"/>
    <x v="2"/>
    <x v="1"/>
    <s v="Work on communication and personality development"/>
  </r>
  <r>
    <n v="23"/>
    <x v="1"/>
    <n v="2"/>
    <n v="12"/>
    <n v="5"/>
    <n v="13.6992376688126"/>
    <x v="76"/>
    <n v="76"/>
    <n v="3"/>
    <n v="2"/>
    <n v="0"/>
    <s v="C455"/>
    <x v="1"/>
    <x v="0"/>
    <x v="1"/>
    <x v="0"/>
    <x v="0"/>
    <s v="Needs Improvement"/>
    <x v="1"/>
    <n v="46"/>
    <x v="1"/>
    <x v="1"/>
    <x v="1"/>
    <s v="Work on communication and personality development"/>
  </r>
  <r>
    <n v="22"/>
    <x v="1"/>
    <n v="2"/>
    <n v="12"/>
    <n v="3"/>
    <n v="44.884608941392401"/>
    <x v="18"/>
    <n v="32"/>
    <n v="63"/>
    <n v="2"/>
    <n v="0"/>
    <s v="C456"/>
    <x v="1"/>
    <x v="0"/>
    <x v="1"/>
    <x v="1"/>
    <x v="2"/>
    <s v="Good"/>
    <x v="1"/>
    <n v="57"/>
    <x v="0"/>
    <x v="2"/>
    <x v="2"/>
    <s v="Strengthen technical skills and practical knowledge"/>
  </r>
  <r>
    <n v="36"/>
    <x v="1"/>
    <n v="4"/>
    <n v="6"/>
    <n v="1"/>
    <n v="5.47830121581553"/>
    <x v="32"/>
    <n v="4"/>
    <n v="89"/>
    <n v="2"/>
    <n v="0"/>
    <s v="C457"/>
    <x v="1"/>
    <x v="1"/>
    <x v="2"/>
    <x v="1"/>
    <x v="2"/>
    <s v="Strong"/>
    <x v="1"/>
    <n v="48"/>
    <x v="1"/>
    <x v="0"/>
    <x v="2"/>
    <s v="Strengthen technical skills and practical knowledge"/>
  </r>
  <r>
    <n v="36"/>
    <x v="1"/>
    <n v="3"/>
    <n v="15"/>
    <n v="4"/>
    <n v="36.768205761444399"/>
    <x v="28"/>
    <n v="100"/>
    <n v="15"/>
    <n v="1"/>
    <n v="1"/>
    <s v="C458"/>
    <x v="1"/>
    <x v="3"/>
    <x v="1"/>
    <x v="2"/>
    <x v="0"/>
    <s v="Needs Improvement"/>
    <x v="0"/>
    <n v="75"/>
    <x v="2"/>
    <x v="1"/>
    <x v="1"/>
    <s v="Work on communication and personality development"/>
  </r>
  <r>
    <n v="31"/>
    <x v="1"/>
    <n v="2"/>
    <n v="7"/>
    <n v="3"/>
    <n v="14.557112669029401"/>
    <x v="60"/>
    <n v="77"/>
    <n v="9"/>
    <n v="1"/>
    <n v="1"/>
    <s v="C459"/>
    <x v="1"/>
    <x v="0"/>
    <x v="1"/>
    <x v="2"/>
    <x v="0"/>
    <s v="Needs Improvement"/>
    <x v="0"/>
    <n v="60"/>
    <x v="0"/>
    <x v="2"/>
    <x v="1"/>
    <s v="Work on communication and personality development"/>
  </r>
  <r>
    <n v="47"/>
    <x v="0"/>
    <n v="1"/>
    <n v="9"/>
    <n v="5"/>
    <n v="39.0164110702068"/>
    <x v="83"/>
    <n v="90"/>
    <n v="65"/>
    <n v="2"/>
    <n v="1"/>
    <s v="C460"/>
    <x v="0"/>
    <x v="2"/>
    <x v="1"/>
    <x v="2"/>
    <x v="0"/>
    <s v="Good"/>
    <x v="0"/>
    <n v="74"/>
    <x v="0"/>
    <x v="1"/>
    <x v="1"/>
    <s v="Work on communication and personality development"/>
  </r>
  <r>
    <n v="49"/>
    <x v="0"/>
    <n v="4"/>
    <n v="0"/>
    <n v="3"/>
    <n v="37.120569223177199"/>
    <x v="28"/>
    <n v="86"/>
    <n v="34"/>
    <n v="1"/>
    <n v="1"/>
    <s v="C461"/>
    <x v="0"/>
    <x v="1"/>
    <x v="0"/>
    <x v="2"/>
    <x v="0"/>
    <s v="Needs Improvement"/>
    <x v="0"/>
    <n v="61"/>
    <x v="0"/>
    <x v="1"/>
    <x v="1"/>
    <s v="Work on communication and personality development"/>
  </r>
  <r>
    <n v="48"/>
    <x v="0"/>
    <n v="4"/>
    <n v="6"/>
    <n v="4"/>
    <n v="1.3695950722146499"/>
    <x v="86"/>
    <n v="13"/>
    <n v="82"/>
    <n v="3"/>
    <n v="0"/>
    <s v="C462"/>
    <x v="0"/>
    <x v="1"/>
    <x v="2"/>
    <x v="1"/>
    <x v="2"/>
    <s v="Strong"/>
    <x v="1"/>
    <n v="46"/>
    <x v="1"/>
    <x v="0"/>
    <x v="2"/>
    <s v="Strengthen technical skills and practical knowledge"/>
  </r>
  <r>
    <n v="33"/>
    <x v="0"/>
    <n v="3"/>
    <n v="12"/>
    <n v="3"/>
    <n v="26.456770646079899"/>
    <x v="89"/>
    <n v="67"/>
    <n v="5"/>
    <n v="1"/>
    <n v="1"/>
    <s v="C463"/>
    <x v="0"/>
    <x v="3"/>
    <x v="1"/>
    <x v="0"/>
    <x v="1"/>
    <s v="Needs Improvement"/>
    <x v="0"/>
    <n v="49"/>
    <x v="1"/>
    <x v="1"/>
    <x v="1"/>
    <s v="Work on communication and personality development"/>
  </r>
  <r>
    <n v="40"/>
    <x v="1"/>
    <n v="1"/>
    <n v="4"/>
    <n v="5"/>
    <n v="7.9659741189023103"/>
    <x v="25"/>
    <n v="82"/>
    <n v="18"/>
    <n v="2"/>
    <n v="0"/>
    <s v="C464"/>
    <x v="1"/>
    <x v="2"/>
    <x v="2"/>
    <x v="2"/>
    <x v="0"/>
    <s v="Needs Improvement"/>
    <x v="1"/>
    <n v="65"/>
    <x v="0"/>
    <x v="2"/>
    <x v="1"/>
    <s v="Work on communication and personality development"/>
  </r>
  <r>
    <n v="25"/>
    <x v="0"/>
    <n v="1"/>
    <n v="9"/>
    <n v="1"/>
    <n v="44.311351528933798"/>
    <x v="35"/>
    <n v="46"/>
    <n v="58"/>
    <n v="1"/>
    <n v="0"/>
    <s v="C465"/>
    <x v="0"/>
    <x v="2"/>
    <x v="1"/>
    <x v="0"/>
    <x v="2"/>
    <s v="Good"/>
    <x v="1"/>
    <n v="45"/>
    <x v="1"/>
    <x v="0"/>
    <x v="0"/>
    <s v="Improve interview preparation and communication"/>
  </r>
  <r>
    <n v="22"/>
    <x v="1"/>
    <n v="2"/>
    <n v="0"/>
    <n v="5"/>
    <n v="44.5792941431203"/>
    <x v="55"/>
    <n v="53"/>
    <n v="52"/>
    <n v="1"/>
    <n v="1"/>
    <s v="C466"/>
    <x v="1"/>
    <x v="0"/>
    <x v="0"/>
    <x v="2"/>
    <x v="1"/>
    <s v="Good"/>
    <x v="0"/>
    <n v="53"/>
    <x v="0"/>
    <x v="2"/>
    <x v="1"/>
    <s v="Work on communication and personality development"/>
  </r>
  <r>
    <n v="47"/>
    <x v="0"/>
    <n v="1"/>
    <n v="2"/>
    <n v="1"/>
    <n v="21.917290374687902"/>
    <x v="51"/>
    <n v="3"/>
    <n v="7"/>
    <n v="2"/>
    <n v="0"/>
    <s v="C467"/>
    <x v="0"/>
    <x v="2"/>
    <x v="0"/>
    <x v="0"/>
    <x v="2"/>
    <s v="Needs Improvement"/>
    <x v="1"/>
    <n v="10"/>
    <x v="1"/>
    <x v="2"/>
    <x v="2"/>
    <s v="Strengthen technical skills and practical knowledge"/>
  </r>
  <r>
    <n v="28"/>
    <x v="1"/>
    <n v="2"/>
    <n v="6"/>
    <n v="2"/>
    <n v="23.219780922554001"/>
    <x v="26"/>
    <n v="93"/>
    <n v="77"/>
    <n v="2"/>
    <n v="0"/>
    <s v="C468"/>
    <x v="1"/>
    <x v="0"/>
    <x v="2"/>
    <x v="0"/>
    <x v="0"/>
    <s v="Strong"/>
    <x v="1"/>
    <n v="63"/>
    <x v="0"/>
    <x v="1"/>
    <x v="0"/>
    <s v="Improve interview preparation and communication"/>
  </r>
  <r>
    <n v="24"/>
    <x v="1"/>
    <n v="4"/>
    <n v="9"/>
    <n v="5"/>
    <n v="16.164146970226302"/>
    <x v="55"/>
    <n v="82"/>
    <n v="9"/>
    <n v="1"/>
    <n v="1"/>
    <s v="C469"/>
    <x v="1"/>
    <x v="1"/>
    <x v="1"/>
    <x v="2"/>
    <x v="0"/>
    <s v="Needs Improvement"/>
    <x v="0"/>
    <n v="65"/>
    <x v="0"/>
    <x v="1"/>
    <x v="1"/>
    <s v="Work on communication and personality development"/>
  </r>
  <r>
    <n v="43"/>
    <x v="0"/>
    <n v="2"/>
    <n v="0"/>
    <n v="5"/>
    <n v="36.830314948001501"/>
    <x v="91"/>
    <n v="94"/>
    <n v="66"/>
    <n v="1"/>
    <n v="1"/>
    <s v="C470"/>
    <x v="0"/>
    <x v="0"/>
    <x v="0"/>
    <x v="0"/>
    <x v="0"/>
    <s v="Good"/>
    <x v="0"/>
    <n v="44"/>
    <x v="1"/>
    <x v="1"/>
    <x v="0"/>
    <s v="Improve interview preparation and communication"/>
  </r>
  <r>
    <n v="48"/>
    <x v="1"/>
    <n v="1"/>
    <n v="6"/>
    <n v="4"/>
    <n v="18.9330681513229"/>
    <x v="26"/>
    <n v="94"/>
    <n v="37"/>
    <n v="1"/>
    <n v="1"/>
    <s v="C471"/>
    <x v="1"/>
    <x v="2"/>
    <x v="2"/>
    <x v="0"/>
    <x v="0"/>
    <s v="Needs Improvement"/>
    <x v="0"/>
    <n v="56"/>
    <x v="0"/>
    <x v="1"/>
    <x v="1"/>
    <s v="Work on communication and personality development"/>
  </r>
  <r>
    <n v="36"/>
    <x v="1"/>
    <n v="2"/>
    <n v="4"/>
    <n v="3"/>
    <n v="14.3896237261316"/>
    <x v="2"/>
    <n v="8"/>
    <n v="28"/>
    <n v="2"/>
    <n v="0"/>
    <s v="C472"/>
    <x v="1"/>
    <x v="0"/>
    <x v="2"/>
    <x v="0"/>
    <x v="2"/>
    <s v="Needs Improvement"/>
    <x v="1"/>
    <n v="21"/>
    <x v="1"/>
    <x v="0"/>
    <x v="2"/>
    <s v="Strengthen technical skills and practical knowledge"/>
  </r>
  <r>
    <n v="33"/>
    <x v="0"/>
    <n v="1"/>
    <n v="0"/>
    <n v="1"/>
    <n v="22.611552975225401"/>
    <x v="48"/>
    <n v="52"/>
    <n v="14"/>
    <n v="2"/>
    <n v="0"/>
    <s v="C473"/>
    <x v="0"/>
    <x v="2"/>
    <x v="0"/>
    <x v="1"/>
    <x v="1"/>
    <s v="Needs Improvement"/>
    <x v="1"/>
    <n v="40"/>
    <x v="1"/>
    <x v="2"/>
    <x v="1"/>
    <s v="Work on communication and personality development"/>
  </r>
  <r>
    <n v="40"/>
    <x v="1"/>
    <n v="1"/>
    <n v="0"/>
    <n v="1"/>
    <n v="5.5743759193729296"/>
    <x v="34"/>
    <n v="76"/>
    <n v="86"/>
    <n v="1"/>
    <n v="1"/>
    <s v="C474"/>
    <x v="1"/>
    <x v="2"/>
    <x v="0"/>
    <x v="0"/>
    <x v="0"/>
    <s v="Strong"/>
    <x v="0"/>
    <n v="47"/>
    <x v="1"/>
    <x v="0"/>
    <x v="0"/>
    <s v="Improve interview preparation and communication"/>
  </r>
  <r>
    <n v="50"/>
    <x v="0"/>
    <n v="2"/>
    <n v="13"/>
    <n v="4"/>
    <n v="38.330160232210098"/>
    <x v="62"/>
    <n v="77"/>
    <n v="22"/>
    <n v="2"/>
    <n v="0"/>
    <s v="C475"/>
    <x v="0"/>
    <x v="0"/>
    <x v="1"/>
    <x v="0"/>
    <x v="0"/>
    <s v="Needs Improvement"/>
    <x v="1"/>
    <n v="44"/>
    <x v="1"/>
    <x v="1"/>
    <x v="0"/>
    <s v="Improve interview preparation and communication"/>
  </r>
  <r>
    <n v="22"/>
    <x v="0"/>
    <n v="2"/>
    <n v="0"/>
    <n v="4"/>
    <n v="1.6298200635893401"/>
    <x v="87"/>
    <n v="59"/>
    <n v="81"/>
    <n v="2"/>
    <n v="0"/>
    <s v="C476"/>
    <x v="0"/>
    <x v="0"/>
    <x v="0"/>
    <x v="1"/>
    <x v="1"/>
    <s v="Strong"/>
    <x v="1"/>
    <n v="54"/>
    <x v="0"/>
    <x v="0"/>
    <x v="0"/>
    <s v="Improve interview preparation and communication"/>
  </r>
  <r>
    <n v="47"/>
    <x v="0"/>
    <n v="3"/>
    <n v="10"/>
    <n v="3"/>
    <n v="33.224253076029697"/>
    <x v="44"/>
    <n v="45"/>
    <n v="45"/>
    <n v="3"/>
    <n v="0"/>
    <s v="C477"/>
    <x v="0"/>
    <x v="3"/>
    <x v="1"/>
    <x v="1"/>
    <x v="2"/>
    <s v="Needs Improvement"/>
    <x v="1"/>
    <n v="54"/>
    <x v="0"/>
    <x v="2"/>
    <x v="2"/>
    <s v="Strengthen technical skills and practical knowledge"/>
  </r>
  <r>
    <n v="20"/>
    <x v="1"/>
    <n v="4"/>
    <n v="8"/>
    <n v="3"/>
    <n v="10.1432263377436"/>
    <x v="92"/>
    <n v="53"/>
    <n v="82"/>
    <n v="3"/>
    <n v="1"/>
    <s v="C478"/>
    <x v="1"/>
    <x v="1"/>
    <x v="1"/>
    <x v="0"/>
    <x v="1"/>
    <s v="Strong"/>
    <x v="0"/>
    <n v="51"/>
    <x v="0"/>
    <x v="0"/>
    <x v="0"/>
    <s v="Improve interview preparation and communication"/>
  </r>
  <r>
    <n v="39"/>
    <x v="1"/>
    <n v="2"/>
    <n v="10"/>
    <n v="5"/>
    <n v="12.6202023107206"/>
    <x v="51"/>
    <n v="73"/>
    <n v="27"/>
    <n v="2"/>
    <n v="0"/>
    <s v="C479"/>
    <x v="1"/>
    <x v="0"/>
    <x v="1"/>
    <x v="0"/>
    <x v="1"/>
    <s v="Needs Improvement"/>
    <x v="1"/>
    <n v="43"/>
    <x v="1"/>
    <x v="1"/>
    <x v="0"/>
    <s v="Improve interview preparation and communication"/>
  </r>
  <r>
    <n v="50"/>
    <x v="1"/>
    <n v="2"/>
    <n v="12"/>
    <n v="2"/>
    <n v="32.781599932001903"/>
    <x v="80"/>
    <n v="94"/>
    <n v="25"/>
    <n v="1"/>
    <n v="1"/>
    <s v="C480"/>
    <x v="1"/>
    <x v="0"/>
    <x v="1"/>
    <x v="2"/>
    <x v="0"/>
    <s v="Needs Improvement"/>
    <x v="0"/>
    <n v="74"/>
    <x v="0"/>
    <x v="1"/>
    <x v="1"/>
    <s v="Work on communication and personality development"/>
  </r>
  <r>
    <n v="48"/>
    <x v="0"/>
    <n v="3"/>
    <n v="2"/>
    <n v="3"/>
    <n v="50.6471732891453"/>
    <x v="29"/>
    <n v="36"/>
    <n v="9"/>
    <n v="1"/>
    <n v="0"/>
    <s v="C481"/>
    <x v="0"/>
    <x v="3"/>
    <x v="0"/>
    <x v="0"/>
    <x v="2"/>
    <s v="Needs Improvement"/>
    <x v="1"/>
    <n v="28"/>
    <x v="1"/>
    <x v="1"/>
    <x v="1"/>
    <s v="Work on communication and personality development"/>
  </r>
  <r>
    <n v="40"/>
    <x v="1"/>
    <n v="2"/>
    <n v="14"/>
    <n v="4"/>
    <n v="39.885874453627501"/>
    <x v="75"/>
    <n v="22"/>
    <n v="46"/>
    <n v="2"/>
    <n v="0"/>
    <s v="C482"/>
    <x v="1"/>
    <x v="0"/>
    <x v="1"/>
    <x v="0"/>
    <x v="2"/>
    <s v="Needs Improvement"/>
    <x v="1"/>
    <n v="46"/>
    <x v="1"/>
    <x v="2"/>
    <x v="2"/>
    <s v="Strengthen technical skills and practical knowledge"/>
  </r>
  <r>
    <n v="42"/>
    <x v="0"/>
    <n v="1"/>
    <n v="12"/>
    <n v="3"/>
    <n v="12.2919816111696"/>
    <x v="64"/>
    <n v="26"/>
    <n v="3"/>
    <n v="3"/>
    <n v="0"/>
    <s v="C483"/>
    <x v="0"/>
    <x v="2"/>
    <x v="1"/>
    <x v="0"/>
    <x v="2"/>
    <s v="Needs Improvement"/>
    <x v="1"/>
    <n v="33"/>
    <x v="1"/>
    <x v="2"/>
    <x v="1"/>
    <s v="Work on communication and personality development"/>
  </r>
  <r>
    <n v="20"/>
    <x v="0"/>
    <n v="3"/>
    <n v="4"/>
    <n v="1"/>
    <n v="9.8012377520566893"/>
    <x v="82"/>
    <n v="69"/>
    <n v="54"/>
    <n v="2"/>
    <n v="0"/>
    <s v="C484"/>
    <x v="0"/>
    <x v="3"/>
    <x v="2"/>
    <x v="2"/>
    <x v="1"/>
    <s v="Good"/>
    <x v="1"/>
    <n v="68"/>
    <x v="0"/>
    <x v="2"/>
    <x v="1"/>
    <s v="Work on communication and personality development"/>
  </r>
  <r>
    <n v="22"/>
    <x v="1"/>
    <n v="1"/>
    <n v="10"/>
    <n v="2"/>
    <n v="44.311643513383501"/>
    <x v="44"/>
    <n v="89"/>
    <n v="65"/>
    <n v="2"/>
    <n v="0"/>
    <s v="C485"/>
    <x v="1"/>
    <x v="2"/>
    <x v="1"/>
    <x v="1"/>
    <x v="0"/>
    <s v="Good"/>
    <x v="1"/>
    <n v="70"/>
    <x v="0"/>
    <x v="1"/>
    <x v="0"/>
    <s v="Improve interview preparation and communication"/>
  </r>
  <r>
    <n v="37"/>
    <x v="0"/>
    <n v="2"/>
    <n v="15"/>
    <n v="5"/>
    <n v="23.209197396075201"/>
    <x v="51"/>
    <n v="65"/>
    <n v="66"/>
    <n v="2"/>
    <n v="0"/>
    <s v="C486"/>
    <x v="0"/>
    <x v="0"/>
    <x v="1"/>
    <x v="0"/>
    <x v="1"/>
    <s v="Good"/>
    <x v="1"/>
    <n v="53"/>
    <x v="0"/>
    <x v="0"/>
    <x v="0"/>
    <s v="Improve interview preparation and communication"/>
  </r>
  <r>
    <n v="44"/>
    <x v="1"/>
    <n v="2"/>
    <n v="9"/>
    <n v="1"/>
    <n v="7.85264014140777"/>
    <x v="95"/>
    <n v="60"/>
    <n v="6"/>
    <n v="2"/>
    <n v="0"/>
    <s v="C487"/>
    <x v="1"/>
    <x v="0"/>
    <x v="1"/>
    <x v="1"/>
    <x v="1"/>
    <s v="Needs Improvement"/>
    <x v="1"/>
    <n v="47"/>
    <x v="1"/>
    <x v="1"/>
    <x v="1"/>
    <s v="Work on communication and personality development"/>
  </r>
  <r>
    <n v="29"/>
    <x v="1"/>
    <n v="2"/>
    <n v="11"/>
    <n v="1"/>
    <n v="44.110571166096904"/>
    <x v="52"/>
    <n v="76"/>
    <n v="54"/>
    <n v="1"/>
    <n v="1"/>
    <s v="C488"/>
    <x v="1"/>
    <x v="0"/>
    <x v="1"/>
    <x v="2"/>
    <x v="0"/>
    <s v="Good"/>
    <x v="0"/>
    <n v="72"/>
    <x v="0"/>
    <x v="2"/>
    <x v="1"/>
    <s v="Work on communication and personality development"/>
  </r>
  <r>
    <n v="50"/>
    <x v="1"/>
    <n v="2"/>
    <n v="15"/>
    <n v="2"/>
    <n v="41.804617645713002"/>
    <x v="48"/>
    <n v="50"/>
    <n v="79"/>
    <n v="2"/>
    <n v="0"/>
    <s v="C489"/>
    <x v="1"/>
    <x v="0"/>
    <x v="1"/>
    <x v="1"/>
    <x v="1"/>
    <s v="Strong"/>
    <x v="1"/>
    <n v="68"/>
    <x v="0"/>
    <x v="0"/>
    <x v="2"/>
    <s v="Strengthen technical skills and practical knowledge"/>
  </r>
  <r>
    <n v="41"/>
    <x v="1"/>
    <n v="3"/>
    <n v="8"/>
    <n v="5"/>
    <n v="50.195318194858103"/>
    <x v="38"/>
    <n v="49"/>
    <n v="30"/>
    <n v="1"/>
    <n v="1"/>
    <s v="C490"/>
    <x v="1"/>
    <x v="3"/>
    <x v="1"/>
    <x v="2"/>
    <x v="2"/>
    <s v="Needs Improvement"/>
    <x v="0"/>
    <n v="55"/>
    <x v="0"/>
    <x v="2"/>
    <x v="1"/>
    <s v="Work on communication and personality development"/>
  </r>
  <r>
    <n v="45"/>
    <x v="1"/>
    <n v="1"/>
    <n v="5"/>
    <n v="4"/>
    <n v="46.487184335634197"/>
    <x v="91"/>
    <n v="18"/>
    <n v="73"/>
    <n v="1"/>
    <n v="0"/>
    <s v="C491"/>
    <x v="1"/>
    <x v="2"/>
    <x v="2"/>
    <x v="0"/>
    <x v="2"/>
    <s v="Good"/>
    <x v="1"/>
    <n v="28"/>
    <x v="1"/>
    <x v="0"/>
    <x v="0"/>
    <s v="Improve interview preparation and communication"/>
  </r>
  <r>
    <n v="22"/>
    <x v="0"/>
    <n v="2"/>
    <n v="11"/>
    <n v="5"/>
    <n v="43.589516933026999"/>
    <x v="61"/>
    <n v="0"/>
    <n v="18"/>
    <n v="2"/>
    <n v="0"/>
    <s v="C492"/>
    <x v="0"/>
    <x v="0"/>
    <x v="1"/>
    <x v="0"/>
    <x v="2"/>
    <s v="Needs Improvement"/>
    <x v="1"/>
    <n v="18"/>
    <x v="1"/>
    <x v="0"/>
    <x v="2"/>
    <s v="Strengthen technical skills and practical knowledge"/>
  </r>
  <r>
    <n v="27"/>
    <x v="0"/>
    <n v="3"/>
    <n v="8"/>
    <n v="3"/>
    <n v="3.6287198905501499"/>
    <x v="28"/>
    <n v="39"/>
    <n v="27"/>
    <n v="1"/>
    <n v="1"/>
    <s v="C493"/>
    <x v="0"/>
    <x v="3"/>
    <x v="1"/>
    <x v="2"/>
    <x v="2"/>
    <s v="Needs Improvement"/>
    <x v="0"/>
    <n v="53"/>
    <x v="0"/>
    <x v="2"/>
    <x v="1"/>
    <s v="Work on communication and personality development"/>
  </r>
  <r>
    <n v="33"/>
    <x v="0"/>
    <n v="2"/>
    <n v="7"/>
    <n v="1"/>
    <n v="6.2207684749059"/>
    <x v="34"/>
    <n v="31"/>
    <n v="80"/>
    <n v="1"/>
    <n v="1"/>
    <s v="C494"/>
    <x v="0"/>
    <x v="0"/>
    <x v="1"/>
    <x v="0"/>
    <x v="2"/>
    <s v="Strong"/>
    <x v="0"/>
    <n v="39"/>
    <x v="1"/>
    <x v="0"/>
    <x v="0"/>
    <s v="Improve interview preparation and communication"/>
  </r>
  <r>
    <n v="43"/>
    <x v="1"/>
    <n v="1"/>
    <n v="7"/>
    <n v="3"/>
    <n v="29.4491597152061"/>
    <x v="76"/>
    <n v="21"/>
    <n v="27"/>
    <n v="1"/>
    <n v="0"/>
    <s v="C495"/>
    <x v="1"/>
    <x v="2"/>
    <x v="1"/>
    <x v="0"/>
    <x v="2"/>
    <s v="Needs Improvement"/>
    <x v="1"/>
    <n v="29"/>
    <x v="1"/>
    <x v="2"/>
    <x v="2"/>
    <s v="Strengthen technical skills and practical knowledge"/>
  </r>
  <r>
    <n v="37"/>
    <x v="1"/>
    <n v="3"/>
    <n v="0"/>
    <n v="4"/>
    <n v="27.573962314090998"/>
    <x v="94"/>
    <n v="92"/>
    <n v="18"/>
    <n v="3"/>
    <n v="0"/>
    <s v="C496"/>
    <x v="1"/>
    <x v="3"/>
    <x v="0"/>
    <x v="2"/>
    <x v="0"/>
    <s v="Needs Improvement"/>
    <x v="1"/>
    <n v="63"/>
    <x v="0"/>
    <x v="2"/>
    <x v="1"/>
    <s v="Work on communication and personality development"/>
  </r>
  <r>
    <n v="34"/>
    <x v="1"/>
    <n v="2"/>
    <n v="12"/>
    <n v="3"/>
    <n v="23.8981607244767"/>
    <x v="23"/>
    <n v="65"/>
    <n v="100"/>
    <n v="2"/>
    <n v="0"/>
    <s v="C497"/>
    <x v="1"/>
    <x v="0"/>
    <x v="1"/>
    <x v="0"/>
    <x v="1"/>
    <s v="Strong"/>
    <x v="1"/>
    <n v="61"/>
    <x v="0"/>
    <x v="0"/>
    <x v="0"/>
    <s v="Improve interview preparation and communication"/>
  </r>
  <r>
    <n v="41"/>
    <x v="0"/>
    <n v="3"/>
    <n v="8"/>
    <n v="5"/>
    <n v="20.839466270729201"/>
    <x v="58"/>
    <n v="39"/>
    <n v="86"/>
    <n v="1"/>
    <n v="1"/>
    <s v="C498"/>
    <x v="0"/>
    <x v="3"/>
    <x v="1"/>
    <x v="0"/>
    <x v="2"/>
    <s v="Strong"/>
    <x v="0"/>
    <n v="45"/>
    <x v="1"/>
    <x v="0"/>
    <x v="0"/>
    <s v="Improve interview preparation and communication"/>
  </r>
  <r>
    <n v="42"/>
    <x v="1"/>
    <n v="3"/>
    <n v="5"/>
    <n v="3"/>
    <n v="22.560524243216399"/>
    <x v="82"/>
    <n v="37"/>
    <n v="19"/>
    <n v="2"/>
    <n v="0"/>
    <s v="C499"/>
    <x v="1"/>
    <x v="3"/>
    <x v="2"/>
    <x v="2"/>
    <x v="2"/>
    <s v="Needs Improvement"/>
    <x v="1"/>
    <n v="53"/>
    <x v="0"/>
    <x v="2"/>
    <x v="1"/>
    <s v="Work on communication and personality development"/>
  </r>
  <r>
    <n v="21"/>
    <x v="0"/>
    <n v="2"/>
    <n v="15"/>
    <n v="4"/>
    <n v="29.464896706739701"/>
    <x v="22"/>
    <n v="47"/>
    <n v="12"/>
    <n v="1"/>
    <n v="0"/>
    <s v="C500"/>
    <x v="0"/>
    <x v="0"/>
    <x v="1"/>
    <x v="0"/>
    <x v="2"/>
    <s v="Needs Improvement"/>
    <x v="1"/>
    <n v="38"/>
    <x v="1"/>
    <x v="1"/>
    <x v="0"/>
    <s v="Improve interview preparation and communication"/>
  </r>
  <r>
    <n v="50"/>
    <x v="0"/>
    <n v="2"/>
    <n v="8"/>
    <n v="4"/>
    <n v="1.1038258800040599"/>
    <x v="65"/>
    <n v="54"/>
    <n v="76"/>
    <n v="2"/>
    <n v="0"/>
    <s v="C501"/>
    <x v="0"/>
    <x v="0"/>
    <x v="1"/>
    <x v="0"/>
    <x v="1"/>
    <s v="Strong"/>
    <x v="1"/>
    <n v="46"/>
    <x v="1"/>
    <x v="0"/>
    <x v="0"/>
    <s v="Improve interview preparation and communication"/>
  </r>
  <r>
    <n v="46"/>
    <x v="1"/>
    <n v="4"/>
    <n v="2"/>
    <n v="4"/>
    <n v="14.0354387066426"/>
    <x v="13"/>
    <n v="74"/>
    <n v="42"/>
    <n v="2"/>
    <n v="0"/>
    <s v="C502"/>
    <x v="1"/>
    <x v="1"/>
    <x v="0"/>
    <x v="0"/>
    <x v="1"/>
    <s v="Needs Improvement"/>
    <x v="1"/>
    <n v="41"/>
    <x v="1"/>
    <x v="1"/>
    <x v="0"/>
    <s v="Improve interview preparation and communication"/>
  </r>
  <r>
    <n v="29"/>
    <x v="1"/>
    <n v="1"/>
    <n v="11"/>
    <n v="5"/>
    <n v="26.913986034435499"/>
    <x v="76"/>
    <n v="80"/>
    <n v="10"/>
    <n v="3"/>
    <n v="0"/>
    <s v="C503"/>
    <x v="1"/>
    <x v="2"/>
    <x v="1"/>
    <x v="0"/>
    <x v="0"/>
    <s v="Needs Improvement"/>
    <x v="1"/>
    <n v="48"/>
    <x v="1"/>
    <x v="1"/>
    <x v="1"/>
    <s v="Work on communication and personality development"/>
  </r>
  <r>
    <n v="21"/>
    <x v="0"/>
    <n v="3"/>
    <n v="2"/>
    <n v="4"/>
    <n v="37.110804933682303"/>
    <x v="89"/>
    <n v="54"/>
    <n v="47"/>
    <n v="2"/>
    <n v="0"/>
    <s v="C504"/>
    <x v="0"/>
    <x v="3"/>
    <x v="0"/>
    <x v="0"/>
    <x v="1"/>
    <s v="Needs Improvement"/>
    <x v="1"/>
    <n v="44"/>
    <x v="1"/>
    <x v="1"/>
    <x v="0"/>
    <s v="Improve interview preparation and communication"/>
  </r>
  <r>
    <n v="45"/>
    <x v="1"/>
    <n v="1"/>
    <n v="5"/>
    <n v="1"/>
    <n v="9.7078346197698107"/>
    <x v="100"/>
    <n v="50"/>
    <n v="14"/>
    <n v="3"/>
    <n v="0"/>
    <s v="C505"/>
    <x v="1"/>
    <x v="2"/>
    <x v="2"/>
    <x v="2"/>
    <x v="1"/>
    <s v="Needs Improvement"/>
    <x v="1"/>
    <n v="54"/>
    <x v="0"/>
    <x v="2"/>
    <x v="1"/>
    <s v="Work on communication and personality development"/>
  </r>
  <r>
    <n v="36"/>
    <x v="0"/>
    <n v="2"/>
    <n v="8"/>
    <n v="4"/>
    <n v="28.3440586893716"/>
    <x v="74"/>
    <n v="59"/>
    <n v="16"/>
    <n v="3"/>
    <n v="0"/>
    <s v="C506"/>
    <x v="0"/>
    <x v="0"/>
    <x v="1"/>
    <x v="2"/>
    <x v="1"/>
    <s v="Needs Improvement"/>
    <x v="1"/>
    <n v="61"/>
    <x v="0"/>
    <x v="2"/>
    <x v="1"/>
    <s v="Work on communication and personality development"/>
  </r>
  <r>
    <n v="27"/>
    <x v="1"/>
    <n v="2"/>
    <n v="6"/>
    <n v="3"/>
    <n v="36.722984194288998"/>
    <x v="44"/>
    <n v="7"/>
    <n v="53"/>
    <n v="3"/>
    <n v="0"/>
    <s v="C507"/>
    <x v="1"/>
    <x v="0"/>
    <x v="2"/>
    <x v="1"/>
    <x v="2"/>
    <s v="Good"/>
    <x v="1"/>
    <n v="39"/>
    <x v="1"/>
    <x v="2"/>
    <x v="2"/>
    <s v="Strengthen technical skills and practical knowledge"/>
  </r>
  <r>
    <n v="20"/>
    <x v="1"/>
    <n v="4"/>
    <n v="13"/>
    <n v="3"/>
    <n v="23.231382895695202"/>
    <x v="81"/>
    <n v="85"/>
    <n v="49"/>
    <n v="2"/>
    <n v="0"/>
    <s v="C508"/>
    <x v="1"/>
    <x v="1"/>
    <x v="1"/>
    <x v="1"/>
    <x v="0"/>
    <s v="Needs Improvement"/>
    <x v="1"/>
    <n v="72"/>
    <x v="0"/>
    <x v="1"/>
    <x v="1"/>
    <s v="Work on communication and personality development"/>
  </r>
  <r>
    <n v="28"/>
    <x v="0"/>
    <n v="4"/>
    <n v="12"/>
    <n v="3"/>
    <n v="2.35405668350255"/>
    <x v="31"/>
    <n v="67"/>
    <n v="27"/>
    <n v="2"/>
    <n v="0"/>
    <s v="C509"/>
    <x v="0"/>
    <x v="1"/>
    <x v="1"/>
    <x v="0"/>
    <x v="1"/>
    <s v="Needs Improvement"/>
    <x v="1"/>
    <n v="52"/>
    <x v="0"/>
    <x v="1"/>
    <x v="1"/>
    <s v="Work on communication and personality development"/>
  </r>
  <r>
    <n v="30"/>
    <x v="1"/>
    <n v="1"/>
    <n v="2"/>
    <n v="5"/>
    <n v="23.4634079232818"/>
    <x v="8"/>
    <n v="74"/>
    <n v="82"/>
    <n v="2"/>
    <n v="0"/>
    <s v="C510"/>
    <x v="1"/>
    <x v="2"/>
    <x v="0"/>
    <x v="2"/>
    <x v="1"/>
    <s v="Strong"/>
    <x v="1"/>
    <n v="67"/>
    <x v="0"/>
    <x v="0"/>
    <x v="2"/>
    <s v="Strengthen technical skills and practical knowledge"/>
  </r>
  <r>
    <n v="41"/>
    <x v="0"/>
    <n v="1"/>
    <n v="2"/>
    <n v="3"/>
    <n v="15.822244387207601"/>
    <x v="14"/>
    <n v="71"/>
    <n v="3"/>
    <n v="1"/>
    <n v="1"/>
    <s v="C511"/>
    <x v="0"/>
    <x v="2"/>
    <x v="0"/>
    <x v="1"/>
    <x v="1"/>
    <s v="Needs Improvement"/>
    <x v="0"/>
    <n v="48"/>
    <x v="1"/>
    <x v="2"/>
    <x v="1"/>
    <s v="Work on communication and personality development"/>
  </r>
  <r>
    <n v="35"/>
    <x v="1"/>
    <n v="3"/>
    <n v="1"/>
    <n v="5"/>
    <n v="47.482480385066403"/>
    <x v="51"/>
    <n v="8"/>
    <n v="21"/>
    <n v="1"/>
    <n v="0"/>
    <s v="C512"/>
    <x v="1"/>
    <x v="3"/>
    <x v="0"/>
    <x v="0"/>
    <x v="2"/>
    <s v="Needs Improvement"/>
    <x v="1"/>
    <n v="14"/>
    <x v="1"/>
    <x v="0"/>
    <x v="2"/>
    <s v="Strengthen technical skills and practical knowledge"/>
  </r>
  <r>
    <n v="26"/>
    <x v="0"/>
    <n v="2"/>
    <n v="8"/>
    <n v="5"/>
    <n v="7.2306692839163604"/>
    <x v="41"/>
    <n v="89"/>
    <n v="85"/>
    <n v="2"/>
    <n v="0"/>
    <s v="C513"/>
    <x v="0"/>
    <x v="0"/>
    <x v="1"/>
    <x v="0"/>
    <x v="0"/>
    <s v="Strong"/>
    <x v="1"/>
    <n v="56"/>
    <x v="0"/>
    <x v="1"/>
    <x v="0"/>
    <s v="Improve interview preparation and communication"/>
  </r>
  <r>
    <n v="48"/>
    <x v="0"/>
    <n v="1"/>
    <n v="12"/>
    <n v="4"/>
    <n v="33.623797775361602"/>
    <x v="2"/>
    <n v="1"/>
    <n v="100"/>
    <n v="2"/>
    <n v="0"/>
    <s v="C514"/>
    <x v="0"/>
    <x v="2"/>
    <x v="1"/>
    <x v="0"/>
    <x v="2"/>
    <s v="Strong"/>
    <x v="1"/>
    <n v="41"/>
    <x v="1"/>
    <x v="0"/>
    <x v="2"/>
    <s v="Strengthen technical skills and practical knowledge"/>
  </r>
  <r>
    <n v="29"/>
    <x v="1"/>
    <n v="2"/>
    <n v="14"/>
    <n v="1"/>
    <n v="3.63598831672505"/>
    <x v="38"/>
    <n v="79"/>
    <n v="38"/>
    <n v="3"/>
    <n v="0"/>
    <s v="C515"/>
    <x v="1"/>
    <x v="0"/>
    <x v="1"/>
    <x v="2"/>
    <x v="0"/>
    <s v="Needs Improvement"/>
    <x v="1"/>
    <n v="71"/>
    <x v="0"/>
    <x v="1"/>
    <x v="1"/>
    <s v="Work on communication and personality development"/>
  </r>
  <r>
    <n v="42"/>
    <x v="0"/>
    <n v="2"/>
    <n v="2"/>
    <n v="4"/>
    <n v="23.3085218906348"/>
    <x v="96"/>
    <n v="94"/>
    <n v="33"/>
    <n v="1"/>
    <n v="0"/>
    <s v="C516"/>
    <x v="0"/>
    <x v="0"/>
    <x v="0"/>
    <x v="1"/>
    <x v="0"/>
    <s v="Needs Improvement"/>
    <x v="1"/>
    <n v="57"/>
    <x v="0"/>
    <x v="1"/>
    <x v="1"/>
    <s v="Work on communication and personality development"/>
  </r>
  <r>
    <n v="45"/>
    <x v="1"/>
    <n v="4"/>
    <n v="10"/>
    <n v="4"/>
    <n v="28.698974361004002"/>
    <x v="84"/>
    <n v="69"/>
    <n v="96"/>
    <n v="1"/>
    <n v="1"/>
    <s v="C517"/>
    <x v="1"/>
    <x v="1"/>
    <x v="1"/>
    <x v="0"/>
    <x v="1"/>
    <s v="Strong"/>
    <x v="0"/>
    <n v="70"/>
    <x v="0"/>
    <x v="0"/>
    <x v="0"/>
    <s v="Improve interview preparation and communication"/>
  </r>
  <r>
    <n v="22"/>
    <x v="1"/>
    <n v="2"/>
    <n v="4"/>
    <n v="5"/>
    <n v="15.8977465658432"/>
    <x v="93"/>
    <n v="84"/>
    <n v="43"/>
    <n v="2"/>
    <n v="0"/>
    <s v="C518"/>
    <x v="1"/>
    <x v="0"/>
    <x v="2"/>
    <x v="1"/>
    <x v="0"/>
    <s v="Needs Improvement"/>
    <x v="1"/>
    <n v="61"/>
    <x v="0"/>
    <x v="1"/>
    <x v="1"/>
    <s v="Work on communication and personality development"/>
  </r>
  <r>
    <n v="37"/>
    <x v="1"/>
    <n v="2"/>
    <n v="13"/>
    <n v="5"/>
    <n v="23.753781776019199"/>
    <x v="43"/>
    <n v="89"/>
    <n v="41"/>
    <n v="2"/>
    <n v="0"/>
    <s v="C519"/>
    <x v="1"/>
    <x v="0"/>
    <x v="1"/>
    <x v="1"/>
    <x v="0"/>
    <s v="Needs Improvement"/>
    <x v="1"/>
    <n v="71"/>
    <x v="0"/>
    <x v="1"/>
    <x v="1"/>
    <s v="Work on communication and personality development"/>
  </r>
  <r>
    <n v="44"/>
    <x v="0"/>
    <n v="2"/>
    <n v="13"/>
    <n v="3"/>
    <n v="9.1776897265093602"/>
    <x v="47"/>
    <n v="58"/>
    <n v="39"/>
    <n v="1"/>
    <n v="1"/>
    <s v="C520"/>
    <x v="0"/>
    <x v="0"/>
    <x v="1"/>
    <x v="0"/>
    <x v="1"/>
    <s v="Needs Improvement"/>
    <x v="0"/>
    <n v="49"/>
    <x v="1"/>
    <x v="1"/>
    <x v="0"/>
    <s v="Improve interview preparation and communication"/>
  </r>
  <r>
    <n v="43"/>
    <x v="0"/>
    <n v="3"/>
    <n v="8"/>
    <n v="3"/>
    <n v="16.206192473401799"/>
    <x v="94"/>
    <n v="18"/>
    <n v="96"/>
    <n v="3"/>
    <n v="1"/>
    <s v="C521"/>
    <x v="0"/>
    <x v="3"/>
    <x v="1"/>
    <x v="2"/>
    <x v="2"/>
    <s v="Strong"/>
    <x v="0"/>
    <n v="65"/>
    <x v="0"/>
    <x v="0"/>
    <x v="2"/>
    <s v="Strengthen technical skills and practical knowledge"/>
  </r>
  <r>
    <n v="32"/>
    <x v="1"/>
    <n v="2"/>
    <n v="7"/>
    <n v="4"/>
    <n v="32.055316245510099"/>
    <x v="58"/>
    <n v="27"/>
    <n v="11"/>
    <n v="2"/>
    <n v="0"/>
    <s v="C522"/>
    <x v="1"/>
    <x v="0"/>
    <x v="1"/>
    <x v="0"/>
    <x v="2"/>
    <s v="Needs Improvement"/>
    <x v="1"/>
    <n v="25"/>
    <x v="1"/>
    <x v="1"/>
    <x v="1"/>
    <s v="Work on communication and personality development"/>
  </r>
  <r>
    <n v="47"/>
    <x v="1"/>
    <n v="2"/>
    <n v="1"/>
    <n v="2"/>
    <n v="16.0900027930577"/>
    <x v="30"/>
    <n v="71"/>
    <n v="1"/>
    <n v="2"/>
    <n v="0"/>
    <s v="C523"/>
    <x v="1"/>
    <x v="0"/>
    <x v="0"/>
    <x v="1"/>
    <x v="1"/>
    <s v="Needs Improvement"/>
    <x v="1"/>
    <n v="47"/>
    <x v="1"/>
    <x v="2"/>
    <x v="1"/>
    <s v="Work on communication and personality development"/>
  </r>
  <r>
    <n v="45"/>
    <x v="0"/>
    <n v="2"/>
    <n v="2"/>
    <n v="2"/>
    <n v="45.987153920443497"/>
    <x v="92"/>
    <n v="13"/>
    <n v="27"/>
    <n v="3"/>
    <n v="0"/>
    <s v="C524"/>
    <x v="0"/>
    <x v="0"/>
    <x v="0"/>
    <x v="0"/>
    <x v="2"/>
    <s v="Needs Improvement"/>
    <x v="1"/>
    <n v="20"/>
    <x v="1"/>
    <x v="0"/>
    <x v="2"/>
    <s v="Strengthen technical skills and practical knowledge"/>
  </r>
  <r>
    <n v="26"/>
    <x v="1"/>
    <n v="3"/>
    <n v="15"/>
    <n v="3"/>
    <n v="32.420347882049398"/>
    <x v="75"/>
    <n v="23"/>
    <n v="73"/>
    <n v="2"/>
    <n v="0"/>
    <s v="C525"/>
    <x v="1"/>
    <x v="3"/>
    <x v="1"/>
    <x v="0"/>
    <x v="2"/>
    <s v="Good"/>
    <x v="1"/>
    <n v="54"/>
    <x v="0"/>
    <x v="0"/>
    <x v="2"/>
    <s v="Strengthen technical skills and practical knowledge"/>
  </r>
  <r>
    <n v="44"/>
    <x v="1"/>
    <n v="2"/>
    <n v="15"/>
    <n v="2"/>
    <n v="22.932450921799202"/>
    <x v="14"/>
    <n v="43"/>
    <n v="85"/>
    <n v="2"/>
    <n v="0"/>
    <s v="C526"/>
    <x v="1"/>
    <x v="0"/>
    <x v="1"/>
    <x v="1"/>
    <x v="2"/>
    <s v="Strong"/>
    <x v="1"/>
    <n v="69"/>
    <x v="0"/>
    <x v="0"/>
    <x v="2"/>
    <s v="Strengthen technical skills and practical knowledge"/>
  </r>
  <r>
    <n v="23"/>
    <x v="0"/>
    <n v="1"/>
    <n v="1"/>
    <n v="3"/>
    <n v="2.9378467777091202"/>
    <x v="33"/>
    <n v="100"/>
    <n v="80"/>
    <n v="3"/>
    <n v="0"/>
    <s v="C527"/>
    <x v="0"/>
    <x v="2"/>
    <x v="0"/>
    <x v="0"/>
    <x v="0"/>
    <s v="Strong"/>
    <x v="1"/>
    <n v="50"/>
    <x v="0"/>
    <x v="1"/>
    <x v="0"/>
    <s v="Improve interview preparation and communication"/>
  </r>
  <r>
    <n v="32"/>
    <x v="1"/>
    <n v="2"/>
    <n v="15"/>
    <n v="5"/>
    <n v="25.977416760233499"/>
    <x v="3"/>
    <n v="55"/>
    <n v="89"/>
    <n v="1"/>
    <n v="1"/>
    <s v="C528"/>
    <x v="1"/>
    <x v="0"/>
    <x v="1"/>
    <x v="0"/>
    <x v="1"/>
    <s v="Strong"/>
    <x v="0"/>
    <n v="63"/>
    <x v="0"/>
    <x v="0"/>
    <x v="0"/>
    <s v="Improve interview preparation and communication"/>
  </r>
  <r>
    <n v="39"/>
    <x v="0"/>
    <n v="2"/>
    <n v="7"/>
    <n v="4"/>
    <n v="39.2388121062544"/>
    <x v="91"/>
    <n v="89"/>
    <n v="66"/>
    <n v="2"/>
    <n v="0"/>
    <s v="C529"/>
    <x v="0"/>
    <x v="0"/>
    <x v="1"/>
    <x v="0"/>
    <x v="0"/>
    <s v="Good"/>
    <x v="1"/>
    <n v="49"/>
    <x v="1"/>
    <x v="1"/>
    <x v="0"/>
    <s v="Improve interview preparation and communication"/>
  </r>
  <r>
    <n v="20"/>
    <x v="1"/>
    <n v="1"/>
    <n v="5"/>
    <n v="1"/>
    <n v="14.277879900620601"/>
    <x v="62"/>
    <n v="94"/>
    <n v="70"/>
    <n v="1"/>
    <n v="1"/>
    <s v="C530"/>
    <x v="1"/>
    <x v="2"/>
    <x v="2"/>
    <x v="0"/>
    <x v="0"/>
    <s v="Good"/>
    <x v="0"/>
    <n v="51"/>
    <x v="0"/>
    <x v="1"/>
    <x v="0"/>
    <s v="Improve interview preparation and communication"/>
  </r>
  <r>
    <n v="27"/>
    <x v="0"/>
    <n v="3"/>
    <n v="5"/>
    <n v="4"/>
    <n v="41.338678482438297"/>
    <x v="19"/>
    <n v="50"/>
    <n v="71"/>
    <n v="1"/>
    <n v="1"/>
    <s v="C531"/>
    <x v="0"/>
    <x v="3"/>
    <x v="2"/>
    <x v="2"/>
    <x v="1"/>
    <s v="Good"/>
    <x v="0"/>
    <n v="68"/>
    <x v="0"/>
    <x v="2"/>
    <x v="2"/>
    <s v="Strengthen technical skills and practical knowledge"/>
  </r>
  <r>
    <n v="33"/>
    <x v="1"/>
    <n v="2"/>
    <n v="11"/>
    <n v="3"/>
    <n v="13.590338302544"/>
    <x v="95"/>
    <n v="31"/>
    <n v="83"/>
    <n v="3"/>
    <n v="0"/>
    <s v="C532"/>
    <x v="1"/>
    <x v="0"/>
    <x v="1"/>
    <x v="1"/>
    <x v="2"/>
    <s v="Strong"/>
    <x v="1"/>
    <n v="55"/>
    <x v="0"/>
    <x v="0"/>
    <x v="2"/>
    <s v="Strengthen technical skills and practical knowledge"/>
  </r>
  <r>
    <n v="35"/>
    <x v="1"/>
    <n v="3"/>
    <n v="14"/>
    <n v="3"/>
    <n v="42.187319397540001"/>
    <x v="6"/>
    <n v="49"/>
    <n v="75"/>
    <n v="2"/>
    <n v="0"/>
    <s v="C533"/>
    <x v="1"/>
    <x v="3"/>
    <x v="1"/>
    <x v="0"/>
    <x v="2"/>
    <s v="Strong"/>
    <x v="1"/>
    <n v="55"/>
    <x v="0"/>
    <x v="0"/>
    <x v="0"/>
    <s v="Improve interview preparation and communication"/>
  </r>
  <r>
    <n v="33"/>
    <x v="0"/>
    <n v="2"/>
    <n v="8"/>
    <n v="4"/>
    <n v="5.2634170805838698"/>
    <x v="68"/>
    <n v="40"/>
    <n v="98"/>
    <n v="2"/>
    <n v="0"/>
    <s v="C534"/>
    <x v="0"/>
    <x v="0"/>
    <x v="1"/>
    <x v="0"/>
    <x v="2"/>
    <s v="Strong"/>
    <x v="1"/>
    <n v="43"/>
    <x v="1"/>
    <x v="0"/>
    <x v="0"/>
    <s v="Improve interview preparation and communication"/>
  </r>
  <r>
    <n v="31"/>
    <x v="1"/>
    <n v="3"/>
    <n v="7"/>
    <n v="3"/>
    <n v="44.309185443451398"/>
    <x v="98"/>
    <n v="65"/>
    <n v="80"/>
    <n v="3"/>
    <n v="1"/>
    <s v="C535"/>
    <x v="1"/>
    <x v="3"/>
    <x v="1"/>
    <x v="0"/>
    <x v="1"/>
    <s v="Strong"/>
    <x v="0"/>
    <n v="49"/>
    <x v="1"/>
    <x v="0"/>
    <x v="0"/>
    <s v="Improve interview preparation and communication"/>
  </r>
  <r>
    <n v="38"/>
    <x v="0"/>
    <n v="1"/>
    <n v="3"/>
    <n v="2"/>
    <n v="25.959322546666499"/>
    <x v="60"/>
    <n v="24"/>
    <n v="91"/>
    <n v="3"/>
    <n v="0"/>
    <s v="C536"/>
    <x v="0"/>
    <x v="2"/>
    <x v="2"/>
    <x v="2"/>
    <x v="2"/>
    <s v="Strong"/>
    <x v="1"/>
    <n v="56"/>
    <x v="0"/>
    <x v="0"/>
    <x v="2"/>
    <s v="Strengthen technical skills and practical knowledge"/>
  </r>
  <r>
    <n v="42"/>
    <x v="1"/>
    <n v="2"/>
    <n v="14"/>
    <n v="2"/>
    <n v="15.826879481013099"/>
    <x v="80"/>
    <n v="60"/>
    <n v="9"/>
    <n v="3"/>
    <n v="0"/>
    <s v="C537"/>
    <x v="1"/>
    <x v="0"/>
    <x v="1"/>
    <x v="2"/>
    <x v="1"/>
    <s v="Needs Improvement"/>
    <x v="1"/>
    <n v="62"/>
    <x v="0"/>
    <x v="2"/>
    <x v="1"/>
    <s v="Work on communication and personality development"/>
  </r>
  <r>
    <n v="34"/>
    <x v="0"/>
    <n v="4"/>
    <n v="11"/>
    <n v="3"/>
    <n v="14.255662520757401"/>
    <x v="83"/>
    <n v="65"/>
    <n v="85"/>
    <n v="2"/>
    <n v="1"/>
    <s v="C538"/>
    <x v="0"/>
    <x v="1"/>
    <x v="1"/>
    <x v="2"/>
    <x v="1"/>
    <s v="Strong"/>
    <x v="0"/>
    <n v="75"/>
    <x v="2"/>
    <x v="0"/>
    <x v="2"/>
    <s v="Strengthen technical skills and practical knowledge"/>
  </r>
  <r>
    <n v="47"/>
    <x v="0"/>
    <n v="3"/>
    <n v="3"/>
    <n v="3"/>
    <n v="22.600527946518099"/>
    <x v="70"/>
    <n v="41"/>
    <n v="56"/>
    <n v="2"/>
    <n v="0"/>
    <s v="C539"/>
    <x v="0"/>
    <x v="3"/>
    <x v="2"/>
    <x v="1"/>
    <x v="2"/>
    <s v="Good"/>
    <x v="1"/>
    <n v="52"/>
    <x v="0"/>
    <x v="2"/>
    <x v="2"/>
    <s v="Strengthen technical skills and practical knowledge"/>
  </r>
  <r>
    <n v="21"/>
    <x v="0"/>
    <n v="2"/>
    <n v="8"/>
    <n v="2"/>
    <n v="50.9524749051822"/>
    <x v="29"/>
    <n v="64"/>
    <n v="96"/>
    <n v="1"/>
    <n v="1"/>
    <s v="C540"/>
    <x v="0"/>
    <x v="0"/>
    <x v="1"/>
    <x v="0"/>
    <x v="1"/>
    <s v="Strong"/>
    <x v="0"/>
    <n v="59"/>
    <x v="0"/>
    <x v="0"/>
    <x v="0"/>
    <s v="Improve interview preparation and communication"/>
  </r>
  <r>
    <n v="21"/>
    <x v="0"/>
    <n v="2"/>
    <n v="0"/>
    <n v="3"/>
    <n v="12.016369671879101"/>
    <x v="77"/>
    <n v="35"/>
    <n v="85"/>
    <n v="2"/>
    <n v="0"/>
    <s v="C541"/>
    <x v="0"/>
    <x v="0"/>
    <x v="0"/>
    <x v="0"/>
    <x v="2"/>
    <s v="Strong"/>
    <x v="1"/>
    <n v="43"/>
    <x v="1"/>
    <x v="0"/>
    <x v="2"/>
    <s v="Strengthen technical skills and practical knowledge"/>
  </r>
  <r>
    <n v="42"/>
    <x v="1"/>
    <n v="3"/>
    <n v="12"/>
    <n v="3"/>
    <n v="6.16083244394998"/>
    <x v="70"/>
    <n v="75"/>
    <n v="36"/>
    <n v="2"/>
    <n v="1"/>
    <s v="C542"/>
    <x v="1"/>
    <x v="3"/>
    <x v="1"/>
    <x v="1"/>
    <x v="0"/>
    <s v="Needs Improvement"/>
    <x v="0"/>
    <n v="67"/>
    <x v="0"/>
    <x v="1"/>
    <x v="1"/>
    <s v="Work on communication and personality development"/>
  </r>
  <r>
    <n v="50"/>
    <x v="1"/>
    <n v="2"/>
    <n v="1"/>
    <n v="4"/>
    <n v="30.251758435932999"/>
    <x v="10"/>
    <n v="8"/>
    <n v="76"/>
    <n v="2"/>
    <n v="0"/>
    <s v="C543"/>
    <x v="1"/>
    <x v="0"/>
    <x v="0"/>
    <x v="2"/>
    <x v="2"/>
    <s v="Strong"/>
    <x v="1"/>
    <n v="49"/>
    <x v="1"/>
    <x v="2"/>
    <x v="2"/>
    <s v="Strengthen technical skills and practical knowledge"/>
  </r>
  <r>
    <n v="41"/>
    <x v="0"/>
    <n v="3"/>
    <n v="1"/>
    <n v="1"/>
    <n v="25.4271233220128"/>
    <x v="71"/>
    <n v="35"/>
    <n v="90"/>
    <n v="2"/>
    <n v="0"/>
    <s v="C544"/>
    <x v="0"/>
    <x v="3"/>
    <x v="0"/>
    <x v="0"/>
    <x v="2"/>
    <s v="Strong"/>
    <x v="1"/>
    <n v="40"/>
    <x v="1"/>
    <x v="0"/>
    <x v="0"/>
    <s v="Improve interview preparation and communication"/>
  </r>
  <r>
    <n v="38"/>
    <x v="0"/>
    <n v="3"/>
    <n v="12"/>
    <n v="2"/>
    <n v="27.209813553165301"/>
    <x v="43"/>
    <n v="91"/>
    <n v="63"/>
    <n v="3"/>
    <n v="1"/>
    <s v="C545"/>
    <x v="0"/>
    <x v="3"/>
    <x v="1"/>
    <x v="1"/>
    <x v="0"/>
    <s v="Good"/>
    <x v="0"/>
    <n v="76"/>
    <x v="2"/>
    <x v="1"/>
    <x v="1"/>
    <s v="Work on communication and personality development"/>
  </r>
  <r>
    <n v="44"/>
    <x v="0"/>
    <n v="1"/>
    <n v="12"/>
    <n v="4"/>
    <n v="34.346770877860799"/>
    <x v="33"/>
    <n v="37"/>
    <n v="78"/>
    <n v="2"/>
    <n v="0"/>
    <s v="C546"/>
    <x v="0"/>
    <x v="2"/>
    <x v="1"/>
    <x v="0"/>
    <x v="2"/>
    <s v="Strong"/>
    <x v="1"/>
    <n v="42"/>
    <x v="1"/>
    <x v="0"/>
    <x v="0"/>
    <s v="Improve interview preparation and communication"/>
  </r>
  <r>
    <n v="45"/>
    <x v="1"/>
    <n v="1"/>
    <n v="5"/>
    <n v="1"/>
    <n v="14.357203493532401"/>
    <x v="10"/>
    <n v="32"/>
    <n v="85"/>
    <n v="2"/>
    <n v="0"/>
    <s v="C547"/>
    <x v="1"/>
    <x v="2"/>
    <x v="2"/>
    <x v="2"/>
    <x v="2"/>
    <s v="Strong"/>
    <x v="1"/>
    <n v="62"/>
    <x v="0"/>
    <x v="2"/>
    <x v="2"/>
    <s v="Strengthen technical skills and practical knowledge"/>
  </r>
  <r>
    <n v="50"/>
    <x v="1"/>
    <n v="2"/>
    <n v="14"/>
    <n v="3"/>
    <n v="46.533249769194398"/>
    <x v="36"/>
    <n v="41"/>
    <n v="93"/>
    <n v="2"/>
    <n v="0"/>
    <s v="C548"/>
    <x v="1"/>
    <x v="0"/>
    <x v="1"/>
    <x v="1"/>
    <x v="2"/>
    <s v="Strong"/>
    <x v="1"/>
    <n v="67"/>
    <x v="0"/>
    <x v="0"/>
    <x v="2"/>
    <s v="Strengthen technical skills and practical knowledge"/>
  </r>
  <r>
    <n v="49"/>
    <x v="1"/>
    <n v="1"/>
    <n v="3"/>
    <n v="3"/>
    <n v="22.7836033061145"/>
    <x v="97"/>
    <n v="60"/>
    <n v="39"/>
    <n v="1"/>
    <n v="0"/>
    <s v="C549"/>
    <x v="1"/>
    <x v="2"/>
    <x v="2"/>
    <x v="0"/>
    <x v="1"/>
    <s v="Needs Improvement"/>
    <x v="1"/>
    <n v="41"/>
    <x v="1"/>
    <x v="1"/>
    <x v="0"/>
    <s v="Improve interview preparation and communication"/>
  </r>
  <r>
    <n v="48"/>
    <x v="1"/>
    <n v="2"/>
    <n v="15"/>
    <n v="4"/>
    <n v="7.4543097571230801"/>
    <x v="37"/>
    <n v="45"/>
    <n v="100"/>
    <n v="1"/>
    <n v="1"/>
    <s v="C550"/>
    <x v="1"/>
    <x v="0"/>
    <x v="1"/>
    <x v="0"/>
    <x v="2"/>
    <s v="Strong"/>
    <x v="0"/>
    <n v="56"/>
    <x v="0"/>
    <x v="0"/>
    <x v="0"/>
    <s v="Improve interview preparation and communication"/>
  </r>
  <r>
    <n v="41"/>
    <x v="0"/>
    <n v="4"/>
    <n v="12"/>
    <n v="3"/>
    <n v="38.114937836697202"/>
    <x v="83"/>
    <n v="85"/>
    <n v="97"/>
    <n v="2"/>
    <n v="1"/>
    <s v="C551"/>
    <x v="0"/>
    <x v="1"/>
    <x v="1"/>
    <x v="2"/>
    <x v="0"/>
    <s v="Strong"/>
    <x v="0"/>
    <n v="84"/>
    <x v="2"/>
    <x v="0"/>
    <x v="0"/>
    <s v="Improve interview preparation and communication"/>
  </r>
  <r>
    <n v="45"/>
    <x v="0"/>
    <n v="2"/>
    <n v="10"/>
    <n v="5"/>
    <n v="33.155217630892501"/>
    <x v="91"/>
    <n v="88"/>
    <n v="59"/>
    <n v="1"/>
    <n v="1"/>
    <s v="C552"/>
    <x v="0"/>
    <x v="0"/>
    <x v="1"/>
    <x v="0"/>
    <x v="0"/>
    <s v="Good"/>
    <x v="0"/>
    <n v="51"/>
    <x v="0"/>
    <x v="1"/>
    <x v="0"/>
    <s v="Improve interview preparation and communication"/>
  </r>
  <r>
    <n v="45"/>
    <x v="0"/>
    <n v="3"/>
    <n v="9"/>
    <n v="4"/>
    <n v="16.787170124201801"/>
    <x v="85"/>
    <n v="60"/>
    <n v="97"/>
    <n v="2"/>
    <n v="1"/>
    <s v="C553"/>
    <x v="0"/>
    <x v="3"/>
    <x v="1"/>
    <x v="1"/>
    <x v="1"/>
    <s v="Strong"/>
    <x v="0"/>
    <n v="71"/>
    <x v="0"/>
    <x v="0"/>
    <x v="2"/>
    <s v="Strengthen technical skills and practical knowledge"/>
  </r>
  <r>
    <n v="41"/>
    <x v="1"/>
    <n v="2"/>
    <n v="12"/>
    <n v="1"/>
    <n v="32.075936201702397"/>
    <x v="75"/>
    <n v="17"/>
    <n v="47"/>
    <n v="2"/>
    <n v="0"/>
    <s v="C554"/>
    <x v="1"/>
    <x v="0"/>
    <x v="1"/>
    <x v="0"/>
    <x v="2"/>
    <s v="Needs Improvement"/>
    <x v="1"/>
    <n v="43"/>
    <x v="1"/>
    <x v="2"/>
    <x v="2"/>
    <s v="Strengthen technical skills and practical knowledge"/>
  </r>
  <r>
    <n v="36"/>
    <x v="1"/>
    <n v="2"/>
    <n v="2"/>
    <n v="4"/>
    <n v="11.993097818448801"/>
    <x v="84"/>
    <n v="69"/>
    <n v="98"/>
    <n v="1"/>
    <n v="1"/>
    <s v="C555"/>
    <x v="1"/>
    <x v="0"/>
    <x v="0"/>
    <x v="0"/>
    <x v="1"/>
    <s v="Strong"/>
    <x v="0"/>
    <n v="60"/>
    <x v="0"/>
    <x v="0"/>
    <x v="0"/>
    <s v="Improve interview preparation and communication"/>
  </r>
  <r>
    <n v="39"/>
    <x v="1"/>
    <n v="1"/>
    <n v="2"/>
    <n v="2"/>
    <n v="23.241967967026401"/>
    <x v="22"/>
    <n v="81"/>
    <n v="18"/>
    <n v="1"/>
    <n v="0"/>
    <s v="C556"/>
    <x v="1"/>
    <x v="2"/>
    <x v="0"/>
    <x v="0"/>
    <x v="0"/>
    <s v="Needs Improvement"/>
    <x v="1"/>
    <n v="36"/>
    <x v="1"/>
    <x v="1"/>
    <x v="0"/>
    <s v="Improve interview preparation and communication"/>
  </r>
  <r>
    <n v="29"/>
    <x v="0"/>
    <n v="2"/>
    <n v="2"/>
    <n v="4"/>
    <n v="45.970626108366197"/>
    <x v="34"/>
    <n v="79"/>
    <n v="71"/>
    <n v="2"/>
    <n v="0"/>
    <s v="C557"/>
    <x v="0"/>
    <x v="0"/>
    <x v="0"/>
    <x v="0"/>
    <x v="0"/>
    <s v="Good"/>
    <x v="1"/>
    <n v="47"/>
    <x v="1"/>
    <x v="1"/>
    <x v="0"/>
    <s v="Improve interview preparation and communication"/>
  </r>
  <r>
    <n v="25"/>
    <x v="0"/>
    <n v="2"/>
    <n v="5"/>
    <n v="3"/>
    <n v="7.6767116580374699"/>
    <x v="59"/>
    <n v="14"/>
    <n v="32"/>
    <n v="2"/>
    <n v="0"/>
    <s v="C558"/>
    <x v="0"/>
    <x v="0"/>
    <x v="2"/>
    <x v="1"/>
    <x v="2"/>
    <s v="Needs Improvement"/>
    <x v="1"/>
    <n v="34"/>
    <x v="1"/>
    <x v="2"/>
    <x v="2"/>
    <s v="Strengthen technical skills and practical knowledge"/>
  </r>
  <r>
    <n v="34"/>
    <x v="1"/>
    <n v="2"/>
    <n v="13"/>
    <n v="3"/>
    <n v="20.3348224993731"/>
    <x v="39"/>
    <n v="47"/>
    <n v="43"/>
    <n v="2"/>
    <n v="0"/>
    <s v="C559"/>
    <x v="1"/>
    <x v="0"/>
    <x v="1"/>
    <x v="0"/>
    <x v="2"/>
    <s v="Needs Improvement"/>
    <x v="1"/>
    <n v="51"/>
    <x v="0"/>
    <x v="1"/>
    <x v="0"/>
    <s v="Improve interview preparation and communication"/>
  </r>
  <r>
    <n v="41"/>
    <x v="0"/>
    <n v="3"/>
    <n v="15"/>
    <n v="5"/>
    <n v="42.057121236017302"/>
    <x v="41"/>
    <n v="71"/>
    <n v="91"/>
    <n v="2"/>
    <n v="1"/>
    <s v="C560"/>
    <x v="0"/>
    <x v="3"/>
    <x v="1"/>
    <x v="0"/>
    <x v="1"/>
    <s v="Strong"/>
    <x v="0"/>
    <n v="60"/>
    <x v="0"/>
    <x v="0"/>
    <x v="0"/>
    <s v="Improve interview preparation and communication"/>
  </r>
  <r>
    <n v="30"/>
    <x v="1"/>
    <n v="2"/>
    <n v="7"/>
    <n v="5"/>
    <n v="49.474544970308898"/>
    <x v="70"/>
    <n v="12"/>
    <n v="36"/>
    <n v="2"/>
    <n v="0"/>
    <s v="C561"/>
    <x v="1"/>
    <x v="0"/>
    <x v="1"/>
    <x v="1"/>
    <x v="2"/>
    <s v="Needs Improvement"/>
    <x v="1"/>
    <n v="42"/>
    <x v="1"/>
    <x v="2"/>
    <x v="2"/>
    <s v="Strengthen technical skills and practical knowledge"/>
  </r>
  <r>
    <n v="47"/>
    <x v="1"/>
    <n v="2"/>
    <n v="10"/>
    <n v="5"/>
    <n v="23.696306821089699"/>
    <x v="67"/>
    <n v="42"/>
    <n v="88"/>
    <n v="3"/>
    <n v="0"/>
    <s v="C562"/>
    <x v="1"/>
    <x v="0"/>
    <x v="1"/>
    <x v="0"/>
    <x v="2"/>
    <s v="Strong"/>
    <x v="1"/>
    <n v="56"/>
    <x v="0"/>
    <x v="0"/>
    <x v="2"/>
    <s v="Strengthen technical skills and practical knowledge"/>
  </r>
  <r>
    <n v="24"/>
    <x v="0"/>
    <n v="2"/>
    <n v="6"/>
    <n v="1"/>
    <n v="26.349981007167301"/>
    <x v="93"/>
    <n v="59"/>
    <n v="35"/>
    <n v="2"/>
    <n v="0"/>
    <s v="C563"/>
    <x v="0"/>
    <x v="0"/>
    <x v="2"/>
    <x v="1"/>
    <x v="1"/>
    <s v="Needs Improvement"/>
    <x v="1"/>
    <n v="54"/>
    <x v="0"/>
    <x v="2"/>
    <x v="1"/>
    <s v="Work on communication and personality development"/>
  </r>
  <r>
    <n v="20"/>
    <x v="1"/>
    <n v="1"/>
    <n v="13"/>
    <n v="5"/>
    <n v="29.608598089188401"/>
    <x v="40"/>
    <n v="56"/>
    <n v="80"/>
    <n v="3"/>
    <n v="0"/>
    <s v="C564"/>
    <x v="1"/>
    <x v="2"/>
    <x v="1"/>
    <x v="0"/>
    <x v="1"/>
    <s v="Strong"/>
    <x v="1"/>
    <n v="54"/>
    <x v="0"/>
    <x v="0"/>
    <x v="0"/>
    <s v="Improve interview preparation and communication"/>
  </r>
  <r>
    <n v="27"/>
    <x v="0"/>
    <n v="2"/>
    <n v="3"/>
    <n v="1"/>
    <n v="47.617407081685499"/>
    <x v="88"/>
    <n v="70"/>
    <n v="87"/>
    <n v="1"/>
    <n v="1"/>
    <s v="C565"/>
    <x v="0"/>
    <x v="0"/>
    <x v="2"/>
    <x v="0"/>
    <x v="1"/>
    <s v="Strong"/>
    <x v="0"/>
    <n v="55"/>
    <x v="0"/>
    <x v="0"/>
    <x v="0"/>
    <s v="Improve interview preparation and communication"/>
  </r>
  <r>
    <n v="40"/>
    <x v="1"/>
    <n v="1"/>
    <n v="10"/>
    <n v="5"/>
    <n v="43.910339548851397"/>
    <x v="13"/>
    <n v="16"/>
    <n v="20"/>
    <n v="2"/>
    <n v="0"/>
    <s v="C566"/>
    <x v="1"/>
    <x v="2"/>
    <x v="1"/>
    <x v="0"/>
    <x v="2"/>
    <s v="Needs Improvement"/>
    <x v="1"/>
    <n v="24"/>
    <x v="1"/>
    <x v="0"/>
    <x v="0"/>
    <s v="Improve interview preparation and communication"/>
  </r>
  <r>
    <n v="47"/>
    <x v="0"/>
    <n v="1"/>
    <n v="11"/>
    <n v="1"/>
    <n v="9.5300562310822095"/>
    <x v="77"/>
    <n v="49"/>
    <n v="1"/>
    <n v="2"/>
    <n v="0"/>
    <s v="C567"/>
    <x v="0"/>
    <x v="2"/>
    <x v="1"/>
    <x v="0"/>
    <x v="2"/>
    <s v="Needs Improvement"/>
    <x v="1"/>
    <n v="41"/>
    <x v="1"/>
    <x v="1"/>
    <x v="1"/>
    <s v="Work on communication and personality development"/>
  </r>
  <r>
    <n v="31"/>
    <x v="0"/>
    <n v="1"/>
    <n v="3"/>
    <n v="4"/>
    <n v="22.837890892353698"/>
    <x v="92"/>
    <n v="31"/>
    <n v="30"/>
    <n v="1"/>
    <n v="0"/>
    <s v="C568"/>
    <x v="0"/>
    <x v="2"/>
    <x v="2"/>
    <x v="0"/>
    <x v="2"/>
    <s v="Needs Improvement"/>
    <x v="1"/>
    <n v="27"/>
    <x v="1"/>
    <x v="1"/>
    <x v="0"/>
    <s v="Improve interview preparation and communication"/>
  </r>
  <r>
    <n v="31"/>
    <x v="0"/>
    <n v="2"/>
    <n v="10"/>
    <n v="4"/>
    <n v="24.2000214098213"/>
    <x v="92"/>
    <n v="21"/>
    <n v="96"/>
    <n v="1"/>
    <n v="1"/>
    <s v="C569"/>
    <x v="0"/>
    <x v="0"/>
    <x v="1"/>
    <x v="0"/>
    <x v="2"/>
    <s v="Strong"/>
    <x v="0"/>
    <n v="44"/>
    <x v="1"/>
    <x v="0"/>
    <x v="0"/>
    <s v="Improve interview preparation and communication"/>
  </r>
  <r>
    <n v="24"/>
    <x v="1"/>
    <n v="3"/>
    <n v="9"/>
    <n v="3"/>
    <n v="40.4548055824378"/>
    <x v="2"/>
    <n v="54"/>
    <n v="29"/>
    <n v="2"/>
    <n v="0"/>
    <s v="C570"/>
    <x v="1"/>
    <x v="3"/>
    <x v="1"/>
    <x v="0"/>
    <x v="1"/>
    <s v="Needs Improvement"/>
    <x v="1"/>
    <n v="41"/>
    <x v="1"/>
    <x v="1"/>
    <x v="0"/>
    <s v="Improve interview preparation and communication"/>
  </r>
  <r>
    <n v="26"/>
    <x v="1"/>
    <n v="2"/>
    <n v="14"/>
    <n v="1"/>
    <n v="31.144644130271701"/>
    <x v="55"/>
    <n v="56"/>
    <n v="75"/>
    <n v="1"/>
    <n v="1"/>
    <s v="C571"/>
    <x v="1"/>
    <x v="0"/>
    <x v="1"/>
    <x v="2"/>
    <x v="1"/>
    <s v="Strong"/>
    <x v="0"/>
    <n v="73"/>
    <x v="0"/>
    <x v="2"/>
    <x v="2"/>
    <s v="Strengthen technical skills and practical knowledge"/>
  </r>
  <r>
    <n v="23"/>
    <x v="0"/>
    <n v="2"/>
    <n v="10"/>
    <n v="2"/>
    <n v="33.7110231014506"/>
    <x v="21"/>
    <n v="12"/>
    <n v="43"/>
    <n v="1"/>
    <n v="0"/>
    <s v="C572"/>
    <x v="0"/>
    <x v="0"/>
    <x v="1"/>
    <x v="1"/>
    <x v="2"/>
    <s v="Needs Improvement"/>
    <x v="1"/>
    <n v="42"/>
    <x v="1"/>
    <x v="2"/>
    <x v="2"/>
    <s v="Strengthen technical skills and practical knowledge"/>
  </r>
  <r>
    <n v="25"/>
    <x v="0"/>
    <n v="2"/>
    <n v="15"/>
    <n v="3"/>
    <n v="50.909995383280801"/>
    <x v="84"/>
    <n v="46"/>
    <n v="11"/>
    <n v="3"/>
    <n v="0"/>
    <s v="C573"/>
    <x v="0"/>
    <x v="0"/>
    <x v="1"/>
    <x v="0"/>
    <x v="2"/>
    <s v="Needs Improvement"/>
    <x v="1"/>
    <n v="48"/>
    <x v="1"/>
    <x v="2"/>
    <x v="1"/>
    <s v="Work on communication and personality development"/>
  </r>
  <r>
    <n v="32"/>
    <x v="1"/>
    <n v="1"/>
    <n v="10"/>
    <n v="4"/>
    <n v="4.7480021735006499"/>
    <x v="70"/>
    <n v="86"/>
    <n v="50"/>
    <n v="3"/>
    <n v="0"/>
    <s v="C574"/>
    <x v="1"/>
    <x v="2"/>
    <x v="1"/>
    <x v="1"/>
    <x v="0"/>
    <s v="Good"/>
    <x v="1"/>
    <n v="70"/>
    <x v="0"/>
    <x v="1"/>
    <x v="1"/>
    <s v="Work on communication and personality development"/>
  </r>
  <r>
    <n v="39"/>
    <x v="1"/>
    <n v="3"/>
    <n v="13"/>
    <n v="1"/>
    <n v="12.1504911766866"/>
    <x v="82"/>
    <n v="61"/>
    <n v="48"/>
    <n v="2"/>
    <n v="1"/>
    <s v="C575"/>
    <x v="1"/>
    <x v="3"/>
    <x v="1"/>
    <x v="2"/>
    <x v="1"/>
    <s v="Needs Improvement"/>
    <x v="0"/>
    <n v="74"/>
    <x v="0"/>
    <x v="2"/>
    <x v="1"/>
    <s v="Work on communication and personality development"/>
  </r>
  <r>
    <n v="49"/>
    <x v="1"/>
    <n v="2"/>
    <n v="10"/>
    <n v="5"/>
    <n v="21.394796868577298"/>
    <x v="45"/>
    <n v="53"/>
    <n v="23"/>
    <n v="2"/>
    <n v="0"/>
    <s v="C576"/>
    <x v="1"/>
    <x v="0"/>
    <x v="1"/>
    <x v="0"/>
    <x v="1"/>
    <s v="Needs Improvement"/>
    <x v="1"/>
    <n v="41"/>
    <x v="1"/>
    <x v="1"/>
    <x v="1"/>
    <s v="Work on communication and personality development"/>
  </r>
  <r>
    <n v="34"/>
    <x v="0"/>
    <n v="2"/>
    <n v="1"/>
    <n v="2"/>
    <n v="18.389120152444299"/>
    <x v="47"/>
    <n v="28"/>
    <n v="23"/>
    <n v="3"/>
    <n v="0"/>
    <s v="C577"/>
    <x v="0"/>
    <x v="0"/>
    <x v="0"/>
    <x v="0"/>
    <x v="2"/>
    <s v="Needs Improvement"/>
    <x v="1"/>
    <n v="25"/>
    <x v="1"/>
    <x v="2"/>
    <x v="1"/>
    <s v="Work on communication and personality development"/>
  </r>
  <r>
    <n v="22"/>
    <x v="1"/>
    <n v="2"/>
    <n v="13"/>
    <n v="4"/>
    <n v="2.0822780673491699"/>
    <x v="14"/>
    <n v="21"/>
    <n v="59"/>
    <n v="2"/>
    <n v="0"/>
    <s v="C578"/>
    <x v="1"/>
    <x v="0"/>
    <x v="1"/>
    <x v="1"/>
    <x v="2"/>
    <s v="Good"/>
    <x v="1"/>
    <n v="55"/>
    <x v="0"/>
    <x v="2"/>
    <x v="2"/>
    <s v="Strengthen technical skills and practical knowledge"/>
  </r>
  <r>
    <n v="42"/>
    <x v="1"/>
    <n v="1"/>
    <n v="15"/>
    <n v="3"/>
    <n v="5.5888803235587901"/>
    <x v="31"/>
    <n v="64"/>
    <n v="10"/>
    <n v="1"/>
    <n v="1"/>
    <s v="C579"/>
    <x v="1"/>
    <x v="2"/>
    <x v="1"/>
    <x v="0"/>
    <x v="1"/>
    <s v="Needs Improvement"/>
    <x v="0"/>
    <n v="48"/>
    <x v="1"/>
    <x v="1"/>
    <x v="1"/>
    <s v="Work on communication and personality development"/>
  </r>
  <r>
    <n v="27"/>
    <x v="0"/>
    <n v="2"/>
    <n v="0"/>
    <n v="1"/>
    <n v="35.047664570178803"/>
    <x v="89"/>
    <n v="28"/>
    <n v="12"/>
    <n v="3"/>
    <n v="0"/>
    <s v="C580"/>
    <x v="0"/>
    <x v="0"/>
    <x v="0"/>
    <x v="0"/>
    <x v="2"/>
    <s v="Needs Improvement"/>
    <x v="1"/>
    <n v="26"/>
    <x v="1"/>
    <x v="2"/>
    <x v="1"/>
    <s v="Work on communication and personality development"/>
  </r>
  <r>
    <n v="39"/>
    <x v="1"/>
    <n v="2"/>
    <n v="8"/>
    <n v="2"/>
    <n v="44.966223168128003"/>
    <x v="18"/>
    <n v="47"/>
    <n v="90"/>
    <n v="2"/>
    <n v="0"/>
    <s v="C581"/>
    <x v="1"/>
    <x v="0"/>
    <x v="1"/>
    <x v="1"/>
    <x v="2"/>
    <s v="Strong"/>
    <x v="1"/>
    <n v="63"/>
    <x v="0"/>
    <x v="0"/>
    <x v="2"/>
    <s v="Strengthen technical skills and practical knowledge"/>
  </r>
  <r>
    <n v="35"/>
    <x v="1"/>
    <n v="3"/>
    <n v="11"/>
    <n v="1"/>
    <n v="26.711350563298801"/>
    <x v="44"/>
    <n v="4"/>
    <n v="71"/>
    <n v="2"/>
    <n v="0"/>
    <s v="C582"/>
    <x v="1"/>
    <x v="3"/>
    <x v="1"/>
    <x v="1"/>
    <x v="2"/>
    <s v="Good"/>
    <x v="1"/>
    <n v="48"/>
    <x v="1"/>
    <x v="0"/>
    <x v="2"/>
    <s v="Strengthen technical skills and practical knowledge"/>
  </r>
  <r>
    <n v="32"/>
    <x v="1"/>
    <n v="1"/>
    <n v="14"/>
    <n v="5"/>
    <n v="27.959553975681601"/>
    <x v="44"/>
    <n v="34"/>
    <n v="73"/>
    <n v="2"/>
    <n v="0"/>
    <s v="C583"/>
    <x v="1"/>
    <x v="2"/>
    <x v="1"/>
    <x v="1"/>
    <x v="2"/>
    <s v="Good"/>
    <x v="1"/>
    <n v="59"/>
    <x v="0"/>
    <x v="0"/>
    <x v="2"/>
    <s v="Strengthen technical skills and practical knowledge"/>
  </r>
  <r>
    <n v="37"/>
    <x v="0"/>
    <n v="2"/>
    <n v="11"/>
    <n v="3"/>
    <n v="13.7546716416189"/>
    <x v="43"/>
    <n v="73"/>
    <n v="71"/>
    <n v="2"/>
    <n v="0"/>
    <s v="C584"/>
    <x v="0"/>
    <x v="0"/>
    <x v="1"/>
    <x v="1"/>
    <x v="1"/>
    <s v="Good"/>
    <x v="1"/>
    <n v="70"/>
    <x v="0"/>
    <x v="1"/>
    <x v="0"/>
    <s v="Improve interview preparation and communication"/>
  </r>
  <r>
    <n v="47"/>
    <x v="0"/>
    <n v="2"/>
    <n v="1"/>
    <n v="1"/>
    <n v="39.393818181685504"/>
    <x v="56"/>
    <n v="82"/>
    <n v="63"/>
    <n v="3"/>
    <n v="0"/>
    <s v="C585"/>
    <x v="0"/>
    <x v="0"/>
    <x v="0"/>
    <x v="2"/>
    <x v="0"/>
    <s v="Good"/>
    <x v="1"/>
    <n v="64"/>
    <x v="0"/>
    <x v="1"/>
    <x v="1"/>
    <s v="Work on communication and personality development"/>
  </r>
  <r>
    <n v="29"/>
    <x v="0"/>
    <n v="1"/>
    <n v="12"/>
    <n v="4"/>
    <n v="38.589729368362804"/>
    <x v="18"/>
    <n v="100"/>
    <n v="19"/>
    <n v="2"/>
    <n v="0"/>
    <s v="C586"/>
    <x v="0"/>
    <x v="2"/>
    <x v="1"/>
    <x v="1"/>
    <x v="0"/>
    <s v="Needs Improvement"/>
    <x v="1"/>
    <n v="68"/>
    <x v="0"/>
    <x v="1"/>
    <x v="1"/>
    <s v="Work on communication and personality development"/>
  </r>
  <r>
    <n v="49"/>
    <x v="0"/>
    <n v="2"/>
    <n v="7"/>
    <n v="3"/>
    <n v="30.418284460882798"/>
    <x v="72"/>
    <n v="70"/>
    <n v="71"/>
    <n v="3"/>
    <n v="1"/>
    <s v="C587"/>
    <x v="0"/>
    <x v="0"/>
    <x v="1"/>
    <x v="2"/>
    <x v="1"/>
    <s v="Good"/>
    <x v="0"/>
    <n v="71"/>
    <x v="0"/>
    <x v="2"/>
    <x v="2"/>
    <s v="Strengthen technical skills and practical knowledge"/>
  </r>
  <r>
    <n v="38"/>
    <x v="0"/>
    <n v="3"/>
    <n v="14"/>
    <n v="4"/>
    <n v="11.633214325567099"/>
    <x v="58"/>
    <n v="45"/>
    <n v="72"/>
    <n v="3"/>
    <n v="0"/>
    <s v="C588"/>
    <x v="0"/>
    <x v="3"/>
    <x v="1"/>
    <x v="0"/>
    <x v="2"/>
    <s v="Good"/>
    <x v="1"/>
    <n v="50"/>
    <x v="0"/>
    <x v="0"/>
    <x v="0"/>
    <s v="Improve interview preparation and communication"/>
  </r>
  <r>
    <n v="36"/>
    <x v="0"/>
    <n v="3"/>
    <n v="15"/>
    <n v="1"/>
    <n v="5.85091091185447"/>
    <x v="40"/>
    <n v="34"/>
    <n v="70"/>
    <n v="2"/>
    <n v="0"/>
    <s v="C589"/>
    <x v="0"/>
    <x v="3"/>
    <x v="1"/>
    <x v="0"/>
    <x v="2"/>
    <s v="Good"/>
    <x v="1"/>
    <n v="48"/>
    <x v="1"/>
    <x v="0"/>
    <x v="0"/>
    <s v="Improve interview preparation and communication"/>
  </r>
  <r>
    <n v="43"/>
    <x v="0"/>
    <n v="2"/>
    <n v="8"/>
    <n v="3"/>
    <n v="4.2119287928562903"/>
    <x v="86"/>
    <n v="44"/>
    <n v="77"/>
    <n v="2"/>
    <n v="0"/>
    <s v="C590"/>
    <x v="0"/>
    <x v="0"/>
    <x v="1"/>
    <x v="1"/>
    <x v="2"/>
    <s v="Strong"/>
    <x v="1"/>
    <n v="54"/>
    <x v="0"/>
    <x v="0"/>
    <x v="2"/>
    <s v="Strengthen technical skills and practical knowledge"/>
  </r>
  <r>
    <n v="50"/>
    <x v="1"/>
    <n v="3"/>
    <n v="3"/>
    <n v="4"/>
    <n v="30.6348033321438"/>
    <x v="43"/>
    <n v="12"/>
    <n v="27"/>
    <n v="2"/>
    <n v="0"/>
    <s v="C591"/>
    <x v="1"/>
    <x v="3"/>
    <x v="2"/>
    <x v="1"/>
    <x v="2"/>
    <s v="Needs Improvement"/>
    <x v="1"/>
    <n v="36"/>
    <x v="1"/>
    <x v="2"/>
    <x v="2"/>
    <s v="Strengthen technical skills and practical knowledge"/>
  </r>
  <r>
    <n v="38"/>
    <x v="1"/>
    <n v="4"/>
    <n v="7"/>
    <n v="5"/>
    <n v="42.251765957140002"/>
    <x v="17"/>
    <n v="9"/>
    <n v="1"/>
    <n v="1"/>
    <n v="1"/>
    <s v="C592"/>
    <x v="1"/>
    <x v="1"/>
    <x v="1"/>
    <x v="1"/>
    <x v="2"/>
    <s v="Needs Improvement"/>
    <x v="0"/>
    <n v="34"/>
    <x v="1"/>
    <x v="2"/>
    <x v="1"/>
    <s v="Work on communication and personality development"/>
  </r>
  <r>
    <n v="47"/>
    <x v="0"/>
    <n v="3"/>
    <n v="8"/>
    <n v="5"/>
    <n v="43.916521589046198"/>
    <x v="9"/>
    <n v="65"/>
    <n v="42"/>
    <n v="1"/>
    <n v="1"/>
    <s v="C593"/>
    <x v="0"/>
    <x v="3"/>
    <x v="1"/>
    <x v="2"/>
    <x v="1"/>
    <s v="Needs Improvement"/>
    <x v="0"/>
    <n v="67"/>
    <x v="0"/>
    <x v="2"/>
    <x v="1"/>
    <s v="Work on communication and personality development"/>
  </r>
  <r>
    <n v="45"/>
    <x v="1"/>
    <n v="1"/>
    <n v="9"/>
    <n v="1"/>
    <n v="24.181103717172402"/>
    <x v="30"/>
    <n v="69"/>
    <n v="7"/>
    <n v="2"/>
    <n v="0"/>
    <s v="C594"/>
    <x v="1"/>
    <x v="2"/>
    <x v="1"/>
    <x v="1"/>
    <x v="1"/>
    <s v="Needs Improvement"/>
    <x v="1"/>
    <n v="56"/>
    <x v="0"/>
    <x v="2"/>
    <x v="1"/>
    <s v="Work on communication and personality development"/>
  </r>
  <r>
    <n v="42"/>
    <x v="1"/>
    <n v="3"/>
    <n v="9"/>
    <n v="3"/>
    <n v="40.213564965335799"/>
    <x v="28"/>
    <n v="71"/>
    <n v="12"/>
    <n v="2"/>
    <n v="1"/>
    <s v="C595"/>
    <x v="1"/>
    <x v="3"/>
    <x v="1"/>
    <x v="2"/>
    <x v="1"/>
    <s v="Needs Improvement"/>
    <x v="0"/>
    <n v="60"/>
    <x v="0"/>
    <x v="2"/>
    <x v="1"/>
    <s v="Work on communication and personality development"/>
  </r>
  <r>
    <n v="45"/>
    <x v="0"/>
    <n v="2"/>
    <n v="4"/>
    <n v="2"/>
    <n v="48.344009817051102"/>
    <x v="47"/>
    <n v="99"/>
    <n v="84"/>
    <n v="1"/>
    <n v="1"/>
    <s v="C596"/>
    <x v="0"/>
    <x v="0"/>
    <x v="2"/>
    <x v="0"/>
    <x v="0"/>
    <s v="Strong"/>
    <x v="0"/>
    <n v="62"/>
    <x v="0"/>
    <x v="1"/>
    <x v="0"/>
    <s v="Improve interview preparation and communication"/>
  </r>
  <r>
    <n v="24"/>
    <x v="1"/>
    <n v="4"/>
    <n v="15"/>
    <n v="3"/>
    <n v="14.7585056244034"/>
    <x v="6"/>
    <n v="24"/>
    <n v="91"/>
    <n v="1"/>
    <n v="1"/>
    <s v="C597"/>
    <x v="1"/>
    <x v="1"/>
    <x v="1"/>
    <x v="0"/>
    <x v="2"/>
    <s v="Strong"/>
    <x v="0"/>
    <n v="53"/>
    <x v="0"/>
    <x v="0"/>
    <x v="0"/>
    <s v="Improve interview preparation and communication"/>
  </r>
  <r>
    <n v="45"/>
    <x v="1"/>
    <n v="2"/>
    <n v="12"/>
    <n v="5"/>
    <n v="20.898017319037798"/>
    <x v="30"/>
    <n v="43"/>
    <n v="34"/>
    <n v="3"/>
    <n v="0"/>
    <s v="C598"/>
    <x v="1"/>
    <x v="0"/>
    <x v="1"/>
    <x v="1"/>
    <x v="2"/>
    <s v="Needs Improvement"/>
    <x v="1"/>
    <n v="56"/>
    <x v="0"/>
    <x v="2"/>
    <x v="1"/>
    <s v="Work on communication and personality development"/>
  </r>
  <r>
    <n v="40"/>
    <x v="1"/>
    <n v="1"/>
    <n v="13"/>
    <n v="4"/>
    <n v="47.573949629833997"/>
    <x v="11"/>
    <n v="59"/>
    <n v="22"/>
    <n v="2"/>
    <n v="0"/>
    <s v="C599"/>
    <x v="1"/>
    <x v="2"/>
    <x v="1"/>
    <x v="1"/>
    <x v="1"/>
    <s v="Needs Improvement"/>
    <x v="1"/>
    <n v="59"/>
    <x v="0"/>
    <x v="2"/>
    <x v="1"/>
    <s v="Work on communication and personality development"/>
  </r>
  <r>
    <n v="49"/>
    <x v="1"/>
    <n v="3"/>
    <n v="6"/>
    <n v="2"/>
    <n v="17.911548365864199"/>
    <x v="45"/>
    <n v="46"/>
    <n v="45"/>
    <n v="3"/>
    <n v="0"/>
    <s v="C600"/>
    <x v="1"/>
    <x v="3"/>
    <x v="2"/>
    <x v="0"/>
    <x v="2"/>
    <s v="Needs Improvement"/>
    <x v="1"/>
    <n v="40"/>
    <x v="1"/>
    <x v="1"/>
    <x v="0"/>
    <s v="Improve interview preparation and communication"/>
  </r>
  <r>
    <n v="42"/>
    <x v="1"/>
    <n v="2"/>
    <n v="15"/>
    <n v="1"/>
    <n v="46.693814516089802"/>
    <x v="66"/>
    <n v="39"/>
    <n v="14"/>
    <n v="2"/>
    <n v="0"/>
    <s v="C601"/>
    <x v="1"/>
    <x v="0"/>
    <x v="1"/>
    <x v="1"/>
    <x v="2"/>
    <s v="Needs Improvement"/>
    <x v="1"/>
    <n v="49"/>
    <x v="1"/>
    <x v="2"/>
    <x v="1"/>
    <s v="Work on communication and personality development"/>
  </r>
  <r>
    <n v="50"/>
    <x v="0"/>
    <n v="4"/>
    <n v="9"/>
    <n v="2"/>
    <n v="50.052243112723197"/>
    <x v="71"/>
    <n v="6"/>
    <n v="1"/>
    <n v="2"/>
    <n v="0"/>
    <s v="C602"/>
    <x v="0"/>
    <x v="1"/>
    <x v="1"/>
    <x v="0"/>
    <x v="2"/>
    <s v="Needs Improvement"/>
    <x v="1"/>
    <n v="22"/>
    <x v="1"/>
    <x v="2"/>
    <x v="1"/>
    <s v="Work on communication and personality development"/>
  </r>
  <r>
    <n v="28"/>
    <x v="0"/>
    <n v="4"/>
    <n v="3"/>
    <n v="1"/>
    <n v="34.090536428721201"/>
    <x v="63"/>
    <n v="45"/>
    <n v="60"/>
    <n v="1"/>
    <n v="1"/>
    <s v="C603"/>
    <x v="0"/>
    <x v="1"/>
    <x v="2"/>
    <x v="2"/>
    <x v="2"/>
    <s v="Good"/>
    <x v="0"/>
    <n v="60"/>
    <x v="0"/>
    <x v="2"/>
    <x v="2"/>
    <s v="Strengthen technical skills and practical knowledge"/>
  </r>
  <r>
    <n v="31"/>
    <x v="0"/>
    <n v="2"/>
    <n v="0"/>
    <n v="2"/>
    <n v="41.844514475208399"/>
    <x v="40"/>
    <n v="22"/>
    <n v="75"/>
    <n v="2"/>
    <n v="0"/>
    <s v="C604"/>
    <x v="0"/>
    <x v="0"/>
    <x v="0"/>
    <x v="0"/>
    <x v="2"/>
    <s v="Strong"/>
    <x v="1"/>
    <n v="30"/>
    <x v="1"/>
    <x v="0"/>
    <x v="0"/>
    <s v="Improve interview preparation and communication"/>
  </r>
  <r>
    <n v="40"/>
    <x v="1"/>
    <n v="1"/>
    <n v="2"/>
    <n v="1"/>
    <n v="38.477278211054198"/>
    <x v="31"/>
    <n v="82"/>
    <n v="63"/>
    <n v="2"/>
    <n v="0"/>
    <s v="C605"/>
    <x v="1"/>
    <x v="2"/>
    <x v="0"/>
    <x v="0"/>
    <x v="0"/>
    <s v="Good"/>
    <x v="1"/>
    <n v="51"/>
    <x v="0"/>
    <x v="1"/>
    <x v="0"/>
    <s v="Improve interview preparation and communication"/>
  </r>
  <r>
    <n v="20"/>
    <x v="0"/>
    <n v="2"/>
    <n v="4"/>
    <n v="1"/>
    <n v="35.976712880776098"/>
    <x v="45"/>
    <n v="45"/>
    <n v="51"/>
    <n v="1"/>
    <n v="0"/>
    <s v="C606"/>
    <x v="0"/>
    <x v="0"/>
    <x v="2"/>
    <x v="0"/>
    <x v="2"/>
    <s v="Good"/>
    <x v="1"/>
    <n v="38"/>
    <x v="1"/>
    <x v="0"/>
    <x v="0"/>
    <s v="Improve interview preparation and communication"/>
  </r>
  <r>
    <n v="45"/>
    <x v="1"/>
    <n v="1"/>
    <n v="2"/>
    <n v="2"/>
    <n v="16.346553649061601"/>
    <x v="89"/>
    <n v="85"/>
    <n v="35"/>
    <n v="2"/>
    <n v="0"/>
    <s v="C607"/>
    <x v="1"/>
    <x v="2"/>
    <x v="0"/>
    <x v="0"/>
    <x v="0"/>
    <s v="Needs Improvement"/>
    <x v="1"/>
    <n v="49"/>
    <x v="1"/>
    <x v="1"/>
    <x v="1"/>
    <s v="Work on communication and personality development"/>
  </r>
  <r>
    <n v="45"/>
    <x v="1"/>
    <n v="1"/>
    <n v="15"/>
    <n v="2"/>
    <n v="3.8547168953971802"/>
    <x v="42"/>
    <n v="12"/>
    <n v="66"/>
    <n v="2"/>
    <n v="0"/>
    <s v="C608"/>
    <x v="1"/>
    <x v="2"/>
    <x v="1"/>
    <x v="0"/>
    <x v="2"/>
    <s v="Good"/>
    <x v="1"/>
    <n v="46"/>
    <x v="1"/>
    <x v="0"/>
    <x v="2"/>
    <s v="Strengthen technical skills and practical knowledge"/>
  </r>
  <r>
    <n v="20"/>
    <x v="1"/>
    <n v="3"/>
    <n v="11"/>
    <n v="1"/>
    <n v="18.152586625982501"/>
    <x v="19"/>
    <n v="20"/>
    <n v="68"/>
    <n v="2"/>
    <n v="1"/>
    <s v="C609"/>
    <x v="1"/>
    <x v="3"/>
    <x v="1"/>
    <x v="2"/>
    <x v="2"/>
    <s v="Good"/>
    <x v="0"/>
    <n v="64"/>
    <x v="0"/>
    <x v="2"/>
    <x v="2"/>
    <s v="Strengthen technical skills and practical knowledge"/>
  </r>
  <r>
    <n v="34"/>
    <x v="1"/>
    <n v="2"/>
    <n v="12"/>
    <n v="5"/>
    <n v="34.346799260195297"/>
    <x v="23"/>
    <n v="0"/>
    <n v="66"/>
    <n v="2"/>
    <n v="0"/>
    <s v="C610"/>
    <x v="1"/>
    <x v="0"/>
    <x v="1"/>
    <x v="0"/>
    <x v="2"/>
    <s v="Good"/>
    <x v="1"/>
    <n v="34"/>
    <x v="1"/>
    <x v="0"/>
    <x v="2"/>
    <s v="Strengthen technical skills and practical knowledge"/>
  </r>
  <r>
    <n v="21"/>
    <x v="0"/>
    <n v="2"/>
    <n v="10"/>
    <n v="2"/>
    <n v="6.12645991139006"/>
    <x v="90"/>
    <n v="18"/>
    <n v="46"/>
    <n v="2"/>
    <n v="0"/>
    <s v="C611"/>
    <x v="0"/>
    <x v="0"/>
    <x v="1"/>
    <x v="0"/>
    <x v="2"/>
    <s v="Needs Improvement"/>
    <x v="1"/>
    <n v="41"/>
    <x v="1"/>
    <x v="2"/>
    <x v="2"/>
    <s v="Strengthen technical skills and practical knowledge"/>
  </r>
  <r>
    <n v="49"/>
    <x v="0"/>
    <n v="4"/>
    <n v="6"/>
    <n v="3"/>
    <n v="1.5958991489120999"/>
    <x v="22"/>
    <n v="59"/>
    <n v="82"/>
    <n v="2"/>
    <n v="1"/>
    <s v="C612"/>
    <x v="0"/>
    <x v="1"/>
    <x v="2"/>
    <x v="0"/>
    <x v="1"/>
    <s v="Strong"/>
    <x v="0"/>
    <n v="49"/>
    <x v="1"/>
    <x v="0"/>
    <x v="0"/>
    <s v="Improve interview preparation and communication"/>
  </r>
  <r>
    <n v="41"/>
    <x v="1"/>
    <n v="2"/>
    <n v="11"/>
    <n v="4"/>
    <n v="7.9846186301469304"/>
    <x v="63"/>
    <n v="32"/>
    <n v="1"/>
    <n v="3"/>
    <n v="0"/>
    <s v="C613"/>
    <x v="1"/>
    <x v="0"/>
    <x v="1"/>
    <x v="2"/>
    <x v="2"/>
    <s v="Needs Improvement"/>
    <x v="1"/>
    <n v="50"/>
    <x v="0"/>
    <x v="2"/>
    <x v="1"/>
    <s v="Work on communication and personality development"/>
  </r>
  <r>
    <n v="35"/>
    <x v="0"/>
    <n v="2"/>
    <n v="8"/>
    <n v="1"/>
    <n v="36.7867963205397"/>
    <x v="36"/>
    <n v="3"/>
    <n v="43"/>
    <n v="3"/>
    <n v="0"/>
    <s v="C614"/>
    <x v="0"/>
    <x v="0"/>
    <x v="1"/>
    <x v="1"/>
    <x v="2"/>
    <s v="Needs Improvement"/>
    <x v="1"/>
    <n v="40"/>
    <x v="1"/>
    <x v="2"/>
    <x v="2"/>
    <s v="Strengthen technical skills and practical knowledge"/>
  </r>
  <r>
    <n v="44"/>
    <x v="1"/>
    <n v="4"/>
    <n v="14"/>
    <n v="1"/>
    <n v="49.639685082822197"/>
    <x v="36"/>
    <n v="2"/>
    <n v="100"/>
    <n v="3"/>
    <n v="0"/>
    <s v="C615"/>
    <x v="1"/>
    <x v="1"/>
    <x v="1"/>
    <x v="1"/>
    <x v="2"/>
    <s v="Strong"/>
    <x v="1"/>
    <n v="59"/>
    <x v="0"/>
    <x v="0"/>
    <x v="2"/>
    <s v="Strengthen technical skills and practical knowledge"/>
  </r>
  <r>
    <n v="27"/>
    <x v="0"/>
    <n v="1"/>
    <n v="11"/>
    <n v="4"/>
    <n v="50.153234980740997"/>
    <x v="37"/>
    <n v="90"/>
    <n v="63"/>
    <n v="2"/>
    <n v="0"/>
    <s v="C616"/>
    <x v="0"/>
    <x v="2"/>
    <x v="1"/>
    <x v="0"/>
    <x v="0"/>
    <s v="Good"/>
    <x v="1"/>
    <n v="58"/>
    <x v="0"/>
    <x v="1"/>
    <x v="0"/>
    <s v="Improve interview preparation and communication"/>
  </r>
  <r>
    <n v="32"/>
    <x v="0"/>
    <n v="3"/>
    <n v="5"/>
    <n v="5"/>
    <n v="25.6989574570093"/>
    <x v="14"/>
    <n v="51"/>
    <n v="80"/>
    <n v="2"/>
    <n v="1"/>
    <s v="C617"/>
    <x v="0"/>
    <x v="3"/>
    <x v="2"/>
    <x v="1"/>
    <x v="1"/>
    <s v="Strong"/>
    <x v="0"/>
    <n v="62"/>
    <x v="0"/>
    <x v="0"/>
    <x v="2"/>
    <s v="Strengthen technical skills and practical knowledge"/>
  </r>
  <r>
    <n v="40"/>
    <x v="1"/>
    <n v="4"/>
    <n v="12"/>
    <n v="4"/>
    <n v="44.467615049617301"/>
    <x v="76"/>
    <n v="98"/>
    <n v="77"/>
    <n v="2"/>
    <n v="1"/>
    <s v="C618"/>
    <x v="1"/>
    <x v="1"/>
    <x v="1"/>
    <x v="0"/>
    <x v="0"/>
    <s v="Strong"/>
    <x v="0"/>
    <n v="70"/>
    <x v="0"/>
    <x v="1"/>
    <x v="0"/>
    <s v="Improve interview preparation and communication"/>
  </r>
  <r>
    <n v="20"/>
    <x v="0"/>
    <n v="4"/>
    <n v="9"/>
    <n v="2"/>
    <n v="37.841322787575201"/>
    <x v="38"/>
    <n v="27"/>
    <n v="27"/>
    <n v="1"/>
    <n v="1"/>
    <s v="C619"/>
    <x v="0"/>
    <x v="1"/>
    <x v="1"/>
    <x v="2"/>
    <x v="2"/>
    <s v="Needs Improvement"/>
    <x v="0"/>
    <n v="50"/>
    <x v="0"/>
    <x v="2"/>
    <x v="2"/>
    <s v="Strengthen technical skills and practical knowledge"/>
  </r>
  <r>
    <n v="35"/>
    <x v="1"/>
    <n v="2"/>
    <n v="0"/>
    <n v="4"/>
    <n v="26.052011849230102"/>
    <x v="16"/>
    <n v="69"/>
    <n v="90"/>
    <n v="3"/>
    <n v="0"/>
    <s v="C620"/>
    <x v="1"/>
    <x v="0"/>
    <x v="0"/>
    <x v="0"/>
    <x v="1"/>
    <s v="Strong"/>
    <x v="1"/>
    <n v="51"/>
    <x v="0"/>
    <x v="0"/>
    <x v="0"/>
    <s v="Improve interview preparation and communication"/>
  </r>
  <r>
    <n v="48"/>
    <x v="0"/>
    <n v="2"/>
    <n v="15"/>
    <n v="1"/>
    <n v="29.638026647754302"/>
    <x v="42"/>
    <n v="69"/>
    <n v="53"/>
    <n v="2"/>
    <n v="0"/>
    <s v="C621"/>
    <x v="0"/>
    <x v="0"/>
    <x v="1"/>
    <x v="0"/>
    <x v="1"/>
    <s v="Good"/>
    <x v="1"/>
    <n v="61"/>
    <x v="0"/>
    <x v="1"/>
    <x v="0"/>
    <s v="Improve interview preparation and communication"/>
  </r>
  <r>
    <n v="26"/>
    <x v="1"/>
    <n v="2"/>
    <n v="6"/>
    <n v="4"/>
    <n v="7.8613573308435498"/>
    <x v="38"/>
    <n v="54"/>
    <n v="73"/>
    <n v="1"/>
    <n v="1"/>
    <s v="C622"/>
    <x v="1"/>
    <x v="0"/>
    <x v="2"/>
    <x v="2"/>
    <x v="1"/>
    <s v="Good"/>
    <x v="0"/>
    <n v="62"/>
    <x v="0"/>
    <x v="2"/>
    <x v="2"/>
    <s v="Strengthen technical skills and practical knowledge"/>
  </r>
  <r>
    <n v="50"/>
    <x v="1"/>
    <n v="3"/>
    <n v="14"/>
    <n v="3"/>
    <n v="47.8830730308296"/>
    <x v="31"/>
    <n v="56"/>
    <n v="66"/>
    <n v="1"/>
    <n v="1"/>
    <s v="C623"/>
    <x v="1"/>
    <x v="3"/>
    <x v="1"/>
    <x v="0"/>
    <x v="1"/>
    <s v="Good"/>
    <x v="0"/>
    <n v="57"/>
    <x v="0"/>
    <x v="0"/>
    <x v="0"/>
    <s v="Improve interview preparation and communication"/>
  </r>
  <r>
    <n v="24"/>
    <x v="0"/>
    <n v="3"/>
    <n v="2"/>
    <n v="2"/>
    <n v="18.596488536588801"/>
    <x v="79"/>
    <n v="86"/>
    <n v="35"/>
    <n v="3"/>
    <n v="0"/>
    <s v="C624"/>
    <x v="0"/>
    <x v="3"/>
    <x v="0"/>
    <x v="2"/>
    <x v="0"/>
    <s v="Needs Improvement"/>
    <x v="1"/>
    <n v="64"/>
    <x v="0"/>
    <x v="1"/>
    <x v="1"/>
    <s v="Work on communication and personality development"/>
  </r>
  <r>
    <n v="41"/>
    <x v="0"/>
    <n v="2"/>
    <n v="4"/>
    <n v="4"/>
    <n v="23.307462822858401"/>
    <x v="97"/>
    <n v="96"/>
    <n v="62"/>
    <n v="1"/>
    <n v="1"/>
    <s v="C625"/>
    <x v="0"/>
    <x v="0"/>
    <x v="2"/>
    <x v="0"/>
    <x v="0"/>
    <s v="Good"/>
    <x v="0"/>
    <n v="57"/>
    <x v="0"/>
    <x v="1"/>
    <x v="0"/>
    <s v="Improve interview preparation and communication"/>
  </r>
  <r>
    <n v="48"/>
    <x v="1"/>
    <n v="2"/>
    <n v="15"/>
    <n v="1"/>
    <n v="34.583011549894898"/>
    <x v="95"/>
    <n v="15"/>
    <n v="24"/>
    <n v="1"/>
    <n v="0"/>
    <s v="C626"/>
    <x v="1"/>
    <x v="0"/>
    <x v="1"/>
    <x v="1"/>
    <x v="2"/>
    <s v="Needs Improvement"/>
    <x v="1"/>
    <n v="43"/>
    <x v="1"/>
    <x v="2"/>
    <x v="2"/>
    <s v="Strengthen technical skills and practical knowledge"/>
  </r>
  <r>
    <n v="42"/>
    <x v="0"/>
    <n v="1"/>
    <n v="9"/>
    <n v="2"/>
    <n v="17.6951235763276"/>
    <x v="82"/>
    <n v="23"/>
    <n v="85"/>
    <n v="2"/>
    <n v="0"/>
    <s v="C627"/>
    <x v="0"/>
    <x v="2"/>
    <x v="1"/>
    <x v="2"/>
    <x v="2"/>
    <s v="Strong"/>
    <x v="1"/>
    <n v="65"/>
    <x v="0"/>
    <x v="2"/>
    <x v="2"/>
    <s v="Strengthen technical skills and practical knowledge"/>
  </r>
  <r>
    <n v="22"/>
    <x v="0"/>
    <n v="1"/>
    <n v="3"/>
    <n v="1"/>
    <n v="13.712958049446501"/>
    <x v="85"/>
    <n v="68"/>
    <n v="47"/>
    <n v="1"/>
    <n v="1"/>
    <s v="C628"/>
    <x v="0"/>
    <x v="2"/>
    <x v="2"/>
    <x v="1"/>
    <x v="1"/>
    <s v="Needs Improvement"/>
    <x v="0"/>
    <n v="57"/>
    <x v="0"/>
    <x v="2"/>
    <x v="1"/>
    <s v="Work on communication and personality development"/>
  </r>
  <r>
    <n v="31"/>
    <x v="1"/>
    <n v="3"/>
    <n v="9"/>
    <n v="5"/>
    <n v="32.552469663510998"/>
    <x v="96"/>
    <n v="40"/>
    <n v="38"/>
    <n v="3"/>
    <n v="0"/>
    <s v="C629"/>
    <x v="1"/>
    <x v="3"/>
    <x v="1"/>
    <x v="1"/>
    <x v="2"/>
    <s v="Needs Improvement"/>
    <x v="1"/>
    <n v="50"/>
    <x v="0"/>
    <x v="2"/>
    <x v="1"/>
    <s v="Work on communication and personality development"/>
  </r>
  <r>
    <n v="45"/>
    <x v="1"/>
    <n v="2"/>
    <n v="4"/>
    <n v="3"/>
    <n v="2.2492041140924699"/>
    <x v="42"/>
    <n v="76"/>
    <n v="46"/>
    <n v="2"/>
    <n v="0"/>
    <s v="C630"/>
    <x v="1"/>
    <x v="0"/>
    <x v="2"/>
    <x v="0"/>
    <x v="0"/>
    <s v="Needs Improvement"/>
    <x v="1"/>
    <n v="51"/>
    <x v="0"/>
    <x v="1"/>
    <x v="0"/>
    <s v="Improve interview preparation and communication"/>
  </r>
  <r>
    <n v="35"/>
    <x v="0"/>
    <n v="4"/>
    <n v="4"/>
    <n v="5"/>
    <n v="37.036255601333899"/>
    <x v="36"/>
    <n v="46"/>
    <n v="93"/>
    <n v="2"/>
    <n v="0"/>
    <s v="C631"/>
    <x v="0"/>
    <x v="1"/>
    <x v="2"/>
    <x v="1"/>
    <x v="2"/>
    <s v="Strong"/>
    <x v="1"/>
    <n v="61"/>
    <x v="0"/>
    <x v="0"/>
    <x v="2"/>
    <s v="Strengthen technical skills and practical knowledge"/>
  </r>
  <r>
    <n v="38"/>
    <x v="1"/>
    <n v="3"/>
    <n v="5"/>
    <n v="3"/>
    <n v="26.701168493825399"/>
    <x v="100"/>
    <n v="75"/>
    <n v="20"/>
    <n v="3"/>
    <n v="0"/>
    <s v="C632"/>
    <x v="1"/>
    <x v="3"/>
    <x v="2"/>
    <x v="2"/>
    <x v="0"/>
    <s v="Needs Improvement"/>
    <x v="1"/>
    <n v="64"/>
    <x v="0"/>
    <x v="2"/>
    <x v="1"/>
    <s v="Work on communication and personality development"/>
  </r>
  <r>
    <n v="24"/>
    <x v="1"/>
    <n v="1"/>
    <n v="13"/>
    <n v="4"/>
    <n v="31.287686526046699"/>
    <x v="95"/>
    <n v="68"/>
    <n v="29"/>
    <n v="2"/>
    <n v="0"/>
    <s v="C633"/>
    <x v="1"/>
    <x v="2"/>
    <x v="1"/>
    <x v="1"/>
    <x v="1"/>
    <s v="Needs Improvement"/>
    <x v="1"/>
    <n v="58"/>
    <x v="0"/>
    <x v="1"/>
    <x v="1"/>
    <s v="Work on communication and personality development"/>
  </r>
  <r>
    <n v="41"/>
    <x v="1"/>
    <n v="2"/>
    <n v="9"/>
    <n v="2"/>
    <n v="32.5940079623442"/>
    <x v="78"/>
    <n v="100"/>
    <n v="91"/>
    <n v="2"/>
    <n v="0"/>
    <s v="C634"/>
    <x v="1"/>
    <x v="0"/>
    <x v="1"/>
    <x v="0"/>
    <x v="0"/>
    <s v="Strong"/>
    <x v="1"/>
    <n v="71"/>
    <x v="0"/>
    <x v="1"/>
    <x v="0"/>
    <s v="Improve interview preparation and communication"/>
  </r>
  <r>
    <n v="44"/>
    <x v="0"/>
    <n v="2"/>
    <n v="11"/>
    <n v="4"/>
    <n v="27.352507824628098"/>
    <x v="76"/>
    <n v="30"/>
    <n v="30"/>
    <n v="2"/>
    <n v="0"/>
    <s v="C635"/>
    <x v="0"/>
    <x v="0"/>
    <x v="1"/>
    <x v="0"/>
    <x v="2"/>
    <s v="Needs Improvement"/>
    <x v="1"/>
    <n v="37"/>
    <x v="1"/>
    <x v="1"/>
    <x v="0"/>
    <s v="Improve interview preparation and communication"/>
  </r>
  <r>
    <n v="48"/>
    <x v="0"/>
    <n v="2"/>
    <n v="9"/>
    <n v="3"/>
    <n v="30.126688872036699"/>
    <x v="3"/>
    <n v="91"/>
    <n v="25"/>
    <n v="2"/>
    <n v="0"/>
    <s v="C636"/>
    <x v="0"/>
    <x v="0"/>
    <x v="1"/>
    <x v="0"/>
    <x v="0"/>
    <s v="Needs Improvement"/>
    <x v="1"/>
    <n v="55"/>
    <x v="0"/>
    <x v="1"/>
    <x v="1"/>
    <s v="Work on communication and personality development"/>
  </r>
  <r>
    <n v="33"/>
    <x v="1"/>
    <n v="3"/>
    <n v="12"/>
    <n v="3"/>
    <n v="35.189410044493698"/>
    <x v="48"/>
    <n v="91"/>
    <n v="21"/>
    <n v="2"/>
    <n v="0"/>
    <s v="C637"/>
    <x v="1"/>
    <x v="3"/>
    <x v="1"/>
    <x v="1"/>
    <x v="0"/>
    <s v="Needs Improvement"/>
    <x v="1"/>
    <n v="66"/>
    <x v="0"/>
    <x v="1"/>
    <x v="1"/>
    <s v="Work on communication and personality development"/>
  </r>
  <r>
    <n v="47"/>
    <x v="0"/>
    <n v="3"/>
    <n v="12"/>
    <n v="3"/>
    <n v="38.655942358983701"/>
    <x v="70"/>
    <n v="29"/>
    <n v="20"/>
    <n v="2"/>
    <n v="0"/>
    <s v="C638"/>
    <x v="0"/>
    <x v="3"/>
    <x v="1"/>
    <x v="1"/>
    <x v="2"/>
    <s v="Needs Improvement"/>
    <x v="1"/>
    <n v="50"/>
    <x v="0"/>
    <x v="2"/>
    <x v="1"/>
    <s v="Work on communication and personality development"/>
  </r>
  <r>
    <n v="24"/>
    <x v="1"/>
    <n v="3"/>
    <n v="10"/>
    <n v="1"/>
    <n v="37.372619564306"/>
    <x v="5"/>
    <n v="17"/>
    <n v="0"/>
    <n v="3"/>
    <n v="0"/>
    <s v="C639"/>
    <x v="1"/>
    <x v="3"/>
    <x v="1"/>
    <x v="1"/>
    <x v="2"/>
    <s v="Needs Improvement"/>
    <x v="1"/>
    <n v="35"/>
    <x v="1"/>
    <x v="2"/>
    <x v="1"/>
    <s v="Work on communication and personality development"/>
  </r>
  <r>
    <n v="34"/>
    <x v="0"/>
    <n v="2"/>
    <n v="5"/>
    <n v="2"/>
    <n v="44.480822886612998"/>
    <x v="62"/>
    <n v="43"/>
    <n v="36"/>
    <n v="2"/>
    <n v="0"/>
    <s v="C640"/>
    <x v="0"/>
    <x v="0"/>
    <x v="2"/>
    <x v="0"/>
    <x v="2"/>
    <s v="Needs Improvement"/>
    <x v="1"/>
    <n v="29"/>
    <x v="1"/>
    <x v="1"/>
    <x v="0"/>
    <s v="Improve interview preparation and communication"/>
  </r>
  <r>
    <n v="36"/>
    <x v="1"/>
    <n v="1"/>
    <n v="15"/>
    <n v="4"/>
    <n v="10.472171658370099"/>
    <x v="74"/>
    <n v="26"/>
    <n v="76"/>
    <n v="3"/>
    <n v="0"/>
    <s v="C641"/>
    <x v="1"/>
    <x v="2"/>
    <x v="1"/>
    <x v="2"/>
    <x v="2"/>
    <s v="Strong"/>
    <x v="1"/>
    <n v="70"/>
    <x v="0"/>
    <x v="2"/>
    <x v="2"/>
    <s v="Strengthen technical skills and practical knowledge"/>
  </r>
  <r>
    <n v="49"/>
    <x v="1"/>
    <n v="3"/>
    <n v="7"/>
    <n v="4"/>
    <n v="21.0573984745898"/>
    <x v="51"/>
    <n v="98"/>
    <n v="84"/>
    <n v="2"/>
    <n v="1"/>
    <s v="C642"/>
    <x v="1"/>
    <x v="3"/>
    <x v="1"/>
    <x v="0"/>
    <x v="0"/>
    <s v="Strong"/>
    <x v="0"/>
    <n v="60"/>
    <x v="0"/>
    <x v="1"/>
    <x v="0"/>
    <s v="Improve interview preparation and communication"/>
  </r>
  <r>
    <n v="33"/>
    <x v="0"/>
    <n v="1"/>
    <n v="7"/>
    <n v="5"/>
    <n v="48.389803300722797"/>
    <x v="90"/>
    <n v="25"/>
    <n v="45"/>
    <n v="2"/>
    <n v="0"/>
    <s v="C643"/>
    <x v="0"/>
    <x v="2"/>
    <x v="1"/>
    <x v="0"/>
    <x v="2"/>
    <s v="Needs Improvement"/>
    <x v="1"/>
    <n v="40"/>
    <x v="1"/>
    <x v="2"/>
    <x v="2"/>
    <s v="Strengthen technical skills and practical knowledge"/>
  </r>
  <r>
    <n v="49"/>
    <x v="1"/>
    <n v="2"/>
    <n v="10"/>
    <n v="3"/>
    <n v="20.8295287193164"/>
    <x v="30"/>
    <n v="59"/>
    <n v="8"/>
    <n v="3"/>
    <n v="0"/>
    <s v="C644"/>
    <x v="1"/>
    <x v="0"/>
    <x v="1"/>
    <x v="1"/>
    <x v="1"/>
    <s v="Needs Improvement"/>
    <x v="1"/>
    <n v="54"/>
    <x v="0"/>
    <x v="2"/>
    <x v="1"/>
    <s v="Work on communication and personality development"/>
  </r>
  <r>
    <n v="39"/>
    <x v="0"/>
    <n v="1"/>
    <n v="8"/>
    <n v="3"/>
    <n v="7.2435038452961296"/>
    <x v="65"/>
    <n v="17"/>
    <n v="16"/>
    <n v="1"/>
    <n v="0"/>
    <s v="C645"/>
    <x v="0"/>
    <x v="2"/>
    <x v="1"/>
    <x v="0"/>
    <x v="2"/>
    <s v="Needs Improvement"/>
    <x v="1"/>
    <n v="23"/>
    <x v="1"/>
    <x v="1"/>
    <x v="0"/>
    <s v="Improve interview preparation and communication"/>
  </r>
  <r>
    <n v="24"/>
    <x v="0"/>
    <n v="2"/>
    <n v="7"/>
    <n v="3"/>
    <n v="27.272256318108901"/>
    <x v="88"/>
    <n v="96"/>
    <n v="46"/>
    <n v="2"/>
    <n v="0"/>
    <s v="C646"/>
    <x v="0"/>
    <x v="0"/>
    <x v="1"/>
    <x v="0"/>
    <x v="0"/>
    <s v="Needs Improvement"/>
    <x v="1"/>
    <n v="59"/>
    <x v="0"/>
    <x v="1"/>
    <x v="0"/>
    <s v="Improve interview preparation and communication"/>
  </r>
  <r>
    <n v="31"/>
    <x v="1"/>
    <n v="1"/>
    <n v="12"/>
    <n v="4"/>
    <n v="6.4745486277230997"/>
    <x v="15"/>
    <n v="88"/>
    <n v="84"/>
    <n v="2"/>
    <n v="0"/>
    <s v="C647"/>
    <x v="1"/>
    <x v="2"/>
    <x v="1"/>
    <x v="0"/>
    <x v="0"/>
    <s v="Strong"/>
    <x v="1"/>
    <n v="61"/>
    <x v="0"/>
    <x v="1"/>
    <x v="0"/>
    <s v="Improve interview preparation and communication"/>
  </r>
  <r>
    <n v="35"/>
    <x v="1"/>
    <n v="2"/>
    <n v="10"/>
    <n v="5"/>
    <n v="11.1426619363932"/>
    <x v="99"/>
    <n v="55"/>
    <n v="94"/>
    <n v="2"/>
    <n v="0"/>
    <s v="C648"/>
    <x v="1"/>
    <x v="0"/>
    <x v="1"/>
    <x v="0"/>
    <x v="1"/>
    <s v="Strong"/>
    <x v="1"/>
    <n v="61"/>
    <x v="0"/>
    <x v="0"/>
    <x v="0"/>
    <s v="Improve interview preparation and communication"/>
  </r>
  <r>
    <n v="45"/>
    <x v="0"/>
    <n v="4"/>
    <n v="1"/>
    <n v="1"/>
    <n v="50.915937828547797"/>
    <x v="58"/>
    <n v="30"/>
    <n v="58"/>
    <n v="1"/>
    <n v="0"/>
    <s v="C649"/>
    <x v="0"/>
    <x v="1"/>
    <x v="0"/>
    <x v="0"/>
    <x v="2"/>
    <s v="Good"/>
    <x v="1"/>
    <n v="31"/>
    <x v="1"/>
    <x v="0"/>
    <x v="0"/>
    <s v="Improve interview preparation and communication"/>
  </r>
  <r>
    <n v="45"/>
    <x v="1"/>
    <n v="1"/>
    <n v="13"/>
    <n v="2"/>
    <n v="28.0681319198066"/>
    <x v="28"/>
    <n v="100"/>
    <n v="53"/>
    <n v="2"/>
    <n v="0"/>
    <s v="C650"/>
    <x v="1"/>
    <x v="2"/>
    <x v="1"/>
    <x v="2"/>
    <x v="0"/>
    <s v="Good"/>
    <x v="1"/>
    <n v="80"/>
    <x v="2"/>
    <x v="1"/>
    <x v="1"/>
    <s v="Work on communication and personality development"/>
  </r>
  <r>
    <n v="35"/>
    <x v="1"/>
    <n v="1"/>
    <n v="13"/>
    <n v="1"/>
    <n v="15.202919452021399"/>
    <x v="16"/>
    <n v="58"/>
    <n v="85"/>
    <n v="2"/>
    <n v="0"/>
    <s v="C651"/>
    <x v="1"/>
    <x v="2"/>
    <x v="1"/>
    <x v="0"/>
    <x v="1"/>
    <s v="Strong"/>
    <x v="1"/>
    <n v="60"/>
    <x v="0"/>
    <x v="0"/>
    <x v="0"/>
    <s v="Improve interview preparation and communication"/>
  </r>
  <r>
    <n v="40"/>
    <x v="1"/>
    <n v="2"/>
    <n v="11"/>
    <n v="4"/>
    <n v="50.738747728695301"/>
    <x v="36"/>
    <n v="1"/>
    <n v="11"/>
    <n v="2"/>
    <n v="0"/>
    <s v="C652"/>
    <x v="1"/>
    <x v="0"/>
    <x v="1"/>
    <x v="1"/>
    <x v="2"/>
    <s v="Needs Improvement"/>
    <x v="1"/>
    <n v="36"/>
    <x v="1"/>
    <x v="2"/>
    <x v="2"/>
    <s v="Strengthen technical skills and practical knowledge"/>
  </r>
  <r>
    <n v="26"/>
    <x v="1"/>
    <n v="3"/>
    <n v="9"/>
    <n v="3"/>
    <n v="49.327945927757099"/>
    <x v="30"/>
    <n v="96"/>
    <n v="63"/>
    <n v="3"/>
    <n v="1"/>
    <s v="C653"/>
    <x v="1"/>
    <x v="3"/>
    <x v="1"/>
    <x v="1"/>
    <x v="0"/>
    <s v="Good"/>
    <x v="0"/>
    <n v="76"/>
    <x v="2"/>
    <x v="1"/>
    <x v="1"/>
    <s v="Work on communication and personality development"/>
  </r>
  <r>
    <n v="23"/>
    <x v="1"/>
    <n v="2"/>
    <n v="11"/>
    <n v="2"/>
    <n v="23.036952054213099"/>
    <x v="42"/>
    <n v="38"/>
    <n v="5"/>
    <n v="3"/>
    <n v="0"/>
    <s v="C654"/>
    <x v="1"/>
    <x v="0"/>
    <x v="1"/>
    <x v="0"/>
    <x v="2"/>
    <s v="Needs Improvement"/>
    <x v="1"/>
    <n v="38"/>
    <x v="1"/>
    <x v="2"/>
    <x v="1"/>
    <s v="Work on communication and personality development"/>
  </r>
  <r>
    <n v="20"/>
    <x v="0"/>
    <n v="2"/>
    <n v="10"/>
    <n v="4"/>
    <n v="14.020155439395401"/>
    <x v="54"/>
    <n v="60"/>
    <n v="52"/>
    <n v="2"/>
    <n v="0"/>
    <s v="C655"/>
    <x v="0"/>
    <x v="0"/>
    <x v="1"/>
    <x v="1"/>
    <x v="1"/>
    <s v="Good"/>
    <x v="1"/>
    <n v="61"/>
    <x v="0"/>
    <x v="2"/>
    <x v="1"/>
    <s v="Work on communication and personality development"/>
  </r>
  <r>
    <n v="49"/>
    <x v="0"/>
    <n v="1"/>
    <n v="14"/>
    <n v="4"/>
    <n v="42.9199819046095"/>
    <x v="35"/>
    <n v="62"/>
    <n v="15"/>
    <n v="3"/>
    <n v="0"/>
    <s v="C656"/>
    <x v="0"/>
    <x v="2"/>
    <x v="1"/>
    <x v="0"/>
    <x v="1"/>
    <s v="Needs Improvement"/>
    <x v="1"/>
    <n v="47"/>
    <x v="1"/>
    <x v="1"/>
    <x v="1"/>
    <s v="Work on communication and personality development"/>
  </r>
  <r>
    <n v="49"/>
    <x v="1"/>
    <n v="3"/>
    <n v="15"/>
    <n v="4"/>
    <n v="36.781035848589198"/>
    <x v="50"/>
    <n v="95"/>
    <n v="89"/>
    <n v="2"/>
    <n v="1"/>
    <s v="C657"/>
    <x v="1"/>
    <x v="3"/>
    <x v="1"/>
    <x v="0"/>
    <x v="0"/>
    <s v="Strong"/>
    <x v="0"/>
    <n v="70"/>
    <x v="0"/>
    <x v="1"/>
    <x v="0"/>
    <s v="Improve interview preparation and communication"/>
  </r>
  <r>
    <n v="24"/>
    <x v="1"/>
    <n v="2"/>
    <n v="0"/>
    <n v="2"/>
    <n v="35.347071750175502"/>
    <x v="92"/>
    <n v="17"/>
    <n v="4"/>
    <n v="2"/>
    <n v="0"/>
    <s v="C658"/>
    <x v="1"/>
    <x v="0"/>
    <x v="0"/>
    <x v="0"/>
    <x v="2"/>
    <s v="Needs Improvement"/>
    <x v="1"/>
    <n v="14"/>
    <x v="1"/>
    <x v="2"/>
    <x v="1"/>
    <s v="Work on communication and personality development"/>
  </r>
  <r>
    <n v="42"/>
    <x v="1"/>
    <n v="3"/>
    <n v="9"/>
    <n v="2"/>
    <n v="45.655687066123598"/>
    <x v="65"/>
    <n v="16"/>
    <n v="72"/>
    <n v="2"/>
    <n v="0"/>
    <s v="C659"/>
    <x v="1"/>
    <x v="3"/>
    <x v="1"/>
    <x v="0"/>
    <x v="2"/>
    <s v="Good"/>
    <x v="1"/>
    <n v="36"/>
    <x v="1"/>
    <x v="0"/>
    <x v="0"/>
    <s v="Improve interview preparation and communication"/>
  </r>
  <r>
    <n v="45"/>
    <x v="0"/>
    <n v="4"/>
    <n v="1"/>
    <n v="5"/>
    <n v="35.470856693566198"/>
    <x v="29"/>
    <n v="97"/>
    <n v="45"/>
    <n v="2"/>
    <n v="0"/>
    <s v="C660"/>
    <x v="0"/>
    <x v="1"/>
    <x v="0"/>
    <x v="0"/>
    <x v="0"/>
    <s v="Needs Improvement"/>
    <x v="1"/>
    <n v="54"/>
    <x v="0"/>
    <x v="1"/>
    <x v="0"/>
    <s v="Improve interview preparation and communication"/>
  </r>
  <r>
    <n v="29"/>
    <x v="1"/>
    <n v="2"/>
    <n v="1"/>
    <n v="5"/>
    <n v="15.1898971520774"/>
    <x v="0"/>
    <n v="38"/>
    <n v="13"/>
    <n v="1"/>
    <n v="0"/>
    <s v="C661"/>
    <x v="1"/>
    <x v="0"/>
    <x v="0"/>
    <x v="0"/>
    <x v="2"/>
    <s v="Needs Improvement"/>
    <x v="1"/>
    <n v="32"/>
    <x v="1"/>
    <x v="2"/>
    <x v="1"/>
    <s v="Work on communication and personality development"/>
  </r>
  <r>
    <n v="41"/>
    <x v="0"/>
    <n v="3"/>
    <n v="11"/>
    <n v="1"/>
    <n v="35.6931580937866"/>
    <x v="95"/>
    <n v="70"/>
    <n v="43"/>
    <n v="2"/>
    <n v="0"/>
    <s v="C662"/>
    <x v="0"/>
    <x v="3"/>
    <x v="1"/>
    <x v="1"/>
    <x v="1"/>
    <s v="Needs Improvement"/>
    <x v="1"/>
    <n v="60"/>
    <x v="0"/>
    <x v="1"/>
    <x v="1"/>
    <s v="Work on communication and personality development"/>
  </r>
  <r>
    <n v="24"/>
    <x v="0"/>
    <n v="1"/>
    <n v="2"/>
    <n v="2"/>
    <n v="16.2906755641831"/>
    <x v="31"/>
    <n v="53"/>
    <n v="62"/>
    <n v="2"/>
    <n v="0"/>
    <s v="C663"/>
    <x v="0"/>
    <x v="2"/>
    <x v="0"/>
    <x v="0"/>
    <x v="1"/>
    <s v="Good"/>
    <x v="1"/>
    <n v="42"/>
    <x v="1"/>
    <x v="0"/>
    <x v="0"/>
    <s v="Improve interview preparation and communication"/>
  </r>
  <r>
    <n v="23"/>
    <x v="0"/>
    <n v="3"/>
    <n v="9"/>
    <n v="2"/>
    <n v="38.961948982849698"/>
    <x v="46"/>
    <n v="98"/>
    <n v="93"/>
    <n v="2"/>
    <n v="1"/>
    <s v="C664"/>
    <x v="0"/>
    <x v="3"/>
    <x v="1"/>
    <x v="1"/>
    <x v="0"/>
    <s v="Strong"/>
    <x v="0"/>
    <n v="78"/>
    <x v="2"/>
    <x v="1"/>
    <x v="0"/>
    <s v="Improve interview preparation and communication"/>
  </r>
  <r>
    <n v="21"/>
    <x v="1"/>
    <n v="2"/>
    <n v="6"/>
    <n v="2"/>
    <n v="31.987392724578299"/>
    <x v="89"/>
    <n v="93"/>
    <n v="51"/>
    <n v="3"/>
    <n v="0"/>
    <s v="C665"/>
    <x v="1"/>
    <x v="0"/>
    <x v="2"/>
    <x v="0"/>
    <x v="0"/>
    <s v="Good"/>
    <x v="1"/>
    <n v="59"/>
    <x v="0"/>
    <x v="1"/>
    <x v="0"/>
    <s v="Improve interview preparation and communication"/>
  </r>
  <r>
    <n v="39"/>
    <x v="0"/>
    <n v="3"/>
    <n v="1"/>
    <n v="5"/>
    <n v="4.87057759923752"/>
    <x v="46"/>
    <n v="75"/>
    <n v="25"/>
    <n v="2"/>
    <n v="0"/>
    <s v="C666"/>
    <x v="0"/>
    <x v="3"/>
    <x v="0"/>
    <x v="1"/>
    <x v="0"/>
    <s v="Needs Improvement"/>
    <x v="1"/>
    <n v="49"/>
    <x v="1"/>
    <x v="1"/>
    <x v="1"/>
    <s v="Work on communication and personality development"/>
  </r>
  <r>
    <n v="50"/>
    <x v="1"/>
    <n v="1"/>
    <n v="13"/>
    <n v="4"/>
    <n v="26.641768121757099"/>
    <x v="55"/>
    <n v="34"/>
    <n v="52"/>
    <n v="1"/>
    <n v="1"/>
    <s v="C667"/>
    <x v="1"/>
    <x v="2"/>
    <x v="1"/>
    <x v="2"/>
    <x v="2"/>
    <s v="Good"/>
    <x v="0"/>
    <n v="60"/>
    <x v="0"/>
    <x v="2"/>
    <x v="2"/>
    <s v="Strengthen technical skills and practical knowledge"/>
  </r>
  <r>
    <n v="29"/>
    <x v="0"/>
    <n v="1"/>
    <n v="15"/>
    <n v="3"/>
    <n v="18.165048459786998"/>
    <x v="47"/>
    <n v="10"/>
    <n v="28"/>
    <n v="2"/>
    <n v="0"/>
    <s v="C668"/>
    <x v="0"/>
    <x v="2"/>
    <x v="1"/>
    <x v="0"/>
    <x v="2"/>
    <s v="Needs Improvement"/>
    <x v="1"/>
    <n v="35"/>
    <x v="1"/>
    <x v="2"/>
    <x v="2"/>
    <s v="Strengthen technical skills and practical knowledge"/>
  </r>
  <r>
    <n v="45"/>
    <x v="1"/>
    <n v="2"/>
    <n v="0"/>
    <n v="5"/>
    <n v="17.4285316366147"/>
    <x v="6"/>
    <n v="60"/>
    <n v="18"/>
    <n v="2"/>
    <n v="0"/>
    <s v="C669"/>
    <x v="1"/>
    <x v="0"/>
    <x v="0"/>
    <x v="0"/>
    <x v="1"/>
    <s v="Needs Improvement"/>
    <x v="1"/>
    <n v="31"/>
    <x v="1"/>
    <x v="1"/>
    <x v="1"/>
    <s v="Work on communication and personality development"/>
  </r>
  <r>
    <n v="38"/>
    <x v="0"/>
    <n v="2"/>
    <n v="15"/>
    <n v="2"/>
    <n v="31.112815118862802"/>
    <x v="17"/>
    <n v="43"/>
    <n v="46"/>
    <n v="2"/>
    <n v="0"/>
    <s v="C670"/>
    <x v="0"/>
    <x v="0"/>
    <x v="1"/>
    <x v="1"/>
    <x v="2"/>
    <s v="Needs Improvement"/>
    <x v="1"/>
    <n v="58"/>
    <x v="0"/>
    <x v="2"/>
    <x v="2"/>
    <s v="Strengthen technical skills and practical knowledge"/>
  </r>
  <r>
    <n v="45"/>
    <x v="1"/>
    <n v="2"/>
    <n v="13"/>
    <n v="5"/>
    <n v="17.116241223471199"/>
    <x v="40"/>
    <n v="67"/>
    <n v="7"/>
    <n v="1"/>
    <n v="1"/>
    <s v="C671"/>
    <x v="1"/>
    <x v="0"/>
    <x v="1"/>
    <x v="0"/>
    <x v="1"/>
    <s v="Needs Improvement"/>
    <x v="0"/>
    <n v="42"/>
    <x v="1"/>
    <x v="1"/>
    <x v="1"/>
    <s v="Work on communication and personality development"/>
  </r>
  <r>
    <n v="20"/>
    <x v="0"/>
    <n v="2"/>
    <n v="5"/>
    <n v="1"/>
    <n v="39.844687410243601"/>
    <x v="85"/>
    <n v="24"/>
    <n v="22"/>
    <n v="2"/>
    <n v="0"/>
    <s v="C672"/>
    <x v="0"/>
    <x v="0"/>
    <x v="2"/>
    <x v="1"/>
    <x v="2"/>
    <s v="Needs Improvement"/>
    <x v="1"/>
    <n v="40"/>
    <x v="1"/>
    <x v="2"/>
    <x v="1"/>
    <s v="Work on communication and personality development"/>
  </r>
  <r>
    <n v="43"/>
    <x v="1"/>
    <n v="1"/>
    <n v="8"/>
    <n v="2"/>
    <n v="4.5395718005587202"/>
    <x v="20"/>
    <n v="47"/>
    <n v="34"/>
    <n v="3"/>
    <n v="0"/>
    <s v="C673"/>
    <x v="1"/>
    <x v="2"/>
    <x v="1"/>
    <x v="2"/>
    <x v="2"/>
    <s v="Needs Improvement"/>
    <x v="1"/>
    <n v="59"/>
    <x v="0"/>
    <x v="2"/>
    <x v="1"/>
    <s v="Work on communication and personality development"/>
  </r>
  <r>
    <n v="24"/>
    <x v="1"/>
    <n v="2"/>
    <n v="14"/>
    <n v="1"/>
    <n v="34.019412619791197"/>
    <x v="41"/>
    <n v="31"/>
    <n v="94"/>
    <n v="2"/>
    <n v="0"/>
    <s v="C674"/>
    <x v="1"/>
    <x v="0"/>
    <x v="1"/>
    <x v="0"/>
    <x v="2"/>
    <s v="Strong"/>
    <x v="1"/>
    <n v="47"/>
    <x v="1"/>
    <x v="0"/>
    <x v="0"/>
    <s v="Improve interview preparation and communication"/>
  </r>
  <r>
    <n v="32"/>
    <x v="1"/>
    <n v="3"/>
    <n v="2"/>
    <n v="2"/>
    <n v="41.459740182837002"/>
    <x v="94"/>
    <n v="83"/>
    <n v="52"/>
    <n v="3"/>
    <n v="0"/>
    <s v="C675"/>
    <x v="1"/>
    <x v="3"/>
    <x v="0"/>
    <x v="2"/>
    <x v="0"/>
    <s v="Good"/>
    <x v="1"/>
    <n v="69"/>
    <x v="0"/>
    <x v="2"/>
    <x v="1"/>
    <s v="Work on communication and personality development"/>
  </r>
  <r>
    <n v="23"/>
    <x v="1"/>
    <n v="2"/>
    <n v="5"/>
    <n v="5"/>
    <n v="34.641584496021501"/>
    <x v="68"/>
    <n v="94"/>
    <n v="98"/>
    <n v="3"/>
    <n v="0"/>
    <s v="C676"/>
    <x v="1"/>
    <x v="0"/>
    <x v="2"/>
    <x v="0"/>
    <x v="0"/>
    <s v="Strong"/>
    <x v="1"/>
    <n v="56"/>
    <x v="0"/>
    <x v="0"/>
    <x v="0"/>
    <s v="Improve interview preparation and communication"/>
  </r>
  <r>
    <n v="35"/>
    <x v="0"/>
    <n v="1"/>
    <n v="2"/>
    <n v="4"/>
    <n v="25.8614597509997"/>
    <x v="54"/>
    <n v="3"/>
    <n v="95"/>
    <n v="1"/>
    <n v="0"/>
    <s v="C677"/>
    <x v="0"/>
    <x v="2"/>
    <x v="0"/>
    <x v="1"/>
    <x v="2"/>
    <s v="Strong"/>
    <x v="1"/>
    <n v="44"/>
    <x v="1"/>
    <x v="0"/>
    <x v="2"/>
    <s v="Strengthen technical skills and practical knowledge"/>
  </r>
  <r>
    <n v="43"/>
    <x v="0"/>
    <n v="2"/>
    <n v="13"/>
    <n v="3"/>
    <n v="48.515350686809001"/>
    <x v="60"/>
    <n v="37"/>
    <n v="57"/>
    <n v="2"/>
    <n v="0"/>
    <s v="C678"/>
    <x v="0"/>
    <x v="0"/>
    <x v="1"/>
    <x v="2"/>
    <x v="2"/>
    <s v="Good"/>
    <x v="1"/>
    <n v="64"/>
    <x v="0"/>
    <x v="2"/>
    <x v="2"/>
    <s v="Strengthen technical skills and practical knowledge"/>
  </r>
  <r>
    <n v="35"/>
    <x v="1"/>
    <n v="1"/>
    <n v="12"/>
    <n v="1"/>
    <n v="15.996924489903099"/>
    <x v="8"/>
    <n v="62"/>
    <n v="4"/>
    <n v="2"/>
    <n v="0"/>
    <s v="C679"/>
    <x v="1"/>
    <x v="2"/>
    <x v="1"/>
    <x v="2"/>
    <x v="1"/>
    <s v="Needs Improvement"/>
    <x v="1"/>
    <n v="58"/>
    <x v="0"/>
    <x v="2"/>
    <x v="1"/>
    <s v="Work on communication and personality development"/>
  </r>
  <r>
    <n v="42"/>
    <x v="0"/>
    <n v="4"/>
    <n v="0"/>
    <n v="5"/>
    <n v="1.95839437624888"/>
    <x v="19"/>
    <n v="46"/>
    <n v="15"/>
    <n v="1"/>
    <n v="1"/>
    <s v="C680"/>
    <x v="0"/>
    <x v="1"/>
    <x v="0"/>
    <x v="2"/>
    <x v="2"/>
    <s v="Needs Improvement"/>
    <x v="0"/>
    <n v="52"/>
    <x v="0"/>
    <x v="2"/>
    <x v="1"/>
    <s v="Work on communication and personality development"/>
  </r>
  <r>
    <n v="21"/>
    <x v="1"/>
    <n v="1"/>
    <n v="13"/>
    <n v="4"/>
    <n v="22.599468573172"/>
    <x v="58"/>
    <n v="0"/>
    <n v="16"/>
    <n v="2"/>
    <n v="0"/>
    <s v="C681"/>
    <x v="1"/>
    <x v="2"/>
    <x v="1"/>
    <x v="0"/>
    <x v="2"/>
    <s v="Needs Improvement"/>
    <x v="1"/>
    <n v="24"/>
    <x v="1"/>
    <x v="2"/>
    <x v="2"/>
    <s v="Strengthen technical skills and practical knowledge"/>
  </r>
  <r>
    <n v="36"/>
    <x v="1"/>
    <n v="3"/>
    <n v="12"/>
    <n v="5"/>
    <n v="2.65059679501636"/>
    <x v="65"/>
    <n v="2"/>
    <n v="31"/>
    <n v="2"/>
    <n v="0"/>
    <s v="C682"/>
    <x v="1"/>
    <x v="3"/>
    <x v="1"/>
    <x v="0"/>
    <x v="2"/>
    <s v="Needs Improvement"/>
    <x v="1"/>
    <n v="26"/>
    <x v="1"/>
    <x v="0"/>
    <x v="2"/>
    <s v="Strengthen technical skills and practical knowledge"/>
  </r>
  <r>
    <n v="47"/>
    <x v="0"/>
    <n v="4"/>
    <n v="15"/>
    <n v="1"/>
    <n v="48.696837626320402"/>
    <x v="98"/>
    <n v="100"/>
    <n v="95"/>
    <n v="1"/>
    <n v="1"/>
    <s v="C683"/>
    <x v="0"/>
    <x v="1"/>
    <x v="1"/>
    <x v="0"/>
    <x v="0"/>
    <s v="Strong"/>
    <x v="0"/>
    <n v="71"/>
    <x v="0"/>
    <x v="1"/>
    <x v="0"/>
    <s v="Improve interview preparation and communication"/>
  </r>
  <r>
    <n v="46"/>
    <x v="1"/>
    <n v="3"/>
    <n v="11"/>
    <n v="3"/>
    <n v="11.495902287402499"/>
    <x v="32"/>
    <n v="85"/>
    <n v="51"/>
    <n v="3"/>
    <n v="0"/>
    <s v="C684"/>
    <x v="1"/>
    <x v="3"/>
    <x v="1"/>
    <x v="1"/>
    <x v="0"/>
    <s v="Good"/>
    <x v="1"/>
    <n v="69"/>
    <x v="0"/>
    <x v="1"/>
    <x v="1"/>
    <s v="Work on communication and personality development"/>
  </r>
  <r>
    <n v="39"/>
    <x v="1"/>
    <n v="2"/>
    <n v="4"/>
    <n v="5"/>
    <n v="40.446351197443903"/>
    <x v="10"/>
    <n v="61"/>
    <n v="19"/>
    <n v="2"/>
    <n v="0"/>
    <s v="C685"/>
    <x v="1"/>
    <x v="0"/>
    <x v="2"/>
    <x v="2"/>
    <x v="1"/>
    <s v="Needs Improvement"/>
    <x v="1"/>
    <n v="57"/>
    <x v="0"/>
    <x v="2"/>
    <x v="1"/>
    <s v="Work on communication and personality development"/>
  </r>
  <r>
    <n v="43"/>
    <x v="0"/>
    <n v="3"/>
    <n v="9"/>
    <n v="2"/>
    <n v="39.728604158718198"/>
    <x v="2"/>
    <n v="63"/>
    <n v="65"/>
    <n v="3"/>
    <n v="1"/>
    <s v="C686"/>
    <x v="0"/>
    <x v="3"/>
    <x v="1"/>
    <x v="0"/>
    <x v="1"/>
    <s v="Good"/>
    <x v="0"/>
    <n v="51"/>
    <x v="0"/>
    <x v="0"/>
    <x v="0"/>
    <s v="Improve interview preparation and communication"/>
  </r>
  <r>
    <n v="31"/>
    <x v="1"/>
    <n v="4"/>
    <n v="13"/>
    <n v="4"/>
    <n v="11.8864449841466"/>
    <x v="83"/>
    <n v="16"/>
    <n v="83"/>
    <n v="2"/>
    <n v="1"/>
    <s v="C687"/>
    <x v="1"/>
    <x v="1"/>
    <x v="1"/>
    <x v="2"/>
    <x v="2"/>
    <s v="Strong"/>
    <x v="0"/>
    <n v="62"/>
    <x v="0"/>
    <x v="0"/>
    <x v="2"/>
    <s v="Strengthen technical skills and practical knowledge"/>
  </r>
  <r>
    <n v="37"/>
    <x v="1"/>
    <n v="2"/>
    <n v="12"/>
    <n v="5"/>
    <n v="32.061326524008301"/>
    <x v="3"/>
    <n v="77"/>
    <n v="81"/>
    <n v="3"/>
    <n v="0"/>
    <s v="C688"/>
    <x v="1"/>
    <x v="0"/>
    <x v="1"/>
    <x v="0"/>
    <x v="0"/>
    <s v="Strong"/>
    <x v="1"/>
    <n v="65"/>
    <x v="0"/>
    <x v="0"/>
    <x v="0"/>
    <s v="Improve interview preparation and communication"/>
  </r>
  <r>
    <n v="22"/>
    <x v="1"/>
    <n v="2"/>
    <n v="10"/>
    <n v="4"/>
    <n v="3.4039484243225102"/>
    <x v="100"/>
    <n v="61"/>
    <n v="0"/>
    <n v="2"/>
    <n v="0"/>
    <s v="C689"/>
    <x v="1"/>
    <x v="0"/>
    <x v="1"/>
    <x v="2"/>
    <x v="1"/>
    <s v="Needs Improvement"/>
    <x v="1"/>
    <n v="59"/>
    <x v="0"/>
    <x v="2"/>
    <x v="1"/>
    <s v="Work on communication and personality development"/>
  </r>
  <r>
    <n v="47"/>
    <x v="1"/>
    <n v="2"/>
    <n v="3"/>
    <n v="2"/>
    <n v="25.178729285193299"/>
    <x v="13"/>
    <n v="34"/>
    <n v="57"/>
    <n v="1"/>
    <n v="0"/>
    <s v="C690"/>
    <x v="1"/>
    <x v="0"/>
    <x v="2"/>
    <x v="0"/>
    <x v="2"/>
    <s v="Good"/>
    <x v="1"/>
    <n v="30"/>
    <x v="1"/>
    <x v="0"/>
    <x v="0"/>
    <s v="Improve interview preparation and communication"/>
  </r>
  <r>
    <n v="20"/>
    <x v="0"/>
    <n v="2"/>
    <n v="6"/>
    <n v="3"/>
    <n v="1.73235636362433"/>
    <x v="92"/>
    <n v="12"/>
    <n v="92"/>
    <n v="2"/>
    <n v="0"/>
    <s v="C691"/>
    <x v="0"/>
    <x v="0"/>
    <x v="2"/>
    <x v="0"/>
    <x v="2"/>
    <s v="Strong"/>
    <x v="1"/>
    <n v="36"/>
    <x v="1"/>
    <x v="0"/>
    <x v="2"/>
    <s v="Strengthen technical skills and practical knowledge"/>
  </r>
  <r>
    <n v="20"/>
    <x v="0"/>
    <n v="2"/>
    <n v="5"/>
    <n v="3"/>
    <n v="47.057194009042"/>
    <x v="16"/>
    <n v="34"/>
    <n v="92"/>
    <n v="2"/>
    <n v="0"/>
    <s v="C692"/>
    <x v="0"/>
    <x v="0"/>
    <x v="2"/>
    <x v="0"/>
    <x v="2"/>
    <s v="Strong"/>
    <x v="1"/>
    <n v="46"/>
    <x v="1"/>
    <x v="0"/>
    <x v="0"/>
    <s v="Improve interview preparation and communication"/>
  </r>
  <r>
    <n v="48"/>
    <x v="0"/>
    <n v="2"/>
    <n v="9"/>
    <n v="2"/>
    <n v="49.804301209978497"/>
    <x v="59"/>
    <n v="42"/>
    <n v="82"/>
    <n v="2"/>
    <n v="0"/>
    <s v="C693"/>
    <x v="0"/>
    <x v="0"/>
    <x v="1"/>
    <x v="1"/>
    <x v="2"/>
    <s v="Strong"/>
    <x v="1"/>
    <n v="56"/>
    <x v="0"/>
    <x v="0"/>
    <x v="2"/>
    <s v="Strengthen technical skills and practical knowledge"/>
  </r>
  <r>
    <n v="38"/>
    <x v="1"/>
    <n v="2"/>
    <n v="6"/>
    <n v="4"/>
    <n v="12.114138331929199"/>
    <x v="90"/>
    <n v="1"/>
    <n v="43"/>
    <n v="2"/>
    <n v="0"/>
    <s v="C694"/>
    <x v="1"/>
    <x v="0"/>
    <x v="2"/>
    <x v="0"/>
    <x v="2"/>
    <s v="Needs Improvement"/>
    <x v="1"/>
    <n v="31"/>
    <x v="1"/>
    <x v="2"/>
    <x v="2"/>
    <s v="Strengthen technical skills and practical knowledge"/>
  </r>
  <r>
    <n v="30"/>
    <x v="1"/>
    <n v="1"/>
    <n v="4"/>
    <n v="5"/>
    <n v="11.4053017298186"/>
    <x v="30"/>
    <n v="55"/>
    <n v="5"/>
    <n v="1"/>
    <n v="1"/>
    <s v="C695"/>
    <x v="1"/>
    <x v="2"/>
    <x v="2"/>
    <x v="1"/>
    <x v="1"/>
    <s v="Needs Improvement"/>
    <x v="0"/>
    <n v="46"/>
    <x v="1"/>
    <x v="2"/>
    <x v="1"/>
    <s v="Work on communication and personality development"/>
  </r>
  <r>
    <n v="24"/>
    <x v="0"/>
    <n v="1"/>
    <n v="14"/>
    <n v="2"/>
    <n v="38.686008828106402"/>
    <x v="53"/>
    <n v="76"/>
    <n v="49"/>
    <n v="2"/>
    <n v="0"/>
    <s v="C696"/>
    <x v="0"/>
    <x v="2"/>
    <x v="1"/>
    <x v="1"/>
    <x v="0"/>
    <s v="Needs Improvement"/>
    <x v="1"/>
    <n v="64"/>
    <x v="0"/>
    <x v="1"/>
    <x v="1"/>
    <s v="Work on communication and personality development"/>
  </r>
  <r>
    <n v="31"/>
    <x v="1"/>
    <n v="2"/>
    <n v="14"/>
    <n v="1"/>
    <n v="13.668969941466701"/>
    <x v="41"/>
    <n v="50"/>
    <n v="71"/>
    <n v="2"/>
    <n v="0"/>
    <s v="C697"/>
    <x v="1"/>
    <x v="0"/>
    <x v="1"/>
    <x v="0"/>
    <x v="1"/>
    <s v="Good"/>
    <x v="1"/>
    <n v="48"/>
    <x v="1"/>
    <x v="0"/>
    <x v="0"/>
    <s v="Improve interview preparation and communication"/>
  </r>
  <r>
    <n v="22"/>
    <x v="1"/>
    <n v="1"/>
    <n v="3"/>
    <n v="4"/>
    <n v="45.753827958092202"/>
    <x v="62"/>
    <n v="53"/>
    <n v="87"/>
    <n v="2"/>
    <n v="0"/>
    <s v="C698"/>
    <x v="1"/>
    <x v="2"/>
    <x v="2"/>
    <x v="0"/>
    <x v="1"/>
    <s v="Strong"/>
    <x v="1"/>
    <n v="40"/>
    <x v="1"/>
    <x v="0"/>
    <x v="0"/>
    <s v="Improve interview preparation and communication"/>
  </r>
  <r>
    <n v="20"/>
    <x v="1"/>
    <n v="2"/>
    <n v="15"/>
    <n v="3"/>
    <n v="29.696456806149101"/>
    <x v="73"/>
    <n v="15"/>
    <n v="19"/>
    <n v="2"/>
    <n v="0"/>
    <s v="C699"/>
    <x v="1"/>
    <x v="0"/>
    <x v="1"/>
    <x v="0"/>
    <x v="2"/>
    <s v="Needs Improvement"/>
    <x v="1"/>
    <n v="34"/>
    <x v="1"/>
    <x v="2"/>
    <x v="2"/>
    <s v="Strengthen technical skills and practical knowledge"/>
  </r>
  <r>
    <n v="20"/>
    <x v="1"/>
    <n v="2"/>
    <n v="6"/>
    <n v="2"/>
    <n v="18.5388811505156"/>
    <x v="39"/>
    <n v="17"/>
    <n v="13"/>
    <n v="3"/>
    <n v="0"/>
    <s v="C700"/>
    <x v="1"/>
    <x v="0"/>
    <x v="2"/>
    <x v="0"/>
    <x v="2"/>
    <s v="Needs Improvement"/>
    <x v="1"/>
    <n v="29"/>
    <x v="1"/>
    <x v="2"/>
    <x v="1"/>
    <s v="Work on communication and personality development"/>
  </r>
  <r>
    <n v="27"/>
    <x v="0"/>
    <n v="3"/>
    <n v="6"/>
    <n v="3"/>
    <n v="42.634687317470998"/>
    <x v="78"/>
    <n v="6"/>
    <n v="4"/>
    <n v="2"/>
    <n v="0"/>
    <s v="C701"/>
    <x v="0"/>
    <x v="3"/>
    <x v="2"/>
    <x v="0"/>
    <x v="2"/>
    <s v="Needs Improvement"/>
    <x v="1"/>
    <n v="24"/>
    <x v="1"/>
    <x v="2"/>
    <x v="1"/>
    <s v="Work on communication and personality development"/>
  </r>
  <r>
    <n v="29"/>
    <x v="0"/>
    <n v="1"/>
    <n v="5"/>
    <n v="4"/>
    <n v="25.6703350206697"/>
    <x v="90"/>
    <n v="44"/>
    <n v="40"/>
    <n v="2"/>
    <n v="0"/>
    <s v="C702"/>
    <x v="0"/>
    <x v="2"/>
    <x v="2"/>
    <x v="0"/>
    <x v="2"/>
    <s v="Needs Improvement"/>
    <x v="1"/>
    <n v="43"/>
    <x v="1"/>
    <x v="2"/>
    <x v="1"/>
    <s v="Work on communication and personality development"/>
  </r>
  <r>
    <n v="30"/>
    <x v="0"/>
    <n v="2"/>
    <n v="7"/>
    <n v="3"/>
    <n v="46.581645685423702"/>
    <x v="10"/>
    <n v="35"/>
    <n v="39"/>
    <n v="3"/>
    <n v="0"/>
    <s v="C703"/>
    <x v="0"/>
    <x v="0"/>
    <x v="1"/>
    <x v="2"/>
    <x v="2"/>
    <s v="Needs Improvement"/>
    <x v="1"/>
    <n v="56"/>
    <x v="0"/>
    <x v="2"/>
    <x v="2"/>
    <s v="Strengthen technical skills and practical knowledge"/>
  </r>
  <r>
    <n v="31"/>
    <x v="1"/>
    <n v="3"/>
    <n v="3"/>
    <n v="2"/>
    <n v="47.400711836469"/>
    <x v="39"/>
    <n v="40"/>
    <n v="33"/>
    <n v="2"/>
    <n v="0"/>
    <s v="C704"/>
    <x v="1"/>
    <x v="3"/>
    <x v="2"/>
    <x v="0"/>
    <x v="2"/>
    <s v="Needs Improvement"/>
    <x v="1"/>
    <n v="38"/>
    <x v="1"/>
    <x v="2"/>
    <x v="1"/>
    <s v="Work on communication and personality development"/>
  </r>
  <r>
    <n v="48"/>
    <x v="0"/>
    <n v="2"/>
    <n v="9"/>
    <n v="4"/>
    <n v="9.2710076064204596"/>
    <x v="75"/>
    <n v="93"/>
    <n v="79"/>
    <n v="1"/>
    <n v="1"/>
    <s v="C705"/>
    <x v="0"/>
    <x v="0"/>
    <x v="1"/>
    <x v="0"/>
    <x v="0"/>
    <s v="Strong"/>
    <x v="0"/>
    <n v="69"/>
    <x v="0"/>
    <x v="1"/>
    <x v="0"/>
    <s v="Improve interview preparation and communication"/>
  </r>
  <r>
    <n v="32"/>
    <x v="0"/>
    <n v="1"/>
    <n v="4"/>
    <n v="1"/>
    <n v="1.1161703065965101"/>
    <x v="57"/>
    <n v="41"/>
    <n v="44"/>
    <n v="1"/>
    <n v="0"/>
    <s v="C706"/>
    <x v="0"/>
    <x v="2"/>
    <x v="2"/>
    <x v="2"/>
    <x v="2"/>
    <s v="Needs Improvement"/>
    <x v="1"/>
    <n v="55"/>
    <x v="0"/>
    <x v="2"/>
    <x v="2"/>
    <s v="Strengthen technical skills and practical knowledge"/>
  </r>
  <r>
    <n v="31"/>
    <x v="1"/>
    <n v="3"/>
    <n v="3"/>
    <n v="2"/>
    <n v="50.196547007120103"/>
    <x v="79"/>
    <n v="6"/>
    <n v="70"/>
    <n v="2"/>
    <n v="0"/>
    <s v="C707"/>
    <x v="1"/>
    <x v="3"/>
    <x v="2"/>
    <x v="2"/>
    <x v="2"/>
    <s v="Good"/>
    <x v="1"/>
    <n v="48"/>
    <x v="1"/>
    <x v="2"/>
    <x v="2"/>
    <s v="Strengthen technical skills and practical knowledge"/>
  </r>
  <r>
    <n v="50"/>
    <x v="1"/>
    <n v="3"/>
    <n v="11"/>
    <n v="5"/>
    <n v="46.3068768063739"/>
    <x v="53"/>
    <n v="14"/>
    <n v="79"/>
    <n v="1"/>
    <n v="1"/>
    <s v="C708"/>
    <x v="1"/>
    <x v="3"/>
    <x v="1"/>
    <x v="1"/>
    <x v="2"/>
    <s v="Strong"/>
    <x v="0"/>
    <n v="50"/>
    <x v="0"/>
    <x v="0"/>
    <x v="2"/>
    <s v="Strengthen technical skills and practical knowledge"/>
  </r>
  <r>
    <n v="33"/>
    <x v="0"/>
    <n v="2"/>
    <n v="0"/>
    <n v="2"/>
    <n v="3.7722617851920699"/>
    <x v="52"/>
    <n v="59"/>
    <n v="70"/>
    <n v="2"/>
    <n v="0"/>
    <s v="C709"/>
    <x v="0"/>
    <x v="0"/>
    <x v="0"/>
    <x v="2"/>
    <x v="1"/>
    <s v="Good"/>
    <x v="1"/>
    <n v="59"/>
    <x v="0"/>
    <x v="2"/>
    <x v="2"/>
    <s v="Strengthen technical skills and practical knowledge"/>
  </r>
  <r>
    <n v="21"/>
    <x v="0"/>
    <n v="2"/>
    <n v="11"/>
    <n v="4"/>
    <n v="42.651713197053397"/>
    <x v="18"/>
    <n v="39"/>
    <n v="26"/>
    <n v="1"/>
    <n v="0"/>
    <s v="C710"/>
    <x v="0"/>
    <x v="0"/>
    <x v="1"/>
    <x v="1"/>
    <x v="2"/>
    <s v="Needs Improvement"/>
    <x v="1"/>
    <n v="51"/>
    <x v="0"/>
    <x v="2"/>
    <x v="1"/>
    <s v="Work on communication and personality development"/>
  </r>
  <r>
    <n v="48"/>
    <x v="0"/>
    <n v="4"/>
    <n v="7"/>
    <n v="2"/>
    <n v="23.890246627960298"/>
    <x v="13"/>
    <n v="82"/>
    <n v="77"/>
    <n v="1"/>
    <n v="1"/>
    <s v="C711"/>
    <x v="0"/>
    <x v="1"/>
    <x v="1"/>
    <x v="0"/>
    <x v="0"/>
    <s v="Strong"/>
    <x v="0"/>
    <n v="55"/>
    <x v="0"/>
    <x v="1"/>
    <x v="0"/>
    <s v="Improve interview preparation and communication"/>
  </r>
  <r>
    <n v="38"/>
    <x v="0"/>
    <n v="2"/>
    <n v="0"/>
    <n v="1"/>
    <n v="13.948080251248699"/>
    <x v="38"/>
    <n v="36"/>
    <n v="77"/>
    <n v="2"/>
    <n v="0"/>
    <s v="C712"/>
    <x v="0"/>
    <x v="0"/>
    <x v="0"/>
    <x v="2"/>
    <x v="2"/>
    <s v="Strong"/>
    <x v="1"/>
    <n v="52"/>
    <x v="0"/>
    <x v="0"/>
    <x v="2"/>
    <s v="Strengthen technical skills and practical knowledge"/>
  </r>
  <r>
    <n v="37"/>
    <x v="1"/>
    <n v="2"/>
    <n v="4"/>
    <n v="1"/>
    <n v="44.937326183846402"/>
    <x v="14"/>
    <n v="65"/>
    <n v="43"/>
    <n v="3"/>
    <n v="0"/>
    <s v="C713"/>
    <x v="1"/>
    <x v="0"/>
    <x v="2"/>
    <x v="1"/>
    <x v="1"/>
    <s v="Needs Improvement"/>
    <x v="1"/>
    <n v="56"/>
    <x v="0"/>
    <x v="2"/>
    <x v="1"/>
    <s v="Work on communication and personality development"/>
  </r>
  <r>
    <n v="22"/>
    <x v="0"/>
    <n v="3"/>
    <n v="14"/>
    <n v="5"/>
    <n v="10.8333616195153"/>
    <x v="62"/>
    <n v="54"/>
    <n v="32"/>
    <n v="2"/>
    <n v="0"/>
    <s v="C714"/>
    <x v="0"/>
    <x v="3"/>
    <x v="1"/>
    <x v="0"/>
    <x v="1"/>
    <s v="Needs Improvement"/>
    <x v="1"/>
    <n v="41"/>
    <x v="1"/>
    <x v="1"/>
    <x v="0"/>
    <s v="Improve interview preparation and communication"/>
  </r>
  <r>
    <n v="42"/>
    <x v="0"/>
    <n v="2"/>
    <n v="5"/>
    <n v="3"/>
    <n v="48.3649999710033"/>
    <x v="83"/>
    <n v="76"/>
    <n v="32"/>
    <n v="3"/>
    <n v="0"/>
    <s v="C715"/>
    <x v="0"/>
    <x v="0"/>
    <x v="2"/>
    <x v="2"/>
    <x v="0"/>
    <s v="Needs Improvement"/>
    <x v="1"/>
    <n v="59"/>
    <x v="0"/>
    <x v="1"/>
    <x v="1"/>
    <s v="Work on communication and personality development"/>
  </r>
  <r>
    <n v="36"/>
    <x v="1"/>
    <n v="2"/>
    <n v="5"/>
    <n v="4"/>
    <n v="11.281074384967001"/>
    <x v="14"/>
    <n v="94"/>
    <n v="43"/>
    <n v="3"/>
    <n v="0"/>
    <s v="C716"/>
    <x v="1"/>
    <x v="0"/>
    <x v="2"/>
    <x v="1"/>
    <x v="0"/>
    <s v="Needs Improvement"/>
    <x v="1"/>
    <n v="66"/>
    <x v="0"/>
    <x v="1"/>
    <x v="1"/>
    <s v="Work on communication and personality development"/>
  </r>
  <r>
    <n v="45"/>
    <x v="0"/>
    <n v="2"/>
    <n v="12"/>
    <n v="4"/>
    <n v="31.684159386437099"/>
    <x v="38"/>
    <n v="79"/>
    <n v="19"/>
    <n v="1"/>
    <n v="1"/>
    <s v="C717"/>
    <x v="0"/>
    <x v="0"/>
    <x v="1"/>
    <x v="2"/>
    <x v="0"/>
    <s v="Needs Improvement"/>
    <x v="0"/>
    <n v="65"/>
    <x v="0"/>
    <x v="1"/>
    <x v="1"/>
    <s v="Work on communication and personality development"/>
  </r>
  <r>
    <n v="27"/>
    <x v="1"/>
    <n v="3"/>
    <n v="4"/>
    <n v="3"/>
    <n v="12.1543167264487"/>
    <x v="75"/>
    <n v="55"/>
    <n v="35"/>
    <n v="2"/>
    <n v="0"/>
    <s v="C718"/>
    <x v="1"/>
    <x v="3"/>
    <x v="2"/>
    <x v="0"/>
    <x v="1"/>
    <s v="Needs Improvement"/>
    <x v="1"/>
    <n v="45"/>
    <x v="1"/>
    <x v="1"/>
    <x v="1"/>
    <s v="Work on communication and personality development"/>
  </r>
  <r>
    <n v="48"/>
    <x v="1"/>
    <n v="2"/>
    <n v="15"/>
    <n v="1"/>
    <n v="28.283433248431699"/>
    <x v="45"/>
    <n v="43"/>
    <n v="6"/>
    <n v="2"/>
    <n v="0"/>
    <s v="C719"/>
    <x v="1"/>
    <x v="0"/>
    <x v="1"/>
    <x v="0"/>
    <x v="2"/>
    <s v="Needs Improvement"/>
    <x v="1"/>
    <n v="39"/>
    <x v="1"/>
    <x v="1"/>
    <x v="1"/>
    <s v="Work on communication and personality development"/>
  </r>
  <r>
    <n v="45"/>
    <x v="1"/>
    <n v="2"/>
    <n v="2"/>
    <n v="1"/>
    <n v="35.198756495757003"/>
    <x v="38"/>
    <n v="56"/>
    <n v="31"/>
    <n v="3"/>
    <n v="0"/>
    <s v="C720"/>
    <x v="1"/>
    <x v="0"/>
    <x v="0"/>
    <x v="2"/>
    <x v="1"/>
    <s v="Needs Improvement"/>
    <x v="1"/>
    <n v="50"/>
    <x v="0"/>
    <x v="2"/>
    <x v="1"/>
    <s v="Work on communication and personality development"/>
  </r>
  <r>
    <n v="29"/>
    <x v="0"/>
    <n v="2"/>
    <n v="14"/>
    <n v="2"/>
    <n v="10.5113965410068"/>
    <x v="26"/>
    <n v="5"/>
    <n v="66"/>
    <n v="2"/>
    <n v="0"/>
    <s v="C721"/>
    <x v="0"/>
    <x v="0"/>
    <x v="1"/>
    <x v="0"/>
    <x v="2"/>
    <s v="Good"/>
    <x v="1"/>
    <n v="43"/>
    <x v="1"/>
    <x v="0"/>
    <x v="2"/>
    <s v="Strengthen technical skills and practical knowledge"/>
  </r>
  <r>
    <n v="45"/>
    <x v="0"/>
    <n v="2"/>
    <n v="4"/>
    <n v="5"/>
    <n v="27.0442891350339"/>
    <x v="20"/>
    <n v="91"/>
    <n v="38"/>
    <n v="3"/>
    <n v="0"/>
    <s v="C722"/>
    <x v="0"/>
    <x v="0"/>
    <x v="2"/>
    <x v="2"/>
    <x v="0"/>
    <s v="Needs Improvement"/>
    <x v="1"/>
    <n v="69"/>
    <x v="0"/>
    <x v="2"/>
    <x v="1"/>
    <s v="Work on communication and personality development"/>
  </r>
  <r>
    <n v="49"/>
    <x v="1"/>
    <n v="2"/>
    <n v="11"/>
    <n v="5"/>
    <n v="24.4529872195059"/>
    <x v="46"/>
    <n v="31"/>
    <n v="92"/>
    <n v="1"/>
    <n v="1"/>
    <s v="C723"/>
    <x v="1"/>
    <x v="0"/>
    <x v="1"/>
    <x v="1"/>
    <x v="2"/>
    <s v="Strong"/>
    <x v="0"/>
    <n v="58"/>
    <x v="0"/>
    <x v="0"/>
    <x v="2"/>
    <s v="Strengthen technical skills and practical knowledge"/>
  </r>
  <r>
    <n v="21"/>
    <x v="0"/>
    <n v="3"/>
    <n v="7"/>
    <n v="5"/>
    <n v="4.5518710701670599"/>
    <x v="40"/>
    <n v="73"/>
    <n v="23"/>
    <n v="1"/>
    <n v="1"/>
    <s v="C724"/>
    <x v="0"/>
    <x v="3"/>
    <x v="1"/>
    <x v="0"/>
    <x v="1"/>
    <s v="Needs Improvement"/>
    <x v="0"/>
    <n v="43"/>
    <x v="1"/>
    <x v="1"/>
    <x v="0"/>
    <s v="Improve interview preparation and communication"/>
  </r>
  <r>
    <n v="38"/>
    <x v="0"/>
    <n v="2"/>
    <n v="13"/>
    <n v="2"/>
    <n v="41.915390883765099"/>
    <x v="27"/>
    <n v="17"/>
    <n v="85"/>
    <n v="2"/>
    <n v="0"/>
    <s v="C725"/>
    <x v="0"/>
    <x v="0"/>
    <x v="1"/>
    <x v="2"/>
    <x v="2"/>
    <s v="Strong"/>
    <x v="1"/>
    <n v="64"/>
    <x v="0"/>
    <x v="2"/>
    <x v="2"/>
    <s v="Strengthen technical skills and practical knowledge"/>
  </r>
  <r>
    <n v="28"/>
    <x v="1"/>
    <n v="1"/>
    <n v="1"/>
    <n v="5"/>
    <n v="17.784120032141999"/>
    <x v="24"/>
    <n v="67"/>
    <n v="69"/>
    <n v="2"/>
    <n v="0"/>
    <s v="C726"/>
    <x v="1"/>
    <x v="2"/>
    <x v="0"/>
    <x v="2"/>
    <x v="1"/>
    <s v="Good"/>
    <x v="1"/>
    <n v="62"/>
    <x v="0"/>
    <x v="2"/>
    <x v="2"/>
    <s v="Strengthen technical skills and practical knowledge"/>
  </r>
  <r>
    <n v="26"/>
    <x v="1"/>
    <n v="3"/>
    <n v="15"/>
    <n v="3"/>
    <n v="29.729109877593899"/>
    <x v="38"/>
    <n v="72"/>
    <n v="87"/>
    <n v="1"/>
    <n v="1"/>
    <s v="C727"/>
    <x v="1"/>
    <x v="3"/>
    <x v="1"/>
    <x v="2"/>
    <x v="1"/>
    <s v="Strong"/>
    <x v="0"/>
    <n v="81"/>
    <x v="2"/>
    <x v="0"/>
    <x v="2"/>
    <s v="Strengthen technical skills and practical knowledge"/>
  </r>
  <r>
    <n v="23"/>
    <x v="0"/>
    <n v="1"/>
    <n v="5"/>
    <n v="2"/>
    <n v="26.7392117466567"/>
    <x v="38"/>
    <n v="6"/>
    <n v="86"/>
    <n v="2"/>
    <n v="0"/>
    <s v="C728"/>
    <x v="0"/>
    <x v="2"/>
    <x v="2"/>
    <x v="2"/>
    <x v="2"/>
    <s v="Strong"/>
    <x v="1"/>
    <n v="49"/>
    <x v="1"/>
    <x v="0"/>
    <x v="2"/>
    <s v="Strengthen technical skills and practical knowledge"/>
  </r>
  <r>
    <n v="45"/>
    <x v="1"/>
    <n v="4"/>
    <n v="8"/>
    <n v="3"/>
    <n v="26.663025228522098"/>
    <x v="46"/>
    <n v="7"/>
    <n v="53"/>
    <n v="1"/>
    <n v="1"/>
    <s v="C729"/>
    <x v="1"/>
    <x v="1"/>
    <x v="1"/>
    <x v="1"/>
    <x v="2"/>
    <s v="Good"/>
    <x v="0"/>
    <n v="43"/>
    <x v="1"/>
    <x v="2"/>
    <x v="2"/>
    <s v="Strengthen technical skills and practical knowledge"/>
  </r>
  <r>
    <n v="40"/>
    <x v="0"/>
    <n v="1"/>
    <n v="7"/>
    <n v="2"/>
    <n v="6.3611197104243704"/>
    <x v="76"/>
    <n v="63"/>
    <n v="37"/>
    <n v="2"/>
    <n v="0"/>
    <s v="C730"/>
    <x v="0"/>
    <x v="2"/>
    <x v="1"/>
    <x v="0"/>
    <x v="1"/>
    <s v="Needs Improvement"/>
    <x v="1"/>
    <n v="44"/>
    <x v="1"/>
    <x v="1"/>
    <x v="0"/>
    <s v="Improve interview preparation and communication"/>
  </r>
  <r>
    <n v="37"/>
    <x v="0"/>
    <n v="2"/>
    <n v="13"/>
    <n v="5"/>
    <n v="22.174100462466601"/>
    <x v="36"/>
    <n v="6"/>
    <n v="73"/>
    <n v="3"/>
    <n v="0"/>
    <s v="C731"/>
    <x v="0"/>
    <x v="0"/>
    <x v="1"/>
    <x v="1"/>
    <x v="2"/>
    <s v="Good"/>
    <x v="1"/>
    <n v="51"/>
    <x v="0"/>
    <x v="0"/>
    <x v="2"/>
    <s v="Strengthen technical skills and practical knowledge"/>
  </r>
  <r>
    <n v="32"/>
    <x v="0"/>
    <n v="1"/>
    <n v="10"/>
    <n v="3"/>
    <n v="23.6183379603285"/>
    <x v="51"/>
    <n v="40"/>
    <n v="79"/>
    <n v="3"/>
    <n v="0"/>
    <s v="C732"/>
    <x v="0"/>
    <x v="2"/>
    <x v="1"/>
    <x v="0"/>
    <x v="2"/>
    <s v="Strong"/>
    <x v="1"/>
    <n v="43"/>
    <x v="1"/>
    <x v="0"/>
    <x v="0"/>
    <s v="Improve interview preparation and communication"/>
  </r>
  <r>
    <n v="30"/>
    <x v="0"/>
    <n v="4"/>
    <n v="7"/>
    <n v="3"/>
    <n v="37.6821420182224"/>
    <x v="60"/>
    <n v="39"/>
    <n v="74"/>
    <n v="2"/>
    <n v="1"/>
    <s v="C733"/>
    <x v="0"/>
    <x v="1"/>
    <x v="1"/>
    <x v="2"/>
    <x v="2"/>
    <s v="Good"/>
    <x v="0"/>
    <n v="64"/>
    <x v="0"/>
    <x v="2"/>
    <x v="2"/>
    <s v="Strengthen technical skills and practical knowledge"/>
  </r>
  <r>
    <n v="48"/>
    <x v="1"/>
    <n v="2"/>
    <n v="7"/>
    <n v="3"/>
    <n v="43.000941596034899"/>
    <x v="38"/>
    <n v="2"/>
    <n v="31"/>
    <n v="2"/>
    <n v="0"/>
    <s v="C734"/>
    <x v="1"/>
    <x v="0"/>
    <x v="1"/>
    <x v="2"/>
    <x v="2"/>
    <s v="Needs Improvement"/>
    <x v="1"/>
    <n v="39"/>
    <x v="1"/>
    <x v="2"/>
    <x v="2"/>
    <s v="Strengthen technical skills and practical knowledge"/>
  </r>
  <r>
    <n v="43"/>
    <x v="1"/>
    <n v="1"/>
    <n v="14"/>
    <n v="2"/>
    <n v="28.2491139050009"/>
    <x v="46"/>
    <n v="16"/>
    <n v="44"/>
    <n v="2"/>
    <n v="0"/>
    <s v="C735"/>
    <x v="1"/>
    <x v="2"/>
    <x v="1"/>
    <x v="1"/>
    <x v="2"/>
    <s v="Needs Improvement"/>
    <x v="1"/>
    <n v="47"/>
    <x v="1"/>
    <x v="2"/>
    <x v="2"/>
    <s v="Strengthen technical skills and practical knowledge"/>
  </r>
  <r>
    <n v="23"/>
    <x v="1"/>
    <n v="2"/>
    <n v="12"/>
    <n v="4"/>
    <n v="5.3391477032495196"/>
    <x v="14"/>
    <n v="65"/>
    <n v="60"/>
    <n v="1"/>
    <n v="1"/>
    <s v="C736"/>
    <x v="1"/>
    <x v="0"/>
    <x v="1"/>
    <x v="1"/>
    <x v="1"/>
    <s v="Good"/>
    <x v="0"/>
    <n v="68"/>
    <x v="0"/>
    <x v="2"/>
    <x v="1"/>
    <s v="Work on communication and personality development"/>
  </r>
  <r>
    <n v="44"/>
    <x v="1"/>
    <n v="1"/>
    <n v="6"/>
    <n v="5"/>
    <n v="12.8424735298273"/>
    <x v="12"/>
    <n v="78"/>
    <n v="69"/>
    <n v="2"/>
    <n v="1"/>
    <s v="C737"/>
    <x v="1"/>
    <x v="2"/>
    <x v="2"/>
    <x v="2"/>
    <x v="0"/>
    <s v="Good"/>
    <x v="0"/>
    <n v="75"/>
    <x v="2"/>
    <x v="2"/>
    <x v="1"/>
    <s v="Work on communication and personality development"/>
  </r>
  <r>
    <n v="40"/>
    <x v="0"/>
    <n v="1"/>
    <n v="7"/>
    <n v="3"/>
    <n v="9.2467013426365501"/>
    <x v="65"/>
    <n v="92"/>
    <n v="87"/>
    <n v="1"/>
    <n v="1"/>
    <s v="C738"/>
    <x v="0"/>
    <x v="2"/>
    <x v="1"/>
    <x v="0"/>
    <x v="0"/>
    <s v="Strong"/>
    <x v="0"/>
    <n v="58"/>
    <x v="0"/>
    <x v="1"/>
    <x v="0"/>
    <s v="Improve interview preparation and communication"/>
  </r>
  <r>
    <n v="48"/>
    <x v="0"/>
    <n v="4"/>
    <n v="12"/>
    <n v="4"/>
    <n v="7.2307531594562304"/>
    <x v="52"/>
    <n v="51"/>
    <n v="96"/>
    <n v="3"/>
    <n v="1"/>
    <s v="C739"/>
    <x v="0"/>
    <x v="1"/>
    <x v="1"/>
    <x v="2"/>
    <x v="1"/>
    <s v="Strong"/>
    <x v="0"/>
    <n v="76"/>
    <x v="2"/>
    <x v="0"/>
    <x v="2"/>
    <s v="Strengthen technical skills and practical knowledge"/>
  </r>
  <r>
    <n v="44"/>
    <x v="1"/>
    <n v="2"/>
    <n v="5"/>
    <n v="5"/>
    <n v="19.294964930890298"/>
    <x v="34"/>
    <n v="21"/>
    <n v="52"/>
    <n v="3"/>
    <n v="0"/>
    <s v="C740"/>
    <x v="1"/>
    <x v="0"/>
    <x v="2"/>
    <x v="0"/>
    <x v="2"/>
    <s v="Good"/>
    <x v="1"/>
    <n v="28"/>
    <x v="1"/>
    <x v="0"/>
    <x v="0"/>
    <s v="Improve interview preparation and communication"/>
  </r>
  <r>
    <n v="23"/>
    <x v="0"/>
    <n v="3"/>
    <n v="1"/>
    <n v="5"/>
    <n v="12.4696751077191"/>
    <x v="100"/>
    <n v="3"/>
    <n v="50"/>
    <n v="2"/>
    <n v="0"/>
    <s v="C741"/>
    <x v="0"/>
    <x v="3"/>
    <x v="0"/>
    <x v="2"/>
    <x v="2"/>
    <s v="Good"/>
    <x v="1"/>
    <n v="44"/>
    <x v="1"/>
    <x v="2"/>
    <x v="2"/>
    <s v="Strengthen technical skills and practical knowledge"/>
  </r>
  <r>
    <n v="29"/>
    <x v="0"/>
    <n v="2"/>
    <n v="1"/>
    <n v="3"/>
    <n v="11.915155590575599"/>
    <x v="64"/>
    <n v="5"/>
    <n v="75"/>
    <n v="2"/>
    <n v="0"/>
    <s v="C742"/>
    <x v="0"/>
    <x v="0"/>
    <x v="0"/>
    <x v="0"/>
    <x v="2"/>
    <s v="Strong"/>
    <x v="1"/>
    <n v="30"/>
    <x v="1"/>
    <x v="0"/>
    <x v="2"/>
    <s v="Strengthen technical skills and practical knowledge"/>
  </r>
  <r>
    <n v="24"/>
    <x v="0"/>
    <n v="2"/>
    <n v="7"/>
    <n v="3"/>
    <n v="3.7346587288133799"/>
    <x v="58"/>
    <n v="37"/>
    <n v="55"/>
    <n v="1"/>
    <n v="0"/>
    <s v="C743"/>
    <x v="0"/>
    <x v="0"/>
    <x v="1"/>
    <x v="0"/>
    <x v="2"/>
    <s v="Good"/>
    <x v="1"/>
    <n v="36"/>
    <x v="1"/>
    <x v="0"/>
    <x v="0"/>
    <s v="Improve interview preparation and communication"/>
  </r>
  <r>
    <n v="28"/>
    <x v="1"/>
    <n v="1"/>
    <n v="10"/>
    <n v="2"/>
    <n v="1.8835022397716901"/>
    <x v="4"/>
    <n v="25"/>
    <n v="26"/>
    <n v="2"/>
    <n v="0"/>
    <s v="C744"/>
    <x v="1"/>
    <x v="2"/>
    <x v="1"/>
    <x v="0"/>
    <x v="2"/>
    <s v="Needs Improvement"/>
    <x v="1"/>
    <n v="32"/>
    <x v="1"/>
    <x v="0"/>
    <x v="0"/>
    <s v="Improve interview preparation and communication"/>
  </r>
  <r>
    <n v="43"/>
    <x v="1"/>
    <n v="2"/>
    <n v="0"/>
    <n v="4"/>
    <n v="6.1384121324890897"/>
    <x v="47"/>
    <n v="10"/>
    <n v="37"/>
    <n v="2"/>
    <n v="0"/>
    <s v="C745"/>
    <x v="1"/>
    <x v="0"/>
    <x v="0"/>
    <x v="0"/>
    <x v="2"/>
    <s v="Needs Improvement"/>
    <x v="1"/>
    <n v="22"/>
    <x v="1"/>
    <x v="0"/>
    <x v="2"/>
    <s v="Strengthen technical skills and practical knowledge"/>
  </r>
  <r>
    <n v="22"/>
    <x v="1"/>
    <n v="3"/>
    <n v="5"/>
    <n v="4"/>
    <n v="9.6098739711816492"/>
    <x v="32"/>
    <n v="89"/>
    <n v="61"/>
    <n v="2"/>
    <n v="0"/>
    <s v="C746"/>
    <x v="1"/>
    <x v="3"/>
    <x v="2"/>
    <x v="1"/>
    <x v="0"/>
    <s v="Good"/>
    <x v="1"/>
    <n v="66"/>
    <x v="0"/>
    <x v="1"/>
    <x v="0"/>
    <s v="Improve interview preparation and communication"/>
  </r>
  <r>
    <n v="36"/>
    <x v="0"/>
    <n v="4"/>
    <n v="12"/>
    <n v="3"/>
    <n v="22.5491864424101"/>
    <x v="22"/>
    <n v="16"/>
    <n v="17"/>
    <n v="1"/>
    <n v="1"/>
    <s v="C747"/>
    <x v="0"/>
    <x v="1"/>
    <x v="1"/>
    <x v="0"/>
    <x v="2"/>
    <s v="Needs Improvement"/>
    <x v="0"/>
    <n v="29"/>
    <x v="1"/>
    <x v="0"/>
    <x v="0"/>
    <s v="Improve interview preparation and communication"/>
  </r>
  <r>
    <n v="22"/>
    <x v="1"/>
    <n v="2"/>
    <n v="15"/>
    <n v="5"/>
    <n v="26.526013064942202"/>
    <x v="32"/>
    <n v="87"/>
    <n v="63"/>
    <n v="3"/>
    <n v="0"/>
    <s v="C748"/>
    <x v="1"/>
    <x v="0"/>
    <x v="1"/>
    <x v="1"/>
    <x v="0"/>
    <s v="Good"/>
    <x v="1"/>
    <n v="75"/>
    <x v="2"/>
    <x v="1"/>
    <x v="0"/>
    <s v="Improve interview preparation and communication"/>
  </r>
  <r>
    <n v="35"/>
    <x v="1"/>
    <n v="2"/>
    <n v="5"/>
    <n v="3"/>
    <n v="8.02959590866827"/>
    <x v="90"/>
    <n v="91"/>
    <n v="76"/>
    <n v="2"/>
    <n v="0"/>
    <s v="C749"/>
    <x v="1"/>
    <x v="0"/>
    <x v="2"/>
    <x v="0"/>
    <x v="0"/>
    <s v="Strong"/>
    <x v="1"/>
    <n v="64"/>
    <x v="0"/>
    <x v="1"/>
    <x v="0"/>
    <s v="Improve interview preparation and communication"/>
  </r>
  <r>
    <n v="23"/>
    <x v="1"/>
    <n v="2"/>
    <n v="15"/>
    <n v="5"/>
    <n v="22.239167076209299"/>
    <x v="37"/>
    <n v="98"/>
    <n v="29"/>
    <n v="3"/>
    <n v="0"/>
    <s v="C750"/>
    <x v="1"/>
    <x v="0"/>
    <x v="1"/>
    <x v="0"/>
    <x v="0"/>
    <s v="Needs Improvement"/>
    <x v="1"/>
    <n v="57"/>
    <x v="0"/>
    <x v="1"/>
    <x v="0"/>
    <s v="Improve interview preparation and communication"/>
  </r>
  <r>
    <n v="37"/>
    <x v="1"/>
    <n v="4"/>
    <n v="10"/>
    <n v="5"/>
    <n v="18.087442116296302"/>
    <x v="36"/>
    <n v="30"/>
    <n v="48"/>
    <n v="3"/>
    <n v="0"/>
    <s v="C751"/>
    <x v="1"/>
    <x v="1"/>
    <x v="1"/>
    <x v="1"/>
    <x v="2"/>
    <s v="Needs Improvement"/>
    <x v="1"/>
    <n v="53"/>
    <x v="0"/>
    <x v="2"/>
    <x v="2"/>
    <s v="Strengthen technical skills and practical knowledge"/>
  </r>
  <r>
    <n v="36"/>
    <x v="1"/>
    <n v="2"/>
    <n v="3"/>
    <n v="3"/>
    <n v="10.171182174897799"/>
    <x v="8"/>
    <n v="76"/>
    <n v="40"/>
    <n v="3"/>
    <n v="0"/>
    <s v="C752"/>
    <x v="1"/>
    <x v="0"/>
    <x v="2"/>
    <x v="2"/>
    <x v="0"/>
    <s v="Needs Improvement"/>
    <x v="1"/>
    <n v="60"/>
    <x v="0"/>
    <x v="2"/>
    <x v="1"/>
    <s v="Work on communication and personality development"/>
  </r>
  <r>
    <n v="26"/>
    <x v="1"/>
    <n v="2"/>
    <n v="11"/>
    <n v="1"/>
    <n v="1.34203740741817"/>
    <x v="100"/>
    <n v="34"/>
    <n v="12"/>
    <n v="1"/>
    <n v="1"/>
    <s v="C753"/>
    <x v="1"/>
    <x v="0"/>
    <x v="1"/>
    <x v="2"/>
    <x v="2"/>
    <s v="Needs Improvement"/>
    <x v="0"/>
    <n v="55"/>
    <x v="0"/>
    <x v="2"/>
    <x v="1"/>
    <s v="Work on communication and personality development"/>
  </r>
  <r>
    <n v="43"/>
    <x v="0"/>
    <n v="3"/>
    <n v="10"/>
    <n v="4"/>
    <n v="24.350893326087"/>
    <x v="77"/>
    <n v="15"/>
    <n v="33"/>
    <n v="1"/>
    <n v="1"/>
    <s v="C754"/>
    <x v="0"/>
    <x v="3"/>
    <x v="1"/>
    <x v="0"/>
    <x v="2"/>
    <s v="Needs Improvement"/>
    <x v="0"/>
    <n v="37"/>
    <x v="1"/>
    <x v="2"/>
    <x v="2"/>
    <s v="Strengthen technical skills and practical knowledge"/>
  </r>
  <r>
    <n v="42"/>
    <x v="0"/>
    <n v="1"/>
    <n v="12"/>
    <n v="5"/>
    <n v="35.282587463259901"/>
    <x v="41"/>
    <n v="78"/>
    <n v="99"/>
    <n v="2"/>
    <n v="0"/>
    <s v="C755"/>
    <x v="0"/>
    <x v="2"/>
    <x v="1"/>
    <x v="0"/>
    <x v="0"/>
    <s v="Strong"/>
    <x v="1"/>
    <n v="60"/>
    <x v="0"/>
    <x v="0"/>
    <x v="0"/>
    <s v="Improve interview preparation and communication"/>
  </r>
  <r>
    <n v="49"/>
    <x v="1"/>
    <n v="1"/>
    <n v="14"/>
    <n v="5"/>
    <n v="12.3138667071903"/>
    <x v="68"/>
    <n v="17"/>
    <n v="93"/>
    <n v="1"/>
    <n v="1"/>
    <s v="C756"/>
    <x v="1"/>
    <x v="2"/>
    <x v="1"/>
    <x v="0"/>
    <x v="2"/>
    <s v="Strong"/>
    <x v="0"/>
    <n v="41"/>
    <x v="1"/>
    <x v="0"/>
    <x v="0"/>
    <s v="Improve interview preparation and communication"/>
  </r>
  <r>
    <n v="24"/>
    <x v="1"/>
    <n v="2"/>
    <n v="10"/>
    <n v="1"/>
    <n v="7.59034149483396"/>
    <x v="15"/>
    <n v="100"/>
    <n v="24"/>
    <n v="2"/>
    <n v="0"/>
    <s v="C757"/>
    <x v="1"/>
    <x v="0"/>
    <x v="1"/>
    <x v="0"/>
    <x v="0"/>
    <s v="Needs Improvement"/>
    <x v="1"/>
    <n v="51"/>
    <x v="0"/>
    <x v="1"/>
    <x v="0"/>
    <s v="Improve interview preparation and communication"/>
  </r>
  <r>
    <n v="31"/>
    <x v="0"/>
    <n v="4"/>
    <n v="15"/>
    <n v="2"/>
    <n v="45.352137222347999"/>
    <x v="52"/>
    <n v="61"/>
    <n v="65"/>
    <n v="2"/>
    <n v="1"/>
    <s v="C758"/>
    <x v="0"/>
    <x v="1"/>
    <x v="1"/>
    <x v="2"/>
    <x v="1"/>
    <s v="Good"/>
    <x v="0"/>
    <n v="76"/>
    <x v="2"/>
    <x v="2"/>
    <x v="2"/>
    <s v="Strengthen technical skills and practical knowledge"/>
  </r>
  <r>
    <n v="36"/>
    <x v="0"/>
    <n v="2"/>
    <n v="12"/>
    <n v="1"/>
    <n v="14.751238624389799"/>
    <x v="37"/>
    <n v="26"/>
    <n v="99"/>
    <n v="2"/>
    <n v="0"/>
    <s v="C759"/>
    <x v="0"/>
    <x v="0"/>
    <x v="1"/>
    <x v="0"/>
    <x v="2"/>
    <s v="Strong"/>
    <x v="1"/>
    <n v="47"/>
    <x v="1"/>
    <x v="0"/>
    <x v="0"/>
    <s v="Improve interview preparation and communication"/>
  </r>
  <r>
    <n v="42"/>
    <x v="1"/>
    <n v="2"/>
    <n v="9"/>
    <n v="1"/>
    <n v="12.180630989633199"/>
    <x v="56"/>
    <n v="34"/>
    <n v="17"/>
    <n v="1"/>
    <n v="1"/>
    <s v="C760"/>
    <x v="1"/>
    <x v="0"/>
    <x v="1"/>
    <x v="2"/>
    <x v="2"/>
    <s v="Needs Improvement"/>
    <x v="0"/>
    <n v="48"/>
    <x v="1"/>
    <x v="2"/>
    <x v="1"/>
    <s v="Work on communication and personality development"/>
  </r>
  <r>
    <n v="32"/>
    <x v="1"/>
    <n v="2"/>
    <n v="2"/>
    <n v="5"/>
    <n v="43.854846980495701"/>
    <x v="28"/>
    <n v="44"/>
    <n v="4"/>
    <n v="3"/>
    <n v="0"/>
    <s v="C761"/>
    <x v="1"/>
    <x v="0"/>
    <x v="0"/>
    <x v="2"/>
    <x v="2"/>
    <s v="Needs Improvement"/>
    <x v="1"/>
    <n v="42"/>
    <x v="1"/>
    <x v="2"/>
    <x v="1"/>
    <s v="Work on communication and personality development"/>
  </r>
  <r>
    <n v="42"/>
    <x v="1"/>
    <n v="2"/>
    <n v="12"/>
    <n v="4"/>
    <n v="41.855354958337998"/>
    <x v="96"/>
    <n v="34"/>
    <n v="18"/>
    <n v="1"/>
    <n v="0"/>
    <s v="C762"/>
    <x v="1"/>
    <x v="0"/>
    <x v="1"/>
    <x v="1"/>
    <x v="2"/>
    <s v="Needs Improvement"/>
    <x v="1"/>
    <n v="46"/>
    <x v="1"/>
    <x v="2"/>
    <x v="1"/>
    <s v="Work on communication and personality development"/>
  </r>
  <r>
    <n v="44"/>
    <x v="1"/>
    <n v="2"/>
    <n v="10"/>
    <n v="1"/>
    <n v="23.417323526231598"/>
    <x v="0"/>
    <n v="27"/>
    <n v="41"/>
    <n v="2"/>
    <n v="0"/>
    <s v="C763"/>
    <x v="1"/>
    <x v="0"/>
    <x v="1"/>
    <x v="0"/>
    <x v="2"/>
    <s v="Needs Improvement"/>
    <x v="1"/>
    <n v="43"/>
    <x v="1"/>
    <x v="2"/>
    <x v="2"/>
    <s v="Strengthen technical skills and practical knowledge"/>
  </r>
  <r>
    <n v="22"/>
    <x v="0"/>
    <n v="2"/>
    <n v="2"/>
    <n v="2"/>
    <n v="25.461943071388699"/>
    <x v="17"/>
    <n v="8"/>
    <n v="17"/>
    <n v="2"/>
    <n v="0"/>
    <s v="C764"/>
    <x v="0"/>
    <x v="0"/>
    <x v="0"/>
    <x v="1"/>
    <x v="2"/>
    <s v="Needs Improvement"/>
    <x v="1"/>
    <n v="29"/>
    <x v="1"/>
    <x v="2"/>
    <x v="2"/>
    <s v="Strengthen technical skills and practical knowledge"/>
  </r>
  <r>
    <n v="28"/>
    <x v="1"/>
    <n v="2"/>
    <n v="14"/>
    <n v="3"/>
    <n v="11.887435241701001"/>
    <x v="32"/>
    <n v="75"/>
    <n v="31"/>
    <n v="2"/>
    <n v="0"/>
    <s v="C765"/>
    <x v="1"/>
    <x v="0"/>
    <x v="1"/>
    <x v="1"/>
    <x v="0"/>
    <s v="Needs Improvement"/>
    <x v="1"/>
    <n v="64"/>
    <x v="0"/>
    <x v="1"/>
    <x v="1"/>
    <s v="Work on communication and personality development"/>
  </r>
  <r>
    <n v="49"/>
    <x v="1"/>
    <n v="2"/>
    <n v="14"/>
    <n v="1"/>
    <n v="4.9150835239778701"/>
    <x v="0"/>
    <n v="14"/>
    <n v="20"/>
    <n v="2"/>
    <n v="0"/>
    <s v="C766"/>
    <x v="1"/>
    <x v="0"/>
    <x v="1"/>
    <x v="0"/>
    <x v="2"/>
    <s v="Needs Improvement"/>
    <x v="1"/>
    <n v="39"/>
    <x v="1"/>
    <x v="2"/>
    <x v="2"/>
    <s v="Strengthen technical skills and practical knowledge"/>
  </r>
  <r>
    <n v="36"/>
    <x v="1"/>
    <n v="2"/>
    <n v="15"/>
    <n v="1"/>
    <n v="29.671591267783"/>
    <x v="86"/>
    <n v="20"/>
    <n v="9"/>
    <n v="1"/>
    <n v="0"/>
    <s v="C767"/>
    <x v="1"/>
    <x v="0"/>
    <x v="1"/>
    <x v="1"/>
    <x v="2"/>
    <s v="Needs Improvement"/>
    <x v="1"/>
    <n v="40"/>
    <x v="1"/>
    <x v="2"/>
    <x v="1"/>
    <s v="Work on communication and personality development"/>
  </r>
  <r>
    <n v="36"/>
    <x v="1"/>
    <n v="2"/>
    <n v="12"/>
    <n v="2"/>
    <n v="5.9172460795106501"/>
    <x v="64"/>
    <n v="51"/>
    <n v="36"/>
    <n v="2"/>
    <n v="0"/>
    <s v="C768"/>
    <x v="1"/>
    <x v="0"/>
    <x v="1"/>
    <x v="0"/>
    <x v="1"/>
    <s v="Needs Improvement"/>
    <x v="1"/>
    <n v="47"/>
    <x v="1"/>
    <x v="1"/>
    <x v="0"/>
    <s v="Improve interview preparation and communication"/>
  </r>
  <r>
    <n v="49"/>
    <x v="0"/>
    <n v="3"/>
    <n v="12"/>
    <n v="4"/>
    <n v="23.4637273478324"/>
    <x v="47"/>
    <n v="34"/>
    <n v="48"/>
    <n v="1"/>
    <n v="1"/>
    <s v="C769"/>
    <x v="0"/>
    <x v="3"/>
    <x v="1"/>
    <x v="0"/>
    <x v="2"/>
    <s v="Needs Improvement"/>
    <x v="0"/>
    <n v="44"/>
    <x v="1"/>
    <x v="0"/>
    <x v="0"/>
    <s v="Improve interview preparation and communication"/>
  </r>
  <r>
    <n v="39"/>
    <x v="0"/>
    <n v="1"/>
    <n v="0"/>
    <n v="1"/>
    <n v="48.024859925650503"/>
    <x v="96"/>
    <n v="96"/>
    <n v="85"/>
    <n v="1"/>
    <n v="1"/>
    <s v="C770"/>
    <x v="0"/>
    <x v="2"/>
    <x v="0"/>
    <x v="1"/>
    <x v="0"/>
    <s v="Strong"/>
    <x v="0"/>
    <n v="66"/>
    <x v="0"/>
    <x v="1"/>
    <x v="0"/>
    <s v="Improve interview preparation and communication"/>
  </r>
  <r>
    <n v="35"/>
    <x v="0"/>
    <n v="3"/>
    <n v="2"/>
    <n v="1"/>
    <n v="48.641719458529202"/>
    <x v="83"/>
    <n v="50"/>
    <n v="12"/>
    <n v="2"/>
    <n v="0"/>
    <s v="C771"/>
    <x v="0"/>
    <x v="3"/>
    <x v="0"/>
    <x v="2"/>
    <x v="1"/>
    <s v="Needs Improvement"/>
    <x v="1"/>
    <n v="46"/>
    <x v="1"/>
    <x v="2"/>
    <x v="1"/>
    <s v="Work on communication and personality development"/>
  </r>
  <r>
    <n v="44"/>
    <x v="1"/>
    <n v="3"/>
    <n v="3"/>
    <n v="4"/>
    <n v="12.9666143273679"/>
    <x v="34"/>
    <n v="82"/>
    <n v="54"/>
    <n v="2"/>
    <n v="0"/>
    <s v="C772"/>
    <x v="1"/>
    <x v="3"/>
    <x v="2"/>
    <x v="0"/>
    <x v="0"/>
    <s v="Good"/>
    <x v="1"/>
    <n v="46"/>
    <x v="1"/>
    <x v="1"/>
    <x v="0"/>
    <s v="Improve interview preparation and communication"/>
  </r>
  <r>
    <n v="41"/>
    <x v="1"/>
    <n v="2"/>
    <n v="10"/>
    <n v="2"/>
    <n v="32.205671002282699"/>
    <x v="55"/>
    <n v="54"/>
    <n v="16"/>
    <n v="2"/>
    <n v="0"/>
    <s v="C773"/>
    <x v="1"/>
    <x v="0"/>
    <x v="1"/>
    <x v="2"/>
    <x v="1"/>
    <s v="Needs Improvement"/>
    <x v="1"/>
    <n v="56"/>
    <x v="0"/>
    <x v="2"/>
    <x v="1"/>
    <s v="Work on communication and personality development"/>
  </r>
  <r>
    <n v="32"/>
    <x v="0"/>
    <n v="2"/>
    <n v="10"/>
    <n v="1"/>
    <n v="24.703813205392802"/>
    <x v="20"/>
    <n v="86"/>
    <n v="8"/>
    <n v="2"/>
    <n v="0"/>
    <s v="C774"/>
    <x v="0"/>
    <x v="0"/>
    <x v="1"/>
    <x v="2"/>
    <x v="0"/>
    <s v="Needs Improvement"/>
    <x v="1"/>
    <n v="67"/>
    <x v="0"/>
    <x v="2"/>
    <x v="1"/>
    <s v="Work on communication and personality development"/>
  </r>
  <r>
    <n v="46"/>
    <x v="1"/>
    <n v="2"/>
    <n v="4"/>
    <n v="4"/>
    <n v="44.784256379305297"/>
    <x v="23"/>
    <n v="76"/>
    <n v="87"/>
    <n v="3"/>
    <n v="0"/>
    <s v="C775"/>
    <x v="1"/>
    <x v="0"/>
    <x v="2"/>
    <x v="0"/>
    <x v="0"/>
    <s v="Strong"/>
    <x v="1"/>
    <n v="53"/>
    <x v="0"/>
    <x v="0"/>
    <x v="0"/>
    <s v="Improve interview preparation and communication"/>
  </r>
  <r>
    <n v="38"/>
    <x v="1"/>
    <n v="2"/>
    <n v="2"/>
    <n v="1"/>
    <n v="14.571543213802601"/>
    <x v="56"/>
    <n v="43"/>
    <n v="43"/>
    <n v="3"/>
    <n v="0"/>
    <s v="C776"/>
    <x v="1"/>
    <x v="0"/>
    <x v="0"/>
    <x v="2"/>
    <x v="2"/>
    <s v="Needs Improvement"/>
    <x v="1"/>
    <n v="49"/>
    <x v="1"/>
    <x v="2"/>
    <x v="2"/>
    <s v="Strengthen technical skills and practical knowledge"/>
  </r>
  <r>
    <n v="36"/>
    <x v="0"/>
    <n v="2"/>
    <n v="5"/>
    <n v="3"/>
    <n v="1.18512034162084"/>
    <x v="10"/>
    <n v="64"/>
    <n v="77"/>
    <n v="2"/>
    <n v="0"/>
    <s v="C777"/>
    <x v="0"/>
    <x v="0"/>
    <x v="2"/>
    <x v="2"/>
    <x v="1"/>
    <s v="Strong"/>
    <x v="1"/>
    <n v="70"/>
    <x v="0"/>
    <x v="2"/>
    <x v="2"/>
    <s v="Strengthen technical skills and practical knowledge"/>
  </r>
  <r>
    <n v="23"/>
    <x v="0"/>
    <n v="1"/>
    <n v="10"/>
    <n v="5"/>
    <n v="9.1280602965707498"/>
    <x v="12"/>
    <n v="92"/>
    <n v="45"/>
    <n v="1"/>
    <n v="1"/>
    <s v="C778"/>
    <x v="0"/>
    <x v="2"/>
    <x v="1"/>
    <x v="2"/>
    <x v="0"/>
    <s v="Needs Improvement"/>
    <x v="0"/>
    <n v="78"/>
    <x v="2"/>
    <x v="2"/>
    <x v="1"/>
    <s v="Work on communication and personality development"/>
  </r>
  <r>
    <n v="31"/>
    <x v="0"/>
    <n v="2"/>
    <n v="13"/>
    <n v="3"/>
    <n v="18.476140058469898"/>
    <x v="99"/>
    <n v="87"/>
    <n v="7"/>
    <n v="2"/>
    <n v="0"/>
    <s v="C779"/>
    <x v="0"/>
    <x v="0"/>
    <x v="1"/>
    <x v="0"/>
    <x v="0"/>
    <s v="Needs Improvement"/>
    <x v="1"/>
    <n v="56"/>
    <x v="0"/>
    <x v="1"/>
    <x v="1"/>
    <s v="Work on communication and personality development"/>
  </r>
  <r>
    <n v="48"/>
    <x v="0"/>
    <n v="3"/>
    <n v="14"/>
    <n v="1"/>
    <n v="16.786056488524402"/>
    <x v="32"/>
    <n v="79"/>
    <n v="36"/>
    <n v="1"/>
    <n v="1"/>
    <s v="C780"/>
    <x v="0"/>
    <x v="3"/>
    <x v="1"/>
    <x v="1"/>
    <x v="0"/>
    <s v="Needs Improvement"/>
    <x v="0"/>
    <n v="67"/>
    <x v="0"/>
    <x v="1"/>
    <x v="1"/>
    <s v="Work on communication and personality development"/>
  </r>
  <r>
    <n v="28"/>
    <x v="1"/>
    <n v="2"/>
    <n v="11"/>
    <n v="2"/>
    <n v="40.568145956144299"/>
    <x v="69"/>
    <n v="24"/>
    <n v="18"/>
    <n v="2"/>
    <n v="0"/>
    <s v="C781"/>
    <x v="1"/>
    <x v="0"/>
    <x v="1"/>
    <x v="2"/>
    <x v="2"/>
    <s v="Needs Improvement"/>
    <x v="1"/>
    <n v="48"/>
    <x v="1"/>
    <x v="2"/>
    <x v="1"/>
    <s v="Work on communication and personality development"/>
  </r>
  <r>
    <n v="38"/>
    <x v="1"/>
    <n v="3"/>
    <n v="15"/>
    <n v="5"/>
    <n v="35.028033306941801"/>
    <x v="11"/>
    <n v="86"/>
    <n v="62"/>
    <n v="2"/>
    <n v="1"/>
    <s v="C782"/>
    <x v="1"/>
    <x v="3"/>
    <x v="1"/>
    <x v="1"/>
    <x v="0"/>
    <s v="Good"/>
    <x v="0"/>
    <n v="78"/>
    <x v="2"/>
    <x v="1"/>
    <x v="1"/>
    <s v="Work on communication and personality development"/>
  </r>
  <r>
    <n v="31"/>
    <x v="0"/>
    <n v="2"/>
    <n v="4"/>
    <n v="3"/>
    <n v="15.977815980744801"/>
    <x v="34"/>
    <n v="91"/>
    <n v="91"/>
    <n v="2"/>
    <n v="0"/>
    <s v="C783"/>
    <x v="0"/>
    <x v="0"/>
    <x v="2"/>
    <x v="0"/>
    <x v="0"/>
    <s v="Strong"/>
    <x v="1"/>
    <n v="56"/>
    <x v="0"/>
    <x v="1"/>
    <x v="0"/>
    <s v="Improve interview preparation and communication"/>
  </r>
  <r>
    <n v="28"/>
    <x v="1"/>
    <n v="3"/>
    <n v="2"/>
    <n v="4"/>
    <n v="23.8871908583106"/>
    <x v="67"/>
    <n v="46"/>
    <n v="45"/>
    <n v="2"/>
    <n v="0"/>
    <s v="C784"/>
    <x v="1"/>
    <x v="3"/>
    <x v="0"/>
    <x v="0"/>
    <x v="2"/>
    <s v="Needs Improvement"/>
    <x v="1"/>
    <n v="42"/>
    <x v="1"/>
    <x v="1"/>
    <x v="0"/>
    <s v="Improve interview preparation and communication"/>
  </r>
  <r>
    <n v="26"/>
    <x v="0"/>
    <n v="2"/>
    <n v="5"/>
    <n v="2"/>
    <n v="5.7779551979167598"/>
    <x v="81"/>
    <n v="79"/>
    <n v="93"/>
    <n v="1"/>
    <n v="1"/>
    <s v="C785"/>
    <x v="0"/>
    <x v="0"/>
    <x v="2"/>
    <x v="1"/>
    <x v="0"/>
    <s v="Strong"/>
    <x v="0"/>
    <n v="69"/>
    <x v="0"/>
    <x v="0"/>
    <x v="0"/>
    <s v="Improve interview preparation and communication"/>
  </r>
  <r>
    <n v="47"/>
    <x v="0"/>
    <n v="1"/>
    <n v="5"/>
    <n v="3"/>
    <n v="45.907322241004998"/>
    <x v="67"/>
    <n v="55"/>
    <n v="70"/>
    <n v="2"/>
    <n v="0"/>
    <s v="C786"/>
    <x v="0"/>
    <x v="2"/>
    <x v="2"/>
    <x v="0"/>
    <x v="1"/>
    <s v="Good"/>
    <x v="1"/>
    <n v="52"/>
    <x v="0"/>
    <x v="0"/>
    <x v="0"/>
    <s v="Improve interview preparation and communication"/>
  </r>
  <r>
    <n v="33"/>
    <x v="1"/>
    <n v="2"/>
    <n v="14"/>
    <n v="4"/>
    <n v="47.771241222426703"/>
    <x v="66"/>
    <n v="37"/>
    <n v="25"/>
    <n v="2"/>
    <n v="0"/>
    <s v="C787"/>
    <x v="1"/>
    <x v="0"/>
    <x v="1"/>
    <x v="1"/>
    <x v="2"/>
    <s v="Needs Improvement"/>
    <x v="1"/>
    <n v="49"/>
    <x v="1"/>
    <x v="2"/>
    <x v="1"/>
    <s v="Work on communication and personality development"/>
  </r>
  <r>
    <n v="50"/>
    <x v="0"/>
    <n v="1"/>
    <n v="13"/>
    <n v="1"/>
    <n v="49.990176769046897"/>
    <x v="39"/>
    <n v="10"/>
    <n v="45"/>
    <n v="2"/>
    <n v="0"/>
    <s v="C788"/>
    <x v="0"/>
    <x v="2"/>
    <x v="1"/>
    <x v="0"/>
    <x v="2"/>
    <s v="Needs Improvement"/>
    <x v="1"/>
    <n v="40"/>
    <x v="1"/>
    <x v="0"/>
    <x v="2"/>
    <s v="Strengthen technical skills and practical knowledge"/>
  </r>
  <r>
    <n v="39"/>
    <x v="1"/>
    <n v="2"/>
    <n v="7"/>
    <n v="4"/>
    <n v="44.427641539291798"/>
    <x v="30"/>
    <n v="66"/>
    <n v="45"/>
    <n v="2"/>
    <n v="0"/>
    <s v="C789"/>
    <x v="1"/>
    <x v="0"/>
    <x v="1"/>
    <x v="1"/>
    <x v="1"/>
    <s v="Needs Improvement"/>
    <x v="1"/>
    <n v="61"/>
    <x v="0"/>
    <x v="2"/>
    <x v="1"/>
    <s v="Work on communication and personality development"/>
  </r>
  <r>
    <n v="38"/>
    <x v="1"/>
    <n v="4"/>
    <n v="1"/>
    <n v="3"/>
    <n v="9.6980443848112703"/>
    <x v="35"/>
    <n v="14"/>
    <n v="74"/>
    <n v="2"/>
    <n v="0"/>
    <s v="C790"/>
    <x v="1"/>
    <x v="1"/>
    <x v="0"/>
    <x v="0"/>
    <x v="2"/>
    <s v="Good"/>
    <x v="1"/>
    <n v="33"/>
    <x v="1"/>
    <x v="0"/>
    <x v="2"/>
    <s v="Strengthen technical skills and practical knowledge"/>
  </r>
  <r>
    <n v="45"/>
    <x v="1"/>
    <n v="1"/>
    <n v="0"/>
    <n v="3"/>
    <n v="3.30982416008144"/>
    <x v="94"/>
    <n v="0"/>
    <n v="13"/>
    <n v="2"/>
    <n v="0"/>
    <s v="C791"/>
    <x v="1"/>
    <x v="2"/>
    <x v="0"/>
    <x v="2"/>
    <x v="2"/>
    <s v="Needs Improvement"/>
    <x v="1"/>
    <n v="33"/>
    <x v="1"/>
    <x v="2"/>
    <x v="2"/>
    <s v="Strengthen technical skills and practical knowledge"/>
  </r>
  <r>
    <n v="34"/>
    <x v="1"/>
    <n v="2"/>
    <n v="15"/>
    <n v="1"/>
    <n v="29.979836370633699"/>
    <x v="32"/>
    <n v="6"/>
    <n v="84"/>
    <n v="2"/>
    <n v="0"/>
    <s v="C792"/>
    <x v="1"/>
    <x v="0"/>
    <x v="1"/>
    <x v="1"/>
    <x v="2"/>
    <s v="Strong"/>
    <x v="1"/>
    <n v="54"/>
    <x v="0"/>
    <x v="0"/>
    <x v="2"/>
    <s v="Strengthen technical skills and practical knowledge"/>
  </r>
  <r>
    <n v="35"/>
    <x v="0"/>
    <n v="3"/>
    <n v="3"/>
    <n v="4"/>
    <n v="46.630251344155504"/>
    <x v="63"/>
    <n v="0"/>
    <n v="62"/>
    <n v="1"/>
    <n v="1"/>
    <s v="C793"/>
    <x v="0"/>
    <x v="3"/>
    <x v="2"/>
    <x v="2"/>
    <x v="2"/>
    <s v="Good"/>
    <x v="0"/>
    <n v="46"/>
    <x v="1"/>
    <x v="2"/>
    <x v="2"/>
    <s v="Strengthen technical skills and practical knowledge"/>
  </r>
  <r>
    <n v="40"/>
    <x v="1"/>
    <n v="3"/>
    <n v="15"/>
    <n v="4"/>
    <n v="9.8675680829871393"/>
    <x v="53"/>
    <n v="48"/>
    <n v="71"/>
    <n v="1"/>
    <n v="1"/>
    <s v="C794"/>
    <x v="1"/>
    <x v="3"/>
    <x v="1"/>
    <x v="1"/>
    <x v="2"/>
    <s v="Good"/>
    <x v="0"/>
    <n v="63"/>
    <x v="0"/>
    <x v="0"/>
    <x v="2"/>
    <s v="Strengthen technical skills and practical knowledge"/>
  </r>
  <r>
    <n v="24"/>
    <x v="0"/>
    <n v="2"/>
    <n v="6"/>
    <n v="1"/>
    <n v="1.3521457312070899"/>
    <x v="95"/>
    <n v="95"/>
    <n v="2"/>
    <n v="2"/>
    <n v="0"/>
    <s v="C795"/>
    <x v="0"/>
    <x v="0"/>
    <x v="2"/>
    <x v="1"/>
    <x v="0"/>
    <s v="Needs Improvement"/>
    <x v="1"/>
    <n v="53"/>
    <x v="0"/>
    <x v="1"/>
    <x v="1"/>
    <s v="Work on communication and personality development"/>
  </r>
  <r>
    <n v="22"/>
    <x v="0"/>
    <n v="2"/>
    <n v="14"/>
    <n v="4"/>
    <n v="41.274802301612198"/>
    <x v="27"/>
    <n v="72"/>
    <n v="27"/>
    <n v="1"/>
    <n v="1"/>
    <s v="C796"/>
    <x v="0"/>
    <x v="0"/>
    <x v="1"/>
    <x v="2"/>
    <x v="1"/>
    <s v="Needs Improvement"/>
    <x v="0"/>
    <n v="70"/>
    <x v="0"/>
    <x v="2"/>
    <x v="1"/>
    <s v="Work on communication and personality development"/>
  </r>
  <r>
    <n v="31"/>
    <x v="0"/>
    <n v="2"/>
    <n v="15"/>
    <n v="1"/>
    <n v="4.8397842143367003"/>
    <x v="21"/>
    <n v="28"/>
    <n v="28"/>
    <n v="2"/>
    <n v="0"/>
    <s v="C797"/>
    <x v="0"/>
    <x v="0"/>
    <x v="1"/>
    <x v="1"/>
    <x v="2"/>
    <s v="Needs Improvement"/>
    <x v="1"/>
    <n v="48"/>
    <x v="1"/>
    <x v="2"/>
    <x v="2"/>
    <s v="Strengthen technical skills and practical knowledge"/>
  </r>
  <r>
    <n v="44"/>
    <x v="0"/>
    <n v="2"/>
    <n v="10"/>
    <n v="2"/>
    <n v="21.6853015955015"/>
    <x v="24"/>
    <n v="25"/>
    <n v="86"/>
    <n v="2"/>
    <n v="0"/>
    <s v="C798"/>
    <x v="0"/>
    <x v="0"/>
    <x v="1"/>
    <x v="2"/>
    <x v="2"/>
    <s v="Strong"/>
    <x v="1"/>
    <n v="62"/>
    <x v="0"/>
    <x v="0"/>
    <x v="2"/>
    <s v="Strengthen technical skills and practical knowledge"/>
  </r>
  <r>
    <n v="39"/>
    <x v="1"/>
    <n v="3"/>
    <n v="9"/>
    <n v="3"/>
    <n v="34.944366859439199"/>
    <x v="36"/>
    <n v="86"/>
    <n v="17"/>
    <n v="3"/>
    <n v="0"/>
    <s v="C799"/>
    <x v="1"/>
    <x v="3"/>
    <x v="1"/>
    <x v="1"/>
    <x v="0"/>
    <s v="Needs Improvement"/>
    <x v="1"/>
    <n v="61"/>
    <x v="0"/>
    <x v="1"/>
    <x v="1"/>
    <s v="Work on communication and personality development"/>
  </r>
  <r>
    <n v="46"/>
    <x v="1"/>
    <n v="4"/>
    <n v="2"/>
    <n v="2"/>
    <n v="12.839879272809"/>
    <x v="71"/>
    <n v="44"/>
    <n v="34"/>
    <n v="3"/>
    <n v="0"/>
    <s v="C800"/>
    <x v="1"/>
    <x v="1"/>
    <x v="0"/>
    <x v="0"/>
    <x v="2"/>
    <s v="Needs Improvement"/>
    <x v="1"/>
    <n v="33"/>
    <x v="1"/>
    <x v="1"/>
    <x v="0"/>
    <s v="Improve interview preparation and communication"/>
  </r>
  <r>
    <n v="40"/>
    <x v="0"/>
    <n v="3"/>
    <n v="2"/>
    <n v="5"/>
    <n v="5.1981281723363297"/>
    <x v="92"/>
    <n v="92"/>
    <n v="76"/>
    <n v="1"/>
    <n v="1"/>
    <s v="C801"/>
    <x v="0"/>
    <x v="3"/>
    <x v="0"/>
    <x v="0"/>
    <x v="0"/>
    <s v="Strong"/>
    <x v="0"/>
    <n v="54"/>
    <x v="0"/>
    <x v="1"/>
    <x v="0"/>
    <s v="Improve interview preparation and communication"/>
  </r>
  <r>
    <n v="23"/>
    <x v="0"/>
    <n v="3"/>
    <n v="15"/>
    <n v="5"/>
    <n v="39.501061422791402"/>
    <x v="64"/>
    <n v="96"/>
    <n v="75"/>
    <n v="3"/>
    <n v="1"/>
    <s v="C802"/>
    <x v="0"/>
    <x v="3"/>
    <x v="1"/>
    <x v="0"/>
    <x v="0"/>
    <s v="Strong"/>
    <x v="0"/>
    <n v="72"/>
    <x v="0"/>
    <x v="1"/>
    <x v="0"/>
    <s v="Improve interview preparation and communication"/>
  </r>
  <r>
    <n v="40"/>
    <x v="1"/>
    <n v="1"/>
    <n v="4"/>
    <n v="5"/>
    <n v="32.508754244351998"/>
    <x v="85"/>
    <n v="70"/>
    <n v="46"/>
    <n v="2"/>
    <n v="0"/>
    <s v="C803"/>
    <x v="1"/>
    <x v="2"/>
    <x v="2"/>
    <x v="1"/>
    <x v="1"/>
    <s v="Needs Improvement"/>
    <x v="1"/>
    <n v="58"/>
    <x v="0"/>
    <x v="2"/>
    <x v="1"/>
    <s v="Work on communication and personality development"/>
  </r>
  <r>
    <n v="42"/>
    <x v="0"/>
    <n v="3"/>
    <n v="4"/>
    <n v="1"/>
    <n v="50.424524224340203"/>
    <x v="6"/>
    <n v="11"/>
    <n v="4"/>
    <n v="2"/>
    <n v="0"/>
    <s v="C804"/>
    <x v="0"/>
    <x v="3"/>
    <x v="2"/>
    <x v="0"/>
    <x v="2"/>
    <s v="Needs Improvement"/>
    <x v="1"/>
    <n v="19"/>
    <x v="1"/>
    <x v="2"/>
    <x v="1"/>
    <s v="Work on communication and personality development"/>
  </r>
  <r>
    <n v="35"/>
    <x v="1"/>
    <n v="3"/>
    <n v="12"/>
    <n v="4"/>
    <n v="18.215401665997899"/>
    <x v="67"/>
    <n v="94"/>
    <n v="74"/>
    <n v="1"/>
    <n v="1"/>
    <s v="C805"/>
    <x v="1"/>
    <x v="3"/>
    <x v="1"/>
    <x v="0"/>
    <x v="0"/>
    <s v="Good"/>
    <x v="0"/>
    <n v="72"/>
    <x v="0"/>
    <x v="1"/>
    <x v="0"/>
    <s v="Improve interview preparation and communication"/>
  </r>
  <r>
    <n v="44"/>
    <x v="0"/>
    <n v="1"/>
    <n v="9"/>
    <n v="2"/>
    <n v="4.0881193145099797"/>
    <x v="14"/>
    <n v="31"/>
    <n v="58"/>
    <n v="3"/>
    <n v="0"/>
    <s v="C806"/>
    <x v="0"/>
    <x v="2"/>
    <x v="1"/>
    <x v="1"/>
    <x v="2"/>
    <s v="Good"/>
    <x v="1"/>
    <n v="54"/>
    <x v="0"/>
    <x v="2"/>
    <x v="2"/>
    <s v="Strengthen technical skills and practical knowledge"/>
  </r>
  <r>
    <n v="26"/>
    <x v="1"/>
    <n v="3"/>
    <n v="2"/>
    <n v="2"/>
    <n v="37.717501766764698"/>
    <x v="82"/>
    <n v="19"/>
    <n v="74"/>
    <n v="1"/>
    <n v="1"/>
    <s v="C807"/>
    <x v="1"/>
    <x v="3"/>
    <x v="0"/>
    <x v="2"/>
    <x v="2"/>
    <s v="Good"/>
    <x v="0"/>
    <n v="55"/>
    <x v="0"/>
    <x v="2"/>
    <x v="2"/>
    <s v="Strengthen technical skills and practical knowledge"/>
  </r>
  <r>
    <n v="32"/>
    <x v="0"/>
    <n v="2"/>
    <n v="8"/>
    <n v="2"/>
    <n v="27.086670942662199"/>
    <x v="21"/>
    <n v="50"/>
    <n v="58"/>
    <n v="3"/>
    <n v="0"/>
    <s v="C808"/>
    <x v="0"/>
    <x v="0"/>
    <x v="1"/>
    <x v="1"/>
    <x v="1"/>
    <s v="Good"/>
    <x v="1"/>
    <n v="54"/>
    <x v="0"/>
    <x v="0"/>
    <x v="2"/>
    <s v="Strengthen technical skills and practical knowledge"/>
  </r>
  <r>
    <n v="40"/>
    <x v="0"/>
    <n v="2"/>
    <n v="3"/>
    <n v="2"/>
    <n v="11.6601965694567"/>
    <x v="80"/>
    <n v="80"/>
    <n v="46"/>
    <n v="1"/>
    <n v="1"/>
    <s v="C809"/>
    <x v="0"/>
    <x v="0"/>
    <x v="2"/>
    <x v="2"/>
    <x v="0"/>
    <s v="Needs Improvement"/>
    <x v="0"/>
    <n v="65"/>
    <x v="0"/>
    <x v="2"/>
    <x v="1"/>
    <s v="Work on communication and personality development"/>
  </r>
  <r>
    <n v="29"/>
    <x v="1"/>
    <n v="3"/>
    <n v="12"/>
    <n v="5"/>
    <n v="40.0864494502379"/>
    <x v="61"/>
    <n v="35"/>
    <n v="94"/>
    <n v="2"/>
    <n v="0"/>
    <s v="C810"/>
    <x v="1"/>
    <x v="3"/>
    <x v="1"/>
    <x v="0"/>
    <x v="2"/>
    <s v="Strong"/>
    <x v="1"/>
    <n v="46"/>
    <x v="1"/>
    <x v="0"/>
    <x v="0"/>
    <s v="Improve interview preparation and communication"/>
  </r>
  <r>
    <n v="45"/>
    <x v="0"/>
    <n v="2"/>
    <n v="12"/>
    <n v="2"/>
    <n v="11.1877742924971"/>
    <x v="5"/>
    <n v="66"/>
    <n v="94"/>
    <n v="2"/>
    <n v="0"/>
    <s v="C811"/>
    <x v="0"/>
    <x v="0"/>
    <x v="1"/>
    <x v="1"/>
    <x v="1"/>
    <s v="Strong"/>
    <x v="1"/>
    <n v="69"/>
    <x v="0"/>
    <x v="0"/>
    <x v="0"/>
    <s v="Improve interview preparation and communication"/>
  </r>
  <r>
    <n v="26"/>
    <x v="0"/>
    <n v="1"/>
    <n v="14"/>
    <n v="4"/>
    <n v="14.033082741646799"/>
    <x v="44"/>
    <n v="0"/>
    <n v="12"/>
    <n v="1"/>
    <n v="0"/>
    <s v="C812"/>
    <x v="0"/>
    <x v="2"/>
    <x v="1"/>
    <x v="1"/>
    <x v="2"/>
    <s v="Needs Improvement"/>
    <x v="1"/>
    <n v="37"/>
    <x v="1"/>
    <x v="2"/>
    <x v="2"/>
    <s v="Strengthen technical skills and practical knowledge"/>
  </r>
  <r>
    <n v="33"/>
    <x v="1"/>
    <n v="2"/>
    <n v="2"/>
    <n v="5"/>
    <n v="5.6264277183359503"/>
    <x v="63"/>
    <n v="26"/>
    <n v="77"/>
    <n v="1"/>
    <n v="1"/>
    <s v="C813"/>
    <x v="1"/>
    <x v="0"/>
    <x v="0"/>
    <x v="2"/>
    <x v="2"/>
    <s v="Strong"/>
    <x v="0"/>
    <n v="54"/>
    <x v="0"/>
    <x v="2"/>
    <x v="2"/>
    <s v="Strengthen technical skills and practical knowledge"/>
  </r>
  <r>
    <n v="50"/>
    <x v="0"/>
    <n v="2"/>
    <n v="10"/>
    <n v="2"/>
    <n v="20.9716139515427"/>
    <x v="41"/>
    <n v="39"/>
    <n v="88"/>
    <n v="2"/>
    <n v="0"/>
    <s v="C814"/>
    <x v="0"/>
    <x v="0"/>
    <x v="1"/>
    <x v="0"/>
    <x v="2"/>
    <s v="Strong"/>
    <x v="1"/>
    <n v="44"/>
    <x v="1"/>
    <x v="0"/>
    <x v="0"/>
    <s v="Improve interview preparation and communication"/>
  </r>
  <r>
    <n v="45"/>
    <x v="1"/>
    <n v="4"/>
    <n v="1"/>
    <n v="1"/>
    <n v="21.946461196870899"/>
    <x v="37"/>
    <n v="96"/>
    <n v="32"/>
    <n v="1"/>
    <n v="1"/>
    <s v="C815"/>
    <x v="1"/>
    <x v="1"/>
    <x v="0"/>
    <x v="0"/>
    <x v="0"/>
    <s v="Needs Improvement"/>
    <x v="0"/>
    <n v="46"/>
    <x v="1"/>
    <x v="1"/>
    <x v="0"/>
    <s v="Improve interview preparation and communication"/>
  </r>
  <r>
    <n v="24"/>
    <x v="1"/>
    <n v="2"/>
    <n v="9"/>
    <n v="3"/>
    <n v="26.728089517414901"/>
    <x v="75"/>
    <n v="83"/>
    <n v="96"/>
    <n v="2"/>
    <n v="0"/>
    <s v="C816"/>
    <x v="1"/>
    <x v="0"/>
    <x v="1"/>
    <x v="0"/>
    <x v="0"/>
    <s v="Strong"/>
    <x v="1"/>
    <n v="70"/>
    <x v="0"/>
    <x v="0"/>
    <x v="0"/>
    <s v="Improve interview preparation and communication"/>
  </r>
  <r>
    <n v="22"/>
    <x v="0"/>
    <n v="2"/>
    <n v="12"/>
    <n v="3"/>
    <n v="36.448213356188802"/>
    <x v="44"/>
    <n v="13"/>
    <n v="61"/>
    <n v="2"/>
    <n v="0"/>
    <s v="C817"/>
    <x v="0"/>
    <x v="0"/>
    <x v="1"/>
    <x v="1"/>
    <x v="2"/>
    <s v="Good"/>
    <x v="1"/>
    <n v="49"/>
    <x v="1"/>
    <x v="0"/>
    <x v="2"/>
    <s v="Strengthen technical skills and practical knowledge"/>
  </r>
  <r>
    <n v="42"/>
    <x v="0"/>
    <n v="3"/>
    <n v="10"/>
    <n v="3"/>
    <n v="46.3050464340212"/>
    <x v="34"/>
    <n v="99"/>
    <n v="78"/>
    <n v="3"/>
    <n v="1"/>
    <s v="C818"/>
    <x v="0"/>
    <x v="3"/>
    <x v="1"/>
    <x v="0"/>
    <x v="0"/>
    <s v="Strong"/>
    <x v="0"/>
    <n v="63"/>
    <x v="0"/>
    <x v="1"/>
    <x v="0"/>
    <s v="Improve interview preparation and communication"/>
  </r>
  <r>
    <n v="48"/>
    <x v="0"/>
    <n v="2"/>
    <n v="8"/>
    <n v="5"/>
    <n v="7.8867049443904298"/>
    <x v="48"/>
    <n v="68"/>
    <n v="15"/>
    <n v="2"/>
    <n v="0"/>
    <s v="C819"/>
    <x v="0"/>
    <x v="0"/>
    <x v="1"/>
    <x v="1"/>
    <x v="1"/>
    <s v="Needs Improvement"/>
    <x v="1"/>
    <n v="53"/>
    <x v="0"/>
    <x v="1"/>
    <x v="1"/>
    <s v="Work on communication and personality development"/>
  </r>
  <r>
    <n v="30"/>
    <x v="0"/>
    <n v="2"/>
    <n v="3"/>
    <n v="2"/>
    <n v="3.7174049174328498"/>
    <x v="71"/>
    <n v="86"/>
    <n v="43"/>
    <n v="1"/>
    <n v="0"/>
    <s v="C820"/>
    <x v="0"/>
    <x v="0"/>
    <x v="2"/>
    <x v="0"/>
    <x v="0"/>
    <s v="Needs Improvement"/>
    <x v="1"/>
    <n v="46"/>
    <x v="1"/>
    <x v="1"/>
    <x v="0"/>
    <s v="Improve interview preparation and communication"/>
  </r>
  <r>
    <n v="30"/>
    <x v="0"/>
    <n v="2"/>
    <n v="15"/>
    <n v="5"/>
    <n v="1.92656167971666"/>
    <x v="68"/>
    <n v="78"/>
    <n v="57"/>
    <n v="2"/>
    <n v="0"/>
    <s v="C821"/>
    <x v="0"/>
    <x v="0"/>
    <x v="1"/>
    <x v="0"/>
    <x v="0"/>
    <s v="Good"/>
    <x v="1"/>
    <n v="53"/>
    <x v="0"/>
    <x v="1"/>
    <x v="0"/>
    <s v="Improve interview preparation and communication"/>
  </r>
  <r>
    <n v="37"/>
    <x v="0"/>
    <n v="3"/>
    <n v="2"/>
    <n v="4"/>
    <n v="8.1810689034408099"/>
    <x v="95"/>
    <n v="5"/>
    <n v="5"/>
    <n v="1"/>
    <n v="0"/>
    <s v="C822"/>
    <x v="0"/>
    <x v="3"/>
    <x v="0"/>
    <x v="1"/>
    <x v="2"/>
    <s v="Needs Improvement"/>
    <x v="1"/>
    <n v="24"/>
    <x v="1"/>
    <x v="2"/>
    <x v="2"/>
    <s v="Strengthen technical skills and practical knowledge"/>
  </r>
  <r>
    <n v="34"/>
    <x v="0"/>
    <n v="2"/>
    <n v="6"/>
    <n v="1"/>
    <n v="33.897474289081202"/>
    <x v="65"/>
    <n v="32"/>
    <n v="88"/>
    <n v="3"/>
    <n v="0"/>
    <s v="C823"/>
    <x v="0"/>
    <x v="0"/>
    <x v="2"/>
    <x v="0"/>
    <x v="2"/>
    <s v="Strong"/>
    <x v="1"/>
    <n v="40"/>
    <x v="1"/>
    <x v="0"/>
    <x v="0"/>
    <s v="Improve interview preparation and communication"/>
  </r>
  <r>
    <n v="31"/>
    <x v="1"/>
    <n v="2"/>
    <n v="7"/>
    <n v="1"/>
    <n v="37.373853899824802"/>
    <x v="1"/>
    <n v="54"/>
    <n v="14"/>
    <n v="3"/>
    <n v="0"/>
    <s v="C824"/>
    <x v="1"/>
    <x v="0"/>
    <x v="1"/>
    <x v="0"/>
    <x v="1"/>
    <s v="Needs Improvement"/>
    <x v="1"/>
    <n v="39"/>
    <x v="1"/>
    <x v="1"/>
    <x v="1"/>
    <s v="Work on communication and personality development"/>
  </r>
  <r>
    <n v="28"/>
    <x v="0"/>
    <n v="1"/>
    <n v="10"/>
    <n v="3"/>
    <n v="40.325285676406097"/>
    <x v="55"/>
    <n v="18"/>
    <n v="3"/>
    <n v="2"/>
    <n v="0"/>
    <s v="C825"/>
    <x v="0"/>
    <x v="2"/>
    <x v="1"/>
    <x v="2"/>
    <x v="2"/>
    <s v="Needs Improvement"/>
    <x v="1"/>
    <n v="43"/>
    <x v="1"/>
    <x v="2"/>
    <x v="1"/>
    <s v="Work on communication and personality development"/>
  </r>
  <r>
    <n v="29"/>
    <x v="1"/>
    <n v="1"/>
    <n v="13"/>
    <n v="3"/>
    <n v="13.1854105952171"/>
    <x v="55"/>
    <n v="76"/>
    <n v="55"/>
    <n v="1"/>
    <n v="1"/>
    <s v="C826"/>
    <x v="1"/>
    <x v="2"/>
    <x v="1"/>
    <x v="2"/>
    <x v="0"/>
    <s v="Good"/>
    <x v="0"/>
    <n v="74"/>
    <x v="0"/>
    <x v="2"/>
    <x v="1"/>
    <s v="Work on communication and personality development"/>
  </r>
  <r>
    <n v="45"/>
    <x v="0"/>
    <n v="1"/>
    <n v="1"/>
    <n v="3"/>
    <n v="16.294740663075899"/>
    <x v="54"/>
    <n v="28"/>
    <n v="63"/>
    <n v="3"/>
    <n v="0"/>
    <s v="C827"/>
    <x v="0"/>
    <x v="2"/>
    <x v="0"/>
    <x v="1"/>
    <x v="2"/>
    <s v="Good"/>
    <x v="1"/>
    <n v="44"/>
    <x v="1"/>
    <x v="2"/>
    <x v="2"/>
    <s v="Strengthen technical skills and practical knowledge"/>
  </r>
  <r>
    <n v="31"/>
    <x v="0"/>
    <n v="1"/>
    <n v="6"/>
    <n v="2"/>
    <n v="25.156732278274902"/>
    <x v="51"/>
    <n v="60"/>
    <n v="67"/>
    <n v="3"/>
    <n v="0"/>
    <s v="C828"/>
    <x v="0"/>
    <x v="2"/>
    <x v="2"/>
    <x v="0"/>
    <x v="1"/>
    <s v="Good"/>
    <x v="1"/>
    <n v="43"/>
    <x v="1"/>
    <x v="0"/>
    <x v="0"/>
    <s v="Improve interview preparation and communication"/>
  </r>
  <r>
    <n v="36"/>
    <x v="1"/>
    <n v="2"/>
    <n v="11"/>
    <n v="4"/>
    <n v="4.1591548430113203"/>
    <x v="0"/>
    <n v="69"/>
    <n v="93"/>
    <n v="3"/>
    <n v="0"/>
    <s v="C829"/>
    <x v="1"/>
    <x v="0"/>
    <x v="1"/>
    <x v="0"/>
    <x v="1"/>
    <s v="Strong"/>
    <x v="1"/>
    <n v="67"/>
    <x v="0"/>
    <x v="0"/>
    <x v="0"/>
    <s v="Improve interview preparation and communication"/>
  </r>
  <r>
    <n v="48"/>
    <x v="0"/>
    <n v="3"/>
    <n v="4"/>
    <n v="4"/>
    <n v="31.5570761605623"/>
    <x v="48"/>
    <n v="78"/>
    <n v="33"/>
    <n v="3"/>
    <n v="0"/>
    <s v="C830"/>
    <x v="0"/>
    <x v="3"/>
    <x v="2"/>
    <x v="1"/>
    <x v="0"/>
    <s v="Needs Improvement"/>
    <x v="1"/>
    <n v="57"/>
    <x v="0"/>
    <x v="1"/>
    <x v="1"/>
    <s v="Work on communication and personality development"/>
  </r>
  <r>
    <n v="25"/>
    <x v="0"/>
    <n v="2"/>
    <n v="14"/>
    <n v="4"/>
    <n v="50.186751683787797"/>
    <x v="57"/>
    <n v="79"/>
    <n v="90"/>
    <n v="2"/>
    <n v="1"/>
    <s v="C831"/>
    <x v="0"/>
    <x v="0"/>
    <x v="1"/>
    <x v="2"/>
    <x v="0"/>
    <s v="Strong"/>
    <x v="0"/>
    <n v="85"/>
    <x v="2"/>
    <x v="2"/>
    <x v="2"/>
    <s v="Strengthen technical skills and practical knowledge"/>
  </r>
  <r>
    <n v="26"/>
    <x v="1"/>
    <n v="3"/>
    <n v="10"/>
    <n v="4"/>
    <n v="19.040315568900098"/>
    <x v="21"/>
    <n v="23"/>
    <n v="94"/>
    <n v="1"/>
    <n v="1"/>
    <s v="C832"/>
    <x v="1"/>
    <x v="3"/>
    <x v="1"/>
    <x v="1"/>
    <x v="2"/>
    <s v="Strong"/>
    <x v="0"/>
    <n v="56"/>
    <x v="0"/>
    <x v="0"/>
    <x v="2"/>
    <s v="Strengthen technical skills and practical knowledge"/>
  </r>
  <r>
    <n v="33"/>
    <x v="0"/>
    <n v="4"/>
    <n v="4"/>
    <n v="3"/>
    <n v="38.642373754569199"/>
    <x v="73"/>
    <n v="22"/>
    <n v="55"/>
    <n v="2"/>
    <n v="0"/>
    <s v="C833"/>
    <x v="0"/>
    <x v="1"/>
    <x v="2"/>
    <x v="0"/>
    <x v="2"/>
    <s v="Good"/>
    <x v="1"/>
    <n v="34"/>
    <x v="1"/>
    <x v="0"/>
    <x v="2"/>
    <s v="Strengthen technical skills and practical knowledge"/>
  </r>
  <r>
    <n v="32"/>
    <x v="0"/>
    <n v="3"/>
    <n v="2"/>
    <n v="1"/>
    <n v="26.0016957784804"/>
    <x v="30"/>
    <n v="9"/>
    <n v="31"/>
    <n v="2"/>
    <n v="0"/>
    <s v="C834"/>
    <x v="0"/>
    <x v="3"/>
    <x v="0"/>
    <x v="1"/>
    <x v="2"/>
    <s v="Needs Improvement"/>
    <x v="1"/>
    <n v="37"/>
    <x v="1"/>
    <x v="2"/>
    <x v="2"/>
    <s v="Strengthen technical skills and practical knowledge"/>
  </r>
  <r>
    <n v="27"/>
    <x v="0"/>
    <n v="2"/>
    <n v="4"/>
    <n v="3"/>
    <n v="7.3905922180191297"/>
    <x v="61"/>
    <n v="53"/>
    <n v="8"/>
    <n v="2"/>
    <n v="0"/>
    <s v="C835"/>
    <x v="0"/>
    <x v="0"/>
    <x v="2"/>
    <x v="0"/>
    <x v="1"/>
    <s v="Needs Improvement"/>
    <x v="1"/>
    <n v="25"/>
    <x v="1"/>
    <x v="1"/>
    <x v="0"/>
    <s v="Improve interview preparation and communication"/>
  </r>
  <r>
    <n v="29"/>
    <x v="1"/>
    <n v="2"/>
    <n v="11"/>
    <n v="4"/>
    <n v="30.1118724401293"/>
    <x v="11"/>
    <n v="40"/>
    <n v="62"/>
    <n v="2"/>
    <n v="0"/>
    <s v="C836"/>
    <x v="1"/>
    <x v="0"/>
    <x v="1"/>
    <x v="1"/>
    <x v="2"/>
    <s v="Good"/>
    <x v="1"/>
    <n v="59"/>
    <x v="0"/>
    <x v="2"/>
    <x v="2"/>
    <s v="Strengthen technical skills and practical knowledge"/>
  </r>
  <r>
    <n v="28"/>
    <x v="0"/>
    <n v="2"/>
    <n v="1"/>
    <n v="3"/>
    <n v="15.9937134222032"/>
    <x v="24"/>
    <n v="48"/>
    <n v="71"/>
    <n v="1"/>
    <n v="1"/>
    <s v="C837"/>
    <x v="0"/>
    <x v="0"/>
    <x v="0"/>
    <x v="2"/>
    <x v="2"/>
    <s v="Good"/>
    <x v="0"/>
    <n v="57"/>
    <x v="0"/>
    <x v="2"/>
    <x v="2"/>
    <s v="Strengthen technical skills and practical knowledge"/>
  </r>
  <r>
    <n v="37"/>
    <x v="0"/>
    <n v="1"/>
    <n v="3"/>
    <n v="4"/>
    <n v="2.7201604226729099"/>
    <x v="21"/>
    <n v="16"/>
    <n v="77"/>
    <n v="2"/>
    <n v="0"/>
    <s v="C838"/>
    <x v="0"/>
    <x v="2"/>
    <x v="2"/>
    <x v="1"/>
    <x v="2"/>
    <s v="Strong"/>
    <x v="1"/>
    <n v="43"/>
    <x v="1"/>
    <x v="0"/>
    <x v="2"/>
    <s v="Strengthen technical skills and practical knowledge"/>
  </r>
  <r>
    <n v="46"/>
    <x v="0"/>
    <n v="2"/>
    <n v="5"/>
    <n v="5"/>
    <n v="32.746486505887098"/>
    <x v="9"/>
    <n v="55"/>
    <n v="32"/>
    <n v="2"/>
    <n v="0"/>
    <s v="C839"/>
    <x v="0"/>
    <x v="0"/>
    <x v="2"/>
    <x v="2"/>
    <x v="1"/>
    <s v="Needs Improvement"/>
    <x v="1"/>
    <n v="58"/>
    <x v="0"/>
    <x v="2"/>
    <x v="1"/>
    <s v="Work on communication and personality development"/>
  </r>
  <r>
    <n v="45"/>
    <x v="0"/>
    <n v="4"/>
    <n v="0"/>
    <n v="1"/>
    <n v="43.946617466236297"/>
    <x v="34"/>
    <n v="44"/>
    <n v="86"/>
    <n v="1"/>
    <n v="1"/>
    <s v="C840"/>
    <x v="0"/>
    <x v="1"/>
    <x v="0"/>
    <x v="0"/>
    <x v="2"/>
    <s v="Strong"/>
    <x v="0"/>
    <n v="40"/>
    <x v="1"/>
    <x v="0"/>
    <x v="0"/>
    <s v="Improve interview preparation and communication"/>
  </r>
  <r>
    <n v="21"/>
    <x v="1"/>
    <n v="3"/>
    <n v="9"/>
    <n v="5"/>
    <n v="18.238488344993701"/>
    <x v="74"/>
    <n v="29"/>
    <n v="20"/>
    <n v="2"/>
    <n v="0"/>
    <s v="C841"/>
    <x v="1"/>
    <x v="3"/>
    <x v="1"/>
    <x v="2"/>
    <x v="2"/>
    <s v="Needs Improvement"/>
    <x v="1"/>
    <n v="55"/>
    <x v="0"/>
    <x v="2"/>
    <x v="1"/>
    <s v="Work on communication and personality development"/>
  </r>
  <r>
    <n v="24"/>
    <x v="1"/>
    <n v="2"/>
    <n v="3"/>
    <n v="2"/>
    <n v="20.514777360638501"/>
    <x v="25"/>
    <n v="43"/>
    <n v="54"/>
    <n v="3"/>
    <n v="0"/>
    <s v="C842"/>
    <x v="1"/>
    <x v="0"/>
    <x v="2"/>
    <x v="2"/>
    <x v="2"/>
    <s v="Good"/>
    <x v="1"/>
    <n v="59"/>
    <x v="0"/>
    <x v="2"/>
    <x v="2"/>
    <s v="Strengthen technical skills and practical knowledge"/>
  </r>
  <r>
    <n v="48"/>
    <x v="0"/>
    <n v="2"/>
    <n v="5"/>
    <n v="3"/>
    <n v="45.551084148360502"/>
    <x v="83"/>
    <n v="73"/>
    <n v="75"/>
    <n v="3"/>
    <n v="0"/>
    <s v="C843"/>
    <x v="0"/>
    <x v="0"/>
    <x v="2"/>
    <x v="2"/>
    <x v="1"/>
    <s v="Strong"/>
    <x v="1"/>
    <n v="67"/>
    <x v="0"/>
    <x v="2"/>
    <x v="2"/>
    <s v="Strengthen technical skills and practical knowledge"/>
  </r>
  <r>
    <n v="24"/>
    <x v="0"/>
    <n v="3"/>
    <n v="8"/>
    <n v="2"/>
    <n v="41.680440668367702"/>
    <x v="47"/>
    <n v="54"/>
    <n v="56"/>
    <n v="2"/>
    <n v="0"/>
    <s v="C844"/>
    <x v="0"/>
    <x v="3"/>
    <x v="1"/>
    <x v="0"/>
    <x v="1"/>
    <s v="Good"/>
    <x v="1"/>
    <n v="48"/>
    <x v="1"/>
    <x v="0"/>
    <x v="0"/>
    <s v="Improve interview preparation and communication"/>
  </r>
  <r>
    <n v="25"/>
    <x v="1"/>
    <n v="1"/>
    <n v="13"/>
    <n v="3"/>
    <n v="36.747641177588797"/>
    <x v="92"/>
    <n v="18"/>
    <n v="1"/>
    <n v="2"/>
    <n v="0"/>
    <s v="C845"/>
    <x v="1"/>
    <x v="2"/>
    <x v="1"/>
    <x v="0"/>
    <x v="2"/>
    <s v="Needs Improvement"/>
    <x v="1"/>
    <n v="27"/>
    <x v="1"/>
    <x v="2"/>
    <x v="1"/>
    <s v="Work on communication and personality development"/>
  </r>
  <r>
    <n v="38"/>
    <x v="1"/>
    <n v="2"/>
    <n v="10"/>
    <n v="5"/>
    <n v="13.439853187657301"/>
    <x v="3"/>
    <n v="28"/>
    <n v="12"/>
    <n v="1"/>
    <n v="0"/>
    <s v="C846"/>
    <x v="1"/>
    <x v="0"/>
    <x v="1"/>
    <x v="0"/>
    <x v="2"/>
    <s v="Needs Improvement"/>
    <x v="1"/>
    <n v="34"/>
    <x v="1"/>
    <x v="2"/>
    <x v="1"/>
    <s v="Work on communication and personality development"/>
  </r>
  <r>
    <n v="27"/>
    <x v="0"/>
    <n v="3"/>
    <n v="15"/>
    <n v="4"/>
    <n v="46.510832748332199"/>
    <x v="68"/>
    <n v="1"/>
    <n v="3"/>
    <n v="2"/>
    <n v="0"/>
    <s v="C847"/>
    <x v="0"/>
    <x v="3"/>
    <x v="1"/>
    <x v="0"/>
    <x v="2"/>
    <s v="Needs Improvement"/>
    <x v="1"/>
    <n v="20"/>
    <x v="1"/>
    <x v="0"/>
    <x v="2"/>
    <s v="Strengthen technical skills and practical knowledge"/>
  </r>
  <r>
    <n v="35"/>
    <x v="1"/>
    <n v="2"/>
    <n v="10"/>
    <n v="4"/>
    <n v="8.7207878769606495"/>
    <x v="14"/>
    <n v="35"/>
    <n v="83"/>
    <n v="2"/>
    <n v="0"/>
    <s v="C848"/>
    <x v="1"/>
    <x v="0"/>
    <x v="1"/>
    <x v="1"/>
    <x v="2"/>
    <s v="Strong"/>
    <x v="1"/>
    <n v="61"/>
    <x v="0"/>
    <x v="0"/>
    <x v="2"/>
    <s v="Strengthen technical skills and practical knowledge"/>
  </r>
  <r>
    <n v="32"/>
    <x v="0"/>
    <n v="1"/>
    <n v="12"/>
    <n v="3"/>
    <n v="32.338525970860999"/>
    <x v="42"/>
    <n v="18"/>
    <n v="49"/>
    <n v="2"/>
    <n v="0"/>
    <s v="C849"/>
    <x v="0"/>
    <x v="2"/>
    <x v="1"/>
    <x v="0"/>
    <x v="2"/>
    <s v="Needs Improvement"/>
    <x v="1"/>
    <n v="42"/>
    <x v="1"/>
    <x v="0"/>
    <x v="2"/>
    <s v="Strengthen technical skills and practical knowledge"/>
  </r>
  <r>
    <n v="20"/>
    <x v="1"/>
    <n v="2"/>
    <n v="1"/>
    <n v="4"/>
    <n v="2.4400590273259302"/>
    <x v="26"/>
    <n v="6"/>
    <n v="47"/>
    <n v="3"/>
    <n v="0"/>
    <s v="C850"/>
    <x v="1"/>
    <x v="0"/>
    <x v="0"/>
    <x v="0"/>
    <x v="2"/>
    <s v="Needs Improvement"/>
    <x v="1"/>
    <n v="26"/>
    <x v="1"/>
    <x v="0"/>
    <x v="2"/>
    <s v="Strengthen technical skills and practical knowledge"/>
  </r>
  <r>
    <n v="41"/>
    <x v="1"/>
    <n v="3"/>
    <n v="10"/>
    <n v="5"/>
    <n v="33.185990316247199"/>
    <x v="45"/>
    <n v="25"/>
    <n v="77"/>
    <n v="2"/>
    <n v="0"/>
    <s v="C851"/>
    <x v="1"/>
    <x v="3"/>
    <x v="1"/>
    <x v="0"/>
    <x v="2"/>
    <s v="Strong"/>
    <x v="1"/>
    <n v="44"/>
    <x v="1"/>
    <x v="0"/>
    <x v="0"/>
    <s v="Improve interview preparation and communication"/>
  </r>
  <r>
    <n v="39"/>
    <x v="1"/>
    <n v="2"/>
    <n v="6"/>
    <n v="4"/>
    <n v="14.857217593667899"/>
    <x v="33"/>
    <n v="78"/>
    <n v="29"/>
    <n v="1"/>
    <n v="1"/>
    <s v="C852"/>
    <x v="1"/>
    <x v="0"/>
    <x v="2"/>
    <x v="0"/>
    <x v="0"/>
    <s v="Needs Improvement"/>
    <x v="0"/>
    <n v="38"/>
    <x v="1"/>
    <x v="1"/>
    <x v="0"/>
    <s v="Improve interview preparation and communication"/>
  </r>
  <r>
    <n v="36"/>
    <x v="1"/>
    <n v="2"/>
    <n v="5"/>
    <n v="5"/>
    <n v="23.483848859186001"/>
    <x v="23"/>
    <n v="37"/>
    <n v="28"/>
    <n v="1"/>
    <n v="0"/>
    <s v="C853"/>
    <x v="1"/>
    <x v="0"/>
    <x v="2"/>
    <x v="0"/>
    <x v="2"/>
    <s v="Needs Improvement"/>
    <x v="1"/>
    <n v="31"/>
    <x v="1"/>
    <x v="1"/>
    <x v="0"/>
    <s v="Improve interview preparation and communication"/>
  </r>
  <r>
    <n v="50"/>
    <x v="0"/>
    <n v="2"/>
    <n v="1"/>
    <n v="2"/>
    <n v="18.263227602852599"/>
    <x v="23"/>
    <n v="2"/>
    <n v="7"/>
    <n v="2"/>
    <n v="0"/>
    <s v="C854"/>
    <x v="0"/>
    <x v="0"/>
    <x v="0"/>
    <x v="0"/>
    <x v="2"/>
    <s v="Needs Improvement"/>
    <x v="1"/>
    <n v="12"/>
    <x v="1"/>
    <x v="2"/>
    <x v="2"/>
    <s v="Strengthen technical skills and practical knowledge"/>
  </r>
  <r>
    <n v="26"/>
    <x v="1"/>
    <n v="2"/>
    <n v="7"/>
    <n v="5"/>
    <n v="9.6378378123104902"/>
    <x v="79"/>
    <n v="79"/>
    <n v="11"/>
    <n v="2"/>
    <n v="0"/>
    <s v="C855"/>
    <x v="1"/>
    <x v="0"/>
    <x v="1"/>
    <x v="2"/>
    <x v="0"/>
    <s v="Needs Improvement"/>
    <x v="1"/>
    <n v="61"/>
    <x v="0"/>
    <x v="2"/>
    <x v="1"/>
    <s v="Work on communication and personality development"/>
  </r>
  <r>
    <n v="44"/>
    <x v="1"/>
    <n v="2"/>
    <n v="6"/>
    <n v="1"/>
    <n v="32.0990395046937"/>
    <x v="37"/>
    <n v="65"/>
    <n v="40"/>
    <n v="3"/>
    <n v="0"/>
    <s v="C856"/>
    <x v="1"/>
    <x v="0"/>
    <x v="2"/>
    <x v="0"/>
    <x v="1"/>
    <s v="Needs Improvement"/>
    <x v="1"/>
    <n v="41"/>
    <x v="1"/>
    <x v="1"/>
    <x v="0"/>
    <s v="Improve interview preparation and communication"/>
  </r>
  <r>
    <n v="32"/>
    <x v="0"/>
    <n v="3"/>
    <n v="10"/>
    <n v="1"/>
    <n v="45.098777757030298"/>
    <x v="98"/>
    <n v="94"/>
    <n v="25"/>
    <n v="2"/>
    <n v="0"/>
    <s v="C857"/>
    <x v="0"/>
    <x v="3"/>
    <x v="1"/>
    <x v="0"/>
    <x v="0"/>
    <s v="Needs Improvement"/>
    <x v="1"/>
    <n v="49"/>
    <x v="1"/>
    <x v="1"/>
    <x v="0"/>
    <s v="Improve interview preparation and communication"/>
  </r>
  <r>
    <n v="23"/>
    <x v="1"/>
    <n v="1"/>
    <n v="4"/>
    <n v="1"/>
    <n v="48.954212114120097"/>
    <x v="22"/>
    <n v="91"/>
    <n v="49"/>
    <n v="2"/>
    <n v="0"/>
    <s v="C858"/>
    <x v="1"/>
    <x v="2"/>
    <x v="2"/>
    <x v="0"/>
    <x v="0"/>
    <s v="Needs Improvement"/>
    <x v="1"/>
    <n v="47"/>
    <x v="1"/>
    <x v="1"/>
    <x v="0"/>
    <s v="Improve interview preparation and communication"/>
  </r>
  <r>
    <n v="23"/>
    <x v="1"/>
    <n v="3"/>
    <n v="11"/>
    <n v="3"/>
    <n v="10.617318157695699"/>
    <x v="76"/>
    <n v="70"/>
    <n v="1"/>
    <n v="2"/>
    <n v="0"/>
    <s v="C859"/>
    <x v="1"/>
    <x v="3"/>
    <x v="1"/>
    <x v="0"/>
    <x v="1"/>
    <s v="Needs Improvement"/>
    <x v="1"/>
    <n v="44"/>
    <x v="1"/>
    <x v="1"/>
    <x v="1"/>
    <s v="Work on communication and personality development"/>
  </r>
  <r>
    <n v="25"/>
    <x v="0"/>
    <n v="1"/>
    <n v="4"/>
    <n v="3"/>
    <n v="36.868638703148598"/>
    <x v="73"/>
    <n v="93"/>
    <n v="54"/>
    <n v="2"/>
    <n v="0"/>
    <s v="C860"/>
    <x v="0"/>
    <x v="2"/>
    <x v="2"/>
    <x v="0"/>
    <x v="0"/>
    <s v="Good"/>
    <x v="1"/>
    <n v="53"/>
    <x v="0"/>
    <x v="1"/>
    <x v="0"/>
    <s v="Improve interview preparation and communication"/>
  </r>
  <r>
    <n v="47"/>
    <x v="1"/>
    <n v="2"/>
    <n v="6"/>
    <n v="3"/>
    <n v="34.216968330284097"/>
    <x v="86"/>
    <n v="42"/>
    <n v="55"/>
    <n v="2"/>
    <n v="0"/>
    <s v="C861"/>
    <x v="1"/>
    <x v="0"/>
    <x v="2"/>
    <x v="1"/>
    <x v="2"/>
    <s v="Good"/>
    <x v="1"/>
    <n v="47"/>
    <x v="1"/>
    <x v="0"/>
    <x v="2"/>
    <s v="Strengthen technical skills and practical knowledge"/>
  </r>
  <r>
    <n v="50"/>
    <x v="0"/>
    <n v="1"/>
    <n v="8"/>
    <n v="5"/>
    <n v="18.168889478728602"/>
    <x v="81"/>
    <n v="61"/>
    <n v="13"/>
    <n v="2"/>
    <n v="0"/>
    <s v="C862"/>
    <x v="0"/>
    <x v="2"/>
    <x v="1"/>
    <x v="1"/>
    <x v="1"/>
    <s v="Needs Improvement"/>
    <x v="1"/>
    <n v="50"/>
    <x v="0"/>
    <x v="2"/>
    <x v="1"/>
    <s v="Work on communication and personality development"/>
  </r>
  <r>
    <n v="38"/>
    <x v="0"/>
    <n v="2"/>
    <n v="10"/>
    <n v="3"/>
    <n v="1.9549599676862901"/>
    <x v="53"/>
    <n v="70"/>
    <n v="5"/>
    <n v="2"/>
    <n v="0"/>
    <s v="C863"/>
    <x v="0"/>
    <x v="0"/>
    <x v="1"/>
    <x v="1"/>
    <x v="1"/>
    <s v="Needs Improvement"/>
    <x v="1"/>
    <n v="50"/>
    <x v="0"/>
    <x v="1"/>
    <x v="1"/>
    <s v="Work on communication and personality development"/>
  </r>
  <r>
    <n v="48"/>
    <x v="0"/>
    <n v="2"/>
    <n v="14"/>
    <n v="2"/>
    <n v="35.489562365643302"/>
    <x v="8"/>
    <n v="99"/>
    <n v="94"/>
    <n v="1"/>
    <n v="1"/>
    <s v="C864"/>
    <x v="0"/>
    <x v="0"/>
    <x v="1"/>
    <x v="2"/>
    <x v="0"/>
    <s v="Strong"/>
    <x v="0"/>
    <n v="89"/>
    <x v="2"/>
    <x v="1"/>
    <x v="0"/>
    <s v="Improve interview preparation and communication"/>
  </r>
  <r>
    <n v="31"/>
    <x v="0"/>
    <n v="2"/>
    <n v="8"/>
    <n v="1"/>
    <n v="48.274743027974999"/>
    <x v="88"/>
    <n v="92"/>
    <n v="80"/>
    <n v="3"/>
    <n v="0"/>
    <s v="C865"/>
    <x v="0"/>
    <x v="0"/>
    <x v="1"/>
    <x v="0"/>
    <x v="0"/>
    <s v="Strong"/>
    <x v="1"/>
    <n v="65"/>
    <x v="0"/>
    <x v="1"/>
    <x v="0"/>
    <s v="Improve interview preparation and communication"/>
  </r>
  <r>
    <n v="41"/>
    <x v="1"/>
    <n v="1"/>
    <n v="8"/>
    <n v="5"/>
    <n v="32.606006095782497"/>
    <x v="19"/>
    <n v="23"/>
    <n v="88"/>
    <n v="2"/>
    <n v="0"/>
    <s v="C866"/>
    <x v="1"/>
    <x v="2"/>
    <x v="1"/>
    <x v="2"/>
    <x v="2"/>
    <s v="Strong"/>
    <x v="1"/>
    <n v="65"/>
    <x v="0"/>
    <x v="2"/>
    <x v="2"/>
    <s v="Strengthen technical skills and practical knowledge"/>
  </r>
  <r>
    <n v="26"/>
    <x v="0"/>
    <n v="2"/>
    <n v="5"/>
    <n v="1"/>
    <n v="22.764636209381699"/>
    <x v="48"/>
    <n v="38"/>
    <n v="60"/>
    <n v="1"/>
    <n v="0"/>
    <s v="C867"/>
    <x v="0"/>
    <x v="0"/>
    <x v="2"/>
    <x v="1"/>
    <x v="2"/>
    <s v="Good"/>
    <x v="1"/>
    <n v="50"/>
    <x v="0"/>
    <x v="2"/>
    <x v="2"/>
    <s v="Strengthen technical skills and practical knowledge"/>
  </r>
  <r>
    <n v="46"/>
    <x v="1"/>
    <n v="1"/>
    <n v="9"/>
    <n v="3"/>
    <n v="27.2576947055814"/>
    <x v="50"/>
    <n v="67"/>
    <n v="95"/>
    <n v="1"/>
    <n v="1"/>
    <s v="C868"/>
    <x v="1"/>
    <x v="2"/>
    <x v="1"/>
    <x v="0"/>
    <x v="1"/>
    <s v="Strong"/>
    <x v="0"/>
    <n v="56"/>
    <x v="0"/>
    <x v="0"/>
    <x v="0"/>
    <s v="Improve interview preparation and communication"/>
  </r>
  <r>
    <n v="29"/>
    <x v="1"/>
    <n v="3"/>
    <n v="5"/>
    <n v="5"/>
    <n v="10.9814403829958"/>
    <x v="17"/>
    <n v="92"/>
    <n v="11"/>
    <n v="1"/>
    <n v="1"/>
    <s v="C869"/>
    <x v="1"/>
    <x v="3"/>
    <x v="2"/>
    <x v="1"/>
    <x v="0"/>
    <s v="Needs Improvement"/>
    <x v="0"/>
    <n v="57"/>
    <x v="0"/>
    <x v="1"/>
    <x v="1"/>
    <s v="Work on communication and personality development"/>
  </r>
  <r>
    <n v="45"/>
    <x v="1"/>
    <n v="4"/>
    <n v="2"/>
    <n v="4"/>
    <n v="38.527208187686803"/>
    <x v="86"/>
    <n v="43"/>
    <n v="12"/>
    <n v="2"/>
    <n v="0"/>
    <s v="C870"/>
    <x v="1"/>
    <x v="1"/>
    <x v="0"/>
    <x v="1"/>
    <x v="2"/>
    <s v="Needs Improvement"/>
    <x v="1"/>
    <n v="37"/>
    <x v="1"/>
    <x v="2"/>
    <x v="1"/>
    <s v="Work on communication and personality development"/>
  </r>
  <r>
    <n v="38"/>
    <x v="1"/>
    <n v="2"/>
    <n v="0"/>
    <n v="2"/>
    <n v="38.320991500492397"/>
    <x v="98"/>
    <n v="4"/>
    <n v="18"/>
    <n v="1"/>
    <n v="0"/>
    <s v="C871"/>
    <x v="1"/>
    <x v="0"/>
    <x v="0"/>
    <x v="0"/>
    <x v="2"/>
    <s v="Needs Improvement"/>
    <x v="1"/>
    <n v="10"/>
    <x v="1"/>
    <x v="0"/>
    <x v="2"/>
    <s v="Strengthen technical skills and practical knowledge"/>
  </r>
  <r>
    <n v="26"/>
    <x v="1"/>
    <n v="2"/>
    <n v="15"/>
    <n v="3"/>
    <n v="8.2758650193712402"/>
    <x v="22"/>
    <n v="54"/>
    <n v="43"/>
    <n v="1"/>
    <n v="1"/>
    <s v="C872"/>
    <x v="1"/>
    <x v="0"/>
    <x v="1"/>
    <x v="0"/>
    <x v="1"/>
    <s v="Needs Improvement"/>
    <x v="0"/>
    <n v="46"/>
    <x v="1"/>
    <x v="1"/>
    <x v="0"/>
    <s v="Improve interview preparation and communication"/>
  </r>
  <r>
    <n v="49"/>
    <x v="1"/>
    <n v="2"/>
    <n v="6"/>
    <n v="3"/>
    <n v="44.898919124982903"/>
    <x v="78"/>
    <n v="92"/>
    <n v="88"/>
    <n v="2"/>
    <n v="0"/>
    <s v="C873"/>
    <x v="1"/>
    <x v="0"/>
    <x v="2"/>
    <x v="0"/>
    <x v="0"/>
    <s v="Strong"/>
    <x v="1"/>
    <n v="65"/>
    <x v="0"/>
    <x v="1"/>
    <x v="0"/>
    <s v="Improve interview preparation and communication"/>
  </r>
  <r>
    <n v="22"/>
    <x v="1"/>
    <n v="1"/>
    <n v="3"/>
    <n v="2"/>
    <n v="14.4594869736652"/>
    <x v="5"/>
    <n v="29"/>
    <n v="94"/>
    <n v="2"/>
    <n v="0"/>
    <s v="C874"/>
    <x v="1"/>
    <x v="2"/>
    <x v="2"/>
    <x v="1"/>
    <x v="2"/>
    <s v="Strong"/>
    <x v="1"/>
    <n v="49"/>
    <x v="1"/>
    <x v="0"/>
    <x v="2"/>
    <s v="Strengthen technical skills and practical knowledge"/>
  </r>
  <r>
    <n v="32"/>
    <x v="1"/>
    <n v="2"/>
    <n v="0"/>
    <n v="2"/>
    <n v="50.112803046830699"/>
    <x v="69"/>
    <n v="28"/>
    <n v="58"/>
    <n v="1"/>
    <n v="0"/>
    <s v="C875"/>
    <x v="1"/>
    <x v="0"/>
    <x v="0"/>
    <x v="2"/>
    <x v="2"/>
    <s v="Good"/>
    <x v="1"/>
    <n v="46"/>
    <x v="1"/>
    <x v="2"/>
    <x v="2"/>
    <s v="Strengthen technical skills and practical knowledge"/>
  </r>
  <r>
    <n v="32"/>
    <x v="1"/>
    <n v="3"/>
    <n v="14"/>
    <n v="4"/>
    <n v="20.1451507018622"/>
    <x v="77"/>
    <n v="25"/>
    <n v="36"/>
    <n v="2"/>
    <n v="0"/>
    <s v="C876"/>
    <x v="1"/>
    <x v="3"/>
    <x v="1"/>
    <x v="0"/>
    <x v="2"/>
    <s v="Needs Improvement"/>
    <x v="1"/>
    <n v="45"/>
    <x v="1"/>
    <x v="2"/>
    <x v="2"/>
    <s v="Strengthen technical skills and practical knowledge"/>
  </r>
  <r>
    <n v="37"/>
    <x v="1"/>
    <n v="2"/>
    <n v="7"/>
    <n v="3"/>
    <n v="9.8942029367249802"/>
    <x v="39"/>
    <n v="82"/>
    <n v="24"/>
    <n v="2"/>
    <n v="0"/>
    <s v="C877"/>
    <x v="1"/>
    <x v="0"/>
    <x v="1"/>
    <x v="0"/>
    <x v="0"/>
    <s v="Needs Improvement"/>
    <x v="1"/>
    <n v="52"/>
    <x v="0"/>
    <x v="1"/>
    <x v="1"/>
    <s v="Work on communication and personality development"/>
  </r>
  <r>
    <n v="47"/>
    <x v="0"/>
    <n v="1"/>
    <n v="11"/>
    <n v="3"/>
    <n v="18.586005567282601"/>
    <x v="18"/>
    <n v="25"/>
    <n v="15"/>
    <n v="3"/>
    <n v="0"/>
    <s v="C878"/>
    <x v="0"/>
    <x v="2"/>
    <x v="1"/>
    <x v="1"/>
    <x v="2"/>
    <s v="Needs Improvement"/>
    <x v="1"/>
    <n v="44"/>
    <x v="1"/>
    <x v="2"/>
    <x v="1"/>
    <s v="Work on communication and personality development"/>
  </r>
  <r>
    <n v="49"/>
    <x v="0"/>
    <n v="3"/>
    <n v="5"/>
    <n v="1"/>
    <n v="23.0090164348596"/>
    <x v="64"/>
    <n v="36"/>
    <n v="37"/>
    <n v="2"/>
    <n v="0"/>
    <s v="C879"/>
    <x v="0"/>
    <x v="3"/>
    <x v="2"/>
    <x v="0"/>
    <x v="2"/>
    <s v="Needs Improvement"/>
    <x v="1"/>
    <n v="37"/>
    <x v="1"/>
    <x v="0"/>
    <x v="0"/>
    <s v="Improve interview preparation and communication"/>
  </r>
  <r>
    <n v="45"/>
    <x v="0"/>
    <n v="2"/>
    <n v="5"/>
    <n v="5"/>
    <n v="4.4653886519147399"/>
    <x v="4"/>
    <n v="90"/>
    <n v="42"/>
    <n v="1"/>
    <n v="0"/>
    <s v="C880"/>
    <x v="0"/>
    <x v="0"/>
    <x v="2"/>
    <x v="0"/>
    <x v="0"/>
    <s v="Needs Improvement"/>
    <x v="1"/>
    <n v="50"/>
    <x v="0"/>
    <x v="1"/>
    <x v="0"/>
    <s v="Improve interview preparation and communication"/>
  </r>
  <r>
    <n v="39"/>
    <x v="1"/>
    <n v="3"/>
    <n v="1"/>
    <n v="5"/>
    <n v="29.9109190611644"/>
    <x v="1"/>
    <n v="93"/>
    <n v="86"/>
    <n v="2"/>
    <n v="0"/>
    <s v="C881"/>
    <x v="1"/>
    <x v="3"/>
    <x v="0"/>
    <x v="0"/>
    <x v="0"/>
    <s v="Strong"/>
    <x v="1"/>
    <n v="60"/>
    <x v="0"/>
    <x v="1"/>
    <x v="0"/>
    <s v="Improve interview preparation and communication"/>
  </r>
  <r>
    <n v="47"/>
    <x v="0"/>
    <n v="2"/>
    <n v="14"/>
    <n v="1"/>
    <n v="30.881621993444998"/>
    <x v="51"/>
    <n v="52"/>
    <n v="13"/>
    <n v="2"/>
    <n v="0"/>
    <s v="C882"/>
    <x v="0"/>
    <x v="0"/>
    <x v="1"/>
    <x v="0"/>
    <x v="1"/>
    <s v="Needs Improvement"/>
    <x v="1"/>
    <n v="37"/>
    <x v="1"/>
    <x v="1"/>
    <x v="0"/>
    <s v="Improve interview preparation and communication"/>
  </r>
  <r>
    <n v="27"/>
    <x v="0"/>
    <n v="2"/>
    <n v="0"/>
    <n v="5"/>
    <n v="37.946522767473603"/>
    <x v="19"/>
    <n v="29"/>
    <n v="5"/>
    <n v="1"/>
    <n v="0"/>
    <s v="C883"/>
    <x v="0"/>
    <x v="0"/>
    <x v="0"/>
    <x v="2"/>
    <x v="2"/>
    <s v="Needs Improvement"/>
    <x v="1"/>
    <n v="42"/>
    <x v="1"/>
    <x v="2"/>
    <x v="1"/>
    <s v="Work on communication and personality development"/>
  </r>
  <r>
    <n v="48"/>
    <x v="0"/>
    <n v="1"/>
    <n v="12"/>
    <n v="2"/>
    <n v="2.4584946145371598"/>
    <x v="92"/>
    <n v="2"/>
    <n v="88"/>
    <n v="3"/>
    <n v="0"/>
    <s v="C884"/>
    <x v="0"/>
    <x v="2"/>
    <x v="1"/>
    <x v="0"/>
    <x v="2"/>
    <s v="Strong"/>
    <x v="1"/>
    <n v="38"/>
    <x v="1"/>
    <x v="0"/>
    <x v="2"/>
    <s v="Strengthen technical skills and practical knowledge"/>
  </r>
  <r>
    <n v="50"/>
    <x v="1"/>
    <n v="1"/>
    <n v="13"/>
    <n v="5"/>
    <n v="28.0619107216915"/>
    <x v="30"/>
    <n v="42"/>
    <n v="22"/>
    <n v="2"/>
    <n v="0"/>
    <s v="C885"/>
    <x v="1"/>
    <x v="2"/>
    <x v="1"/>
    <x v="1"/>
    <x v="2"/>
    <s v="Needs Improvement"/>
    <x v="1"/>
    <n v="55"/>
    <x v="0"/>
    <x v="2"/>
    <x v="1"/>
    <s v="Work on communication and personality development"/>
  </r>
  <r>
    <n v="28"/>
    <x v="1"/>
    <n v="4"/>
    <n v="13"/>
    <n v="5"/>
    <n v="3.6453716635332101"/>
    <x v="15"/>
    <n v="6"/>
    <n v="59"/>
    <n v="3"/>
    <n v="0"/>
    <s v="C886"/>
    <x v="1"/>
    <x v="1"/>
    <x v="1"/>
    <x v="0"/>
    <x v="2"/>
    <s v="Good"/>
    <x v="1"/>
    <n v="35"/>
    <x v="1"/>
    <x v="0"/>
    <x v="2"/>
    <s v="Strengthen technical skills and practical knowledge"/>
  </r>
  <r>
    <n v="26"/>
    <x v="1"/>
    <n v="2"/>
    <n v="1"/>
    <n v="1"/>
    <n v="36.0572109983326"/>
    <x v="32"/>
    <n v="48"/>
    <n v="11"/>
    <n v="2"/>
    <n v="0"/>
    <s v="C887"/>
    <x v="1"/>
    <x v="0"/>
    <x v="0"/>
    <x v="1"/>
    <x v="2"/>
    <s v="Needs Improvement"/>
    <x v="1"/>
    <n v="38"/>
    <x v="1"/>
    <x v="2"/>
    <x v="1"/>
    <s v="Work on communication and personality development"/>
  </r>
  <r>
    <n v="20"/>
    <x v="1"/>
    <n v="4"/>
    <n v="3"/>
    <n v="4"/>
    <n v="3.7863992850492201"/>
    <x v="50"/>
    <n v="72"/>
    <n v="12"/>
    <n v="2"/>
    <n v="0"/>
    <s v="C888"/>
    <x v="1"/>
    <x v="1"/>
    <x v="2"/>
    <x v="0"/>
    <x v="1"/>
    <s v="Needs Improvement"/>
    <x v="1"/>
    <n v="37"/>
    <x v="1"/>
    <x v="1"/>
    <x v="1"/>
    <s v="Work on communication and personality development"/>
  </r>
  <r>
    <n v="22"/>
    <x v="0"/>
    <n v="2"/>
    <n v="1"/>
    <n v="5"/>
    <n v="46.586392417081598"/>
    <x v="10"/>
    <n v="40"/>
    <n v="99"/>
    <n v="2"/>
    <n v="0"/>
    <s v="C889"/>
    <x v="0"/>
    <x v="0"/>
    <x v="0"/>
    <x v="2"/>
    <x v="2"/>
    <s v="Strong"/>
    <x v="1"/>
    <n v="63"/>
    <x v="0"/>
    <x v="0"/>
    <x v="2"/>
    <s v="Strengthen technical skills and practical knowledge"/>
  </r>
  <r>
    <n v="32"/>
    <x v="0"/>
    <n v="1"/>
    <n v="15"/>
    <n v="5"/>
    <n v="36.104128344224797"/>
    <x v="25"/>
    <n v="76"/>
    <n v="97"/>
    <n v="2"/>
    <n v="1"/>
    <s v="C890"/>
    <x v="0"/>
    <x v="2"/>
    <x v="1"/>
    <x v="2"/>
    <x v="0"/>
    <s v="Strong"/>
    <x v="0"/>
    <n v="90"/>
    <x v="2"/>
    <x v="2"/>
    <x v="2"/>
    <s v="Strengthen technical skills and practical knowledge"/>
  </r>
  <r>
    <n v="47"/>
    <x v="0"/>
    <n v="1"/>
    <n v="0"/>
    <n v="4"/>
    <n v="26.369488254257799"/>
    <x v="17"/>
    <n v="78"/>
    <n v="5"/>
    <n v="2"/>
    <n v="0"/>
    <s v="C891"/>
    <x v="0"/>
    <x v="2"/>
    <x v="0"/>
    <x v="1"/>
    <x v="0"/>
    <s v="Needs Improvement"/>
    <x v="1"/>
    <n v="46"/>
    <x v="1"/>
    <x v="1"/>
    <x v="1"/>
    <s v="Work on communication and personality development"/>
  </r>
  <r>
    <n v="49"/>
    <x v="0"/>
    <n v="2"/>
    <n v="6"/>
    <n v="1"/>
    <n v="23.075196164058699"/>
    <x v="52"/>
    <n v="53"/>
    <n v="62"/>
    <n v="3"/>
    <n v="1"/>
    <s v="C892"/>
    <x v="0"/>
    <x v="0"/>
    <x v="2"/>
    <x v="2"/>
    <x v="1"/>
    <s v="Good"/>
    <x v="0"/>
    <n v="62"/>
    <x v="0"/>
    <x v="2"/>
    <x v="2"/>
    <s v="Strengthen technical skills and practical knowledge"/>
  </r>
  <r>
    <n v="44"/>
    <x v="1"/>
    <n v="4"/>
    <n v="10"/>
    <n v="4"/>
    <n v="7.5336315206631097"/>
    <x v="6"/>
    <n v="68"/>
    <n v="37"/>
    <n v="2"/>
    <n v="0"/>
    <s v="C893"/>
    <x v="1"/>
    <x v="1"/>
    <x v="1"/>
    <x v="0"/>
    <x v="1"/>
    <s v="Needs Improvement"/>
    <x v="1"/>
    <n v="50"/>
    <x v="0"/>
    <x v="1"/>
    <x v="0"/>
    <s v="Improve interview preparation and communication"/>
  </r>
  <r>
    <n v="50"/>
    <x v="1"/>
    <n v="2"/>
    <n v="10"/>
    <n v="1"/>
    <n v="15.5499694782331"/>
    <x v="15"/>
    <n v="92"/>
    <n v="49"/>
    <n v="3"/>
    <n v="0"/>
    <s v="C894"/>
    <x v="1"/>
    <x v="0"/>
    <x v="1"/>
    <x v="0"/>
    <x v="0"/>
    <s v="Needs Improvement"/>
    <x v="1"/>
    <n v="53"/>
    <x v="0"/>
    <x v="1"/>
    <x v="0"/>
    <s v="Improve interview preparation and communication"/>
  </r>
  <r>
    <n v="47"/>
    <x v="1"/>
    <n v="2"/>
    <n v="14"/>
    <n v="2"/>
    <n v="44.447955251044803"/>
    <x v="2"/>
    <n v="98"/>
    <n v="51"/>
    <n v="3"/>
    <n v="0"/>
    <s v="C895"/>
    <x v="1"/>
    <x v="0"/>
    <x v="1"/>
    <x v="0"/>
    <x v="0"/>
    <s v="Good"/>
    <x v="1"/>
    <n v="62"/>
    <x v="0"/>
    <x v="1"/>
    <x v="0"/>
    <s v="Improve interview preparation and communication"/>
  </r>
  <r>
    <n v="36"/>
    <x v="0"/>
    <n v="2"/>
    <n v="11"/>
    <n v="1"/>
    <n v="46.222640578124697"/>
    <x v="6"/>
    <n v="90"/>
    <n v="39"/>
    <n v="3"/>
    <n v="0"/>
    <s v="C896"/>
    <x v="0"/>
    <x v="0"/>
    <x v="1"/>
    <x v="0"/>
    <x v="0"/>
    <s v="Needs Improvement"/>
    <x v="1"/>
    <n v="56"/>
    <x v="0"/>
    <x v="1"/>
    <x v="0"/>
    <s v="Improve interview preparation and communication"/>
  </r>
  <r>
    <n v="44"/>
    <x v="1"/>
    <n v="1"/>
    <n v="7"/>
    <n v="2"/>
    <n v="1.0373854185265501"/>
    <x v="13"/>
    <n v="26"/>
    <n v="7"/>
    <n v="2"/>
    <n v="0"/>
    <s v="C897"/>
    <x v="1"/>
    <x v="2"/>
    <x v="1"/>
    <x v="0"/>
    <x v="2"/>
    <s v="Needs Improvement"/>
    <x v="1"/>
    <n v="22"/>
    <x v="1"/>
    <x v="1"/>
    <x v="1"/>
    <s v="Work on communication and personality development"/>
  </r>
  <r>
    <n v="43"/>
    <x v="1"/>
    <n v="2"/>
    <n v="5"/>
    <n v="2"/>
    <n v="30.7068195738775"/>
    <x v="81"/>
    <n v="7"/>
    <n v="60"/>
    <n v="2"/>
    <n v="0"/>
    <s v="C898"/>
    <x v="1"/>
    <x v="0"/>
    <x v="2"/>
    <x v="1"/>
    <x v="2"/>
    <s v="Good"/>
    <x v="1"/>
    <n v="41"/>
    <x v="1"/>
    <x v="2"/>
    <x v="2"/>
    <s v="Strengthen technical skills and practical knowledge"/>
  </r>
  <r>
    <n v="20"/>
    <x v="0"/>
    <n v="1"/>
    <n v="3"/>
    <n v="1"/>
    <n v="36.9650304512556"/>
    <x v="14"/>
    <n v="31"/>
    <n v="7"/>
    <n v="1"/>
    <n v="0"/>
    <s v="C899"/>
    <x v="0"/>
    <x v="2"/>
    <x v="2"/>
    <x v="1"/>
    <x v="2"/>
    <s v="Needs Improvement"/>
    <x v="1"/>
    <n v="38"/>
    <x v="1"/>
    <x v="2"/>
    <x v="1"/>
    <s v="Work on communication and personality development"/>
  </r>
  <r>
    <n v="25"/>
    <x v="0"/>
    <n v="3"/>
    <n v="13"/>
    <n v="3"/>
    <n v="31.937349122880299"/>
    <x v="84"/>
    <n v="83"/>
    <n v="96"/>
    <n v="2"/>
    <n v="1"/>
    <s v="C900"/>
    <x v="0"/>
    <x v="3"/>
    <x v="1"/>
    <x v="0"/>
    <x v="0"/>
    <s v="Strong"/>
    <x v="0"/>
    <n v="76"/>
    <x v="2"/>
    <x v="0"/>
    <x v="0"/>
    <s v="Improve interview preparation and communication"/>
  </r>
  <r>
    <n v="40"/>
    <x v="1"/>
    <n v="2"/>
    <n v="5"/>
    <n v="1"/>
    <n v="5.0839882433176902"/>
    <x v="32"/>
    <n v="63"/>
    <n v="33"/>
    <n v="1"/>
    <n v="0"/>
    <s v="C901"/>
    <x v="1"/>
    <x v="0"/>
    <x v="2"/>
    <x v="1"/>
    <x v="1"/>
    <s v="Needs Improvement"/>
    <x v="1"/>
    <n v="51"/>
    <x v="0"/>
    <x v="1"/>
    <x v="1"/>
    <s v="Work on communication and personality development"/>
  </r>
  <r>
    <n v="25"/>
    <x v="1"/>
    <n v="2"/>
    <n v="2"/>
    <n v="5"/>
    <n v="11.886244939945099"/>
    <x v="63"/>
    <n v="9"/>
    <n v="78"/>
    <n v="1"/>
    <n v="1"/>
    <s v="C902"/>
    <x v="1"/>
    <x v="0"/>
    <x v="0"/>
    <x v="2"/>
    <x v="2"/>
    <s v="Strong"/>
    <x v="0"/>
    <n v="49"/>
    <x v="1"/>
    <x v="2"/>
    <x v="2"/>
    <s v="Strengthen technical skills and practical knowledge"/>
  </r>
  <r>
    <n v="45"/>
    <x v="1"/>
    <n v="2"/>
    <n v="11"/>
    <n v="5"/>
    <n v="13.5170133690693"/>
    <x v="74"/>
    <n v="12"/>
    <n v="99"/>
    <n v="1"/>
    <n v="1"/>
    <s v="C903"/>
    <x v="1"/>
    <x v="0"/>
    <x v="1"/>
    <x v="2"/>
    <x v="2"/>
    <s v="Strong"/>
    <x v="0"/>
    <n v="66"/>
    <x v="0"/>
    <x v="0"/>
    <x v="2"/>
    <s v="Strengthen technical skills and practical knowledge"/>
  </r>
  <r>
    <n v="31"/>
    <x v="1"/>
    <n v="2"/>
    <n v="7"/>
    <n v="3"/>
    <n v="42.586231565254401"/>
    <x v="100"/>
    <n v="62"/>
    <n v="59"/>
    <n v="3"/>
    <n v="0"/>
    <s v="C904"/>
    <x v="1"/>
    <x v="0"/>
    <x v="1"/>
    <x v="2"/>
    <x v="1"/>
    <s v="Good"/>
    <x v="1"/>
    <n v="68"/>
    <x v="0"/>
    <x v="2"/>
    <x v="1"/>
    <s v="Work on communication and personality development"/>
  </r>
  <r>
    <n v="32"/>
    <x v="1"/>
    <n v="4"/>
    <n v="9"/>
    <n v="2"/>
    <n v="24.159971815445999"/>
    <x v="0"/>
    <n v="92"/>
    <n v="56"/>
    <n v="3"/>
    <n v="0"/>
    <s v="C905"/>
    <x v="1"/>
    <x v="1"/>
    <x v="1"/>
    <x v="0"/>
    <x v="0"/>
    <s v="Good"/>
    <x v="1"/>
    <n v="67"/>
    <x v="0"/>
    <x v="1"/>
    <x v="0"/>
    <s v="Improve interview preparation and communication"/>
  </r>
  <r>
    <n v="32"/>
    <x v="1"/>
    <n v="2"/>
    <n v="13"/>
    <n v="3"/>
    <n v="25.341410597061799"/>
    <x v="65"/>
    <n v="34"/>
    <n v="98"/>
    <n v="2"/>
    <n v="0"/>
    <s v="C906"/>
    <x v="1"/>
    <x v="0"/>
    <x v="1"/>
    <x v="0"/>
    <x v="2"/>
    <s v="Strong"/>
    <x v="1"/>
    <n v="49"/>
    <x v="1"/>
    <x v="0"/>
    <x v="0"/>
    <s v="Improve interview preparation and communication"/>
  </r>
  <r>
    <n v="48"/>
    <x v="0"/>
    <n v="1"/>
    <n v="12"/>
    <n v="5"/>
    <n v="47.744652327725397"/>
    <x v="91"/>
    <n v="60"/>
    <n v="45"/>
    <n v="2"/>
    <n v="0"/>
    <s v="C907"/>
    <x v="0"/>
    <x v="2"/>
    <x v="1"/>
    <x v="0"/>
    <x v="1"/>
    <s v="Needs Improvement"/>
    <x v="1"/>
    <n v="42"/>
    <x v="1"/>
    <x v="1"/>
    <x v="0"/>
    <s v="Improve interview preparation and communication"/>
  </r>
  <r>
    <n v="34"/>
    <x v="0"/>
    <n v="2"/>
    <n v="12"/>
    <n v="3"/>
    <n v="32.8542944427357"/>
    <x v="8"/>
    <n v="53"/>
    <n v="21"/>
    <n v="2"/>
    <n v="0"/>
    <s v="C908"/>
    <x v="0"/>
    <x v="0"/>
    <x v="1"/>
    <x v="2"/>
    <x v="1"/>
    <s v="Needs Improvement"/>
    <x v="1"/>
    <n v="59"/>
    <x v="0"/>
    <x v="2"/>
    <x v="1"/>
    <s v="Work on communication and personality development"/>
  </r>
  <r>
    <n v="40"/>
    <x v="0"/>
    <n v="1"/>
    <n v="1"/>
    <n v="1"/>
    <n v="45.933385077633098"/>
    <x v="6"/>
    <n v="7"/>
    <n v="86"/>
    <n v="2"/>
    <n v="0"/>
    <s v="C909"/>
    <x v="0"/>
    <x v="2"/>
    <x v="0"/>
    <x v="0"/>
    <x v="2"/>
    <s v="Strong"/>
    <x v="1"/>
    <n v="30"/>
    <x v="1"/>
    <x v="0"/>
    <x v="2"/>
    <s v="Strengthen technical skills and practical knowledge"/>
  </r>
  <r>
    <n v="35"/>
    <x v="1"/>
    <n v="1"/>
    <n v="4"/>
    <n v="3"/>
    <n v="23.825442767076598"/>
    <x v="96"/>
    <n v="28"/>
    <n v="39"/>
    <n v="2"/>
    <n v="0"/>
    <s v="C910"/>
    <x v="1"/>
    <x v="2"/>
    <x v="2"/>
    <x v="1"/>
    <x v="2"/>
    <s v="Needs Improvement"/>
    <x v="1"/>
    <n v="40"/>
    <x v="1"/>
    <x v="2"/>
    <x v="2"/>
    <s v="Strengthen technical skills and practical knowledge"/>
  </r>
  <r>
    <n v="41"/>
    <x v="0"/>
    <n v="4"/>
    <n v="0"/>
    <n v="2"/>
    <n v="8.4718129259147101"/>
    <x v="85"/>
    <n v="94"/>
    <n v="44"/>
    <n v="2"/>
    <n v="0"/>
    <s v="C911"/>
    <x v="0"/>
    <x v="1"/>
    <x v="0"/>
    <x v="1"/>
    <x v="0"/>
    <s v="Needs Improvement"/>
    <x v="1"/>
    <n v="63"/>
    <x v="0"/>
    <x v="1"/>
    <x v="1"/>
    <s v="Work on communication and personality development"/>
  </r>
  <r>
    <n v="40"/>
    <x v="1"/>
    <n v="3"/>
    <n v="5"/>
    <n v="1"/>
    <n v="47.496779703704199"/>
    <x v="93"/>
    <n v="40"/>
    <n v="54"/>
    <n v="2"/>
    <n v="0"/>
    <s v="C912"/>
    <x v="1"/>
    <x v="3"/>
    <x v="2"/>
    <x v="1"/>
    <x v="2"/>
    <s v="Good"/>
    <x v="1"/>
    <n v="52"/>
    <x v="0"/>
    <x v="2"/>
    <x v="2"/>
    <s v="Strengthen technical skills and practical knowledge"/>
  </r>
  <r>
    <n v="30"/>
    <x v="1"/>
    <n v="4"/>
    <n v="1"/>
    <n v="4"/>
    <n v="23.935255783376899"/>
    <x v="61"/>
    <n v="29"/>
    <n v="50"/>
    <n v="2"/>
    <n v="0"/>
    <s v="C913"/>
    <x v="1"/>
    <x v="1"/>
    <x v="0"/>
    <x v="0"/>
    <x v="2"/>
    <s v="Good"/>
    <x v="1"/>
    <n v="26"/>
    <x v="1"/>
    <x v="0"/>
    <x v="0"/>
    <s v="Improve interview preparation and communication"/>
  </r>
  <r>
    <n v="47"/>
    <x v="0"/>
    <n v="2"/>
    <n v="3"/>
    <n v="5"/>
    <n v="10.081571093940999"/>
    <x v="74"/>
    <n v="85"/>
    <n v="85"/>
    <n v="2"/>
    <n v="0"/>
    <s v="C914"/>
    <x v="0"/>
    <x v="0"/>
    <x v="2"/>
    <x v="2"/>
    <x v="0"/>
    <s v="Strong"/>
    <x v="1"/>
    <n v="77"/>
    <x v="2"/>
    <x v="2"/>
    <x v="2"/>
    <s v="Strengthen technical skills and practical knowledge"/>
  </r>
  <r>
    <n v="24"/>
    <x v="1"/>
    <n v="2"/>
    <n v="5"/>
    <n v="5"/>
    <n v="16.119787015196099"/>
    <x v="40"/>
    <n v="20"/>
    <n v="4"/>
    <n v="2"/>
    <n v="0"/>
    <s v="C915"/>
    <x v="1"/>
    <x v="0"/>
    <x v="2"/>
    <x v="0"/>
    <x v="2"/>
    <s v="Needs Improvement"/>
    <x v="1"/>
    <n v="20"/>
    <x v="1"/>
    <x v="1"/>
    <x v="1"/>
    <s v="Work on communication and personality development"/>
  </r>
  <r>
    <n v="23"/>
    <x v="1"/>
    <n v="1"/>
    <n v="9"/>
    <n v="3"/>
    <n v="3.5401294844471098"/>
    <x v="23"/>
    <n v="75"/>
    <n v="94"/>
    <n v="3"/>
    <n v="0"/>
    <s v="C916"/>
    <x v="1"/>
    <x v="2"/>
    <x v="1"/>
    <x v="0"/>
    <x v="0"/>
    <s v="Strong"/>
    <x v="1"/>
    <n v="59"/>
    <x v="0"/>
    <x v="0"/>
    <x v="0"/>
    <s v="Improve interview preparation and communication"/>
  </r>
  <r>
    <n v="22"/>
    <x v="0"/>
    <n v="2"/>
    <n v="10"/>
    <n v="1"/>
    <n v="24.415029572819201"/>
    <x v="98"/>
    <n v="10"/>
    <n v="12"/>
    <n v="1"/>
    <n v="0"/>
    <s v="C917"/>
    <x v="0"/>
    <x v="0"/>
    <x v="1"/>
    <x v="0"/>
    <x v="2"/>
    <s v="Needs Improvement"/>
    <x v="1"/>
    <n v="20"/>
    <x v="1"/>
    <x v="0"/>
    <x v="0"/>
    <s v="Improve interview preparation and communication"/>
  </r>
  <r>
    <n v="38"/>
    <x v="0"/>
    <n v="3"/>
    <n v="7"/>
    <n v="4"/>
    <n v="43.656408595511799"/>
    <x v="10"/>
    <n v="1"/>
    <n v="27"/>
    <n v="2"/>
    <n v="0"/>
    <s v="C918"/>
    <x v="0"/>
    <x v="3"/>
    <x v="1"/>
    <x v="2"/>
    <x v="2"/>
    <s v="Needs Improvement"/>
    <x v="1"/>
    <n v="44"/>
    <x v="1"/>
    <x v="2"/>
    <x v="2"/>
    <s v="Strengthen technical skills and practical knowledge"/>
  </r>
  <r>
    <n v="39"/>
    <x v="0"/>
    <n v="2"/>
    <n v="11"/>
    <n v="1"/>
    <n v="47.679022800334401"/>
    <x v="84"/>
    <n v="49"/>
    <n v="83"/>
    <n v="2"/>
    <n v="0"/>
    <s v="C919"/>
    <x v="0"/>
    <x v="0"/>
    <x v="1"/>
    <x v="0"/>
    <x v="2"/>
    <s v="Strong"/>
    <x v="1"/>
    <n v="60"/>
    <x v="0"/>
    <x v="0"/>
    <x v="0"/>
    <s v="Improve interview preparation and communication"/>
  </r>
  <r>
    <n v="44"/>
    <x v="1"/>
    <n v="3"/>
    <n v="7"/>
    <n v="5"/>
    <n v="47.630110375182099"/>
    <x v="37"/>
    <n v="40"/>
    <n v="96"/>
    <n v="1"/>
    <n v="1"/>
    <s v="C920"/>
    <x v="1"/>
    <x v="3"/>
    <x v="1"/>
    <x v="0"/>
    <x v="2"/>
    <s v="Strong"/>
    <x v="0"/>
    <n v="46"/>
    <x v="1"/>
    <x v="0"/>
    <x v="0"/>
    <s v="Improve interview preparation and communication"/>
  </r>
  <r>
    <n v="37"/>
    <x v="0"/>
    <n v="3"/>
    <n v="10"/>
    <n v="1"/>
    <n v="7.2615012814373303"/>
    <x v="64"/>
    <n v="65"/>
    <n v="79"/>
    <n v="2"/>
    <n v="1"/>
    <s v="C921"/>
    <x v="0"/>
    <x v="3"/>
    <x v="1"/>
    <x v="0"/>
    <x v="1"/>
    <s v="Strong"/>
    <x v="0"/>
    <n v="59"/>
    <x v="0"/>
    <x v="0"/>
    <x v="0"/>
    <s v="Improve interview preparation and communication"/>
  </r>
  <r>
    <n v="34"/>
    <x v="0"/>
    <n v="1"/>
    <n v="5"/>
    <n v="4"/>
    <n v="20.102694125552802"/>
    <x v="33"/>
    <n v="97"/>
    <n v="61"/>
    <n v="1"/>
    <n v="1"/>
    <s v="C922"/>
    <x v="0"/>
    <x v="2"/>
    <x v="2"/>
    <x v="0"/>
    <x v="0"/>
    <s v="Good"/>
    <x v="0"/>
    <n v="49"/>
    <x v="1"/>
    <x v="1"/>
    <x v="0"/>
    <s v="Improve interview preparation and communication"/>
  </r>
  <r>
    <n v="28"/>
    <x v="1"/>
    <n v="2"/>
    <n v="3"/>
    <n v="3"/>
    <n v="2.4114379825353098"/>
    <x v="65"/>
    <n v="2"/>
    <n v="92"/>
    <n v="2"/>
    <n v="0"/>
    <s v="C923"/>
    <x v="1"/>
    <x v="0"/>
    <x v="2"/>
    <x v="0"/>
    <x v="2"/>
    <s v="Strong"/>
    <x v="1"/>
    <n v="28"/>
    <x v="1"/>
    <x v="0"/>
    <x v="2"/>
    <s v="Strengthen technical skills and practical knowledge"/>
  </r>
  <r>
    <n v="36"/>
    <x v="0"/>
    <n v="2"/>
    <n v="7"/>
    <n v="2"/>
    <n v="43.758267248573603"/>
    <x v="91"/>
    <n v="79"/>
    <n v="86"/>
    <n v="2"/>
    <n v="0"/>
    <s v="C924"/>
    <x v="0"/>
    <x v="0"/>
    <x v="1"/>
    <x v="0"/>
    <x v="0"/>
    <s v="Strong"/>
    <x v="1"/>
    <n v="50"/>
    <x v="0"/>
    <x v="0"/>
    <x v="0"/>
    <s v="Improve interview preparation and communication"/>
  </r>
  <r>
    <n v="33"/>
    <x v="0"/>
    <n v="2"/>
    <n v="12"/>
    <n v="1"/>
    <n v="18.9377881010636"/>
    <x v="72"/>
    <n v="50"/>
    <n v="23"/>
    <n v="2"/>
    <n v="0"/>
    <s v="C925"/>
    <x v="0"/>
    <x v="0"/>
    <x v="1"/>
    <x v="2"/>
    <x v="1"/>
    <s v="Needs Improvement"/>
    <x v="1"/>
    <n v="61"/>
    <x v="0"/>
    <x v="2"/>
    <x v="1"/>
    <s v="Work on communication and personality development"/>
  </r>
  <r>
    <n v="34"/>
    <x v="0"/>
    <n v="3"/>
    <n v="7"/>
    <n v="2"/>
    <n v="32.5558513946117"/>
    <x v="46"/>
    <n v="67"/>
    <n v="97"/>
    <n v="2"/>
    <n v="1"/>
    <s v="C926"/>
    <x v="0"/>
    <x v="3"/>
    <x v="1"/>
    <x v="1"/>
    <x v="1"/>
    <s v="Strong"/>
    <x v="0"/>
    <n v="67"/>
    <x v="0"/>
    <x v="0"/>
    <x v="0"/>
    <s v="Improve interview preparation and communication"/>
  </r>
  <r>
    <n v="50"/>
    <x v="1"/>
    <n v="2"/>
    <n v="9"/>
    <n v="5"/>
    <n v="36.744921903864402"/>
    <x v="63"/>
    <n v="86"/>
    <n v="6"/>
    <n v="1"/>
    <n v="1"/>
    <s v="C927"/>
    <x v="1"/>
    <x v="0"/>
    <x v="1"/>
    <x v="2"/>
    <x v="0"/>
    <s v="Needs Improvement"/>
    <x v="0"/>
    <n v="65"/>
    <x v="0"/>
    <x v="2"/>
    <x v="1"/>
    <s v="Work on communication and personality development"/>
  </r>
  <r>
    <n v="20"/>
    <x v="1"/>
    <n v="1"/>
    <n v="13"/>
    <n v="3"/>
    <n v="22.492233487157701"/>
    <x v="37"/>
    <n v="83"/>
    <n v="37"/>
    <n v="2"/>
    <n v="0"/>
    <s v="C928"/>
    <x v="1"/>
    <x v="2"/>
    <x v="1"/>
    <x v="0"/>
    <x v="0"/>
    <s v="Needs Improvement"/>
    <x v="1"/>
    <n v="52"/>
    <x v="0"/>
    <x v="1"/>
    <x v="0"/>
    <s v="Improve interview preparation and communication"/>
  </r>
  <r>
    <n v="40"/>
    <x v="1"/>
    <n v="2"/>
    <n v="0"/>
    <n v="3"/>
    <n v="16.322116827512101"/>
    <x v="69"/>
    <n v="24"/>
    <n v="36"/>
    <n v="1"/>
    <n v="0"/>
    <s v="C929"/>
    <x v="1"/>
    <x v="0"/>
    <x v="0"/>
    <x v="2"/>
    <x v="2"/>
    <s v="Needs Improvement"/>
    <x v="1"/>
    <n v="40"/>
    <x v="1"/>
    <x v="2"/>
    <x v="2"/>
    <s v="Strengthen technical skills and practical knowledge"/>
  </r>
  <r>
    <n v="41"/>
    <x v="1"/>
    <n v="4"/>
    <n v="15"/>
    <n v="1"/>
    <n v="49.110645505797201"/>
    <x v="72"/>
    <n v="29"/>
    <n v="67"/>
    <n v="3"/>
    <n v="1"/>
    <s v="C930"/>
    <x v="1"/>
    <x v="1"/>
    <x v="1"/>
    <x v="2"/>
    <x v="2"/>
    <s v="Good"/>
    <x v="0"/>
    <n v="69"/>
    <x v="0"/>
    <x v="2"/>
    <x v="2"/>
    <s v="Strengthen technical skills and practical knowledge"/>
  </r>
  <r>
    <n v="41"/>
    <x v="0"/>
    <n v="1"/>
    <n v="3"/>
    <n v="3"/>
    <n v="49.224411251192699"/>
    <x v="90"/>
    <n v="81"/>
    <n v="97"/>
    <n v="3"/>
    <n v="0"/>
    <s v="C931"/>
    <x v="0"/>
    <x v="2"/>
    <x v="2"/>
    <x v="0"/>
    <x v="0"/>
    <s v="Strong"/>
    <x v="1"/>
    <n v="63"/>
    <x v="0"/>
    <x v="0"/>
    <x v="0"/>
    <s v="Improve interview preparation and communication"/>
  </r>
  <r>
    <n v="22"/>
    <x v="1"/>
    <n v="3"/>
    <n v="3"/>
    <n v="1"/>
    <n v="15.471818401501"/>
    <x v="39"/>
    <n v="10"/>
    <n v="41"/>
    <n v="2"/>
    <n v="0"/>
    <s v="C932"/>
    <x v="1"/>
    <x v="3"/>
    <x v="2"/>
    <x v="0"/>
    <x v="2"/>
    <s v="Needs Improvement"/>
    <x v="1"/>
    <n v="31"/>
    <x v="1"/>
    <x v="2"/>
    <x v="2"/>
    <s v="Strengthen technical skills and practical knowledge"/>
  </r>
  <r>
    <n v="35"/>
    <x v="1"/>
    <n v="2"/>
    <n v="6"/>
    <n v="1"/>
    <n v="24.981254837222899"/>
    <x v="28"/>
    <n v="92"/>
    <n v="85"/>
    <n v="3"/>
    <n v="1"/>
    <s v="C933"/>
    <x v="1"/>
    <x v="0"/>
    <x v="2"/>
    <x v="2"/>
    <x v="0"/>
    <s v="Strong"/>
    <x v="0"/>
    <n v="77"/>
    <x v="2"/>
    <x v="1"/>
    <x v="0"/>
    <s v="Improve interview preparation and communication"/>
  </r>
  <r>
    <n v="42"/>
    <x v="0"/>
    <n v="3"/>
    <n v="15"/>
    <n v="2"/>
    <n v="49.642207933001103"/>
    <x v="65"/>
    <n v="16"/>
    <n v="4"/>
    <n v="2"/>
    <n v="0"/>
    <s v="C934"/>
    <x v="0"/>
    <x v="3"/>
    <x v="1"/>
    <x v="0"/>
    <x v="2"/>
    <s v="Needs Improvement"/>
    <x v="1"/>
    <n v="28"/>
    <x v="1"/>
    <x v="1"/>
    <x v="1"/>
    <s v="Work on communication and personality development"/>
  </r>
  <r>
    <n v="44"/>
    <x v="0"/>
    <n v="3"/>
    <n v="13"/>
    <n v="3"/>
    <n v="1.24342038277516"/>
    <x v="9"/>
    <n v="25"/>
    <n v="63"/>
    <n v="3"/>
    <n v="1"/>
    <s v="C935"/>
    <x v="0"/>
    <x v="3"/>
    <x v="1"/>
    <x v="2"/>
    <x v="2"/>
    <s v="Good"/>
    <x v="0"/>
    <n v="64"/>
    <x v="0"/>
    <x v="2"/>
    <x v="2"/>
    <s v="Strengthen technical skills and practical knowledge"/>
  </r>
  <r>
    <n v="30"/>
    <x v="0"/>
    <n v="2"/>
    <n v="13"/>
    <n v="1"/>
    <n v="21.633912418957401"/>
    <x v="4"/>
    <n v="22"/>
    <n v="49"/>
    <n v="2"/>
    <n v="0"/>
    <s v="C936"/>
    <x v="0"/>
    <x v="0"/>
    <x v="1"/>
    <x v="0"/>
    <x v="2"/>
    <s v="Needs Improvement"/>
    <x v="1"/>
    <n v="39"/>
    <x v="1"/>
    <x v="0"/>
    <x v="2"/>
    <s v="Strengthen technical skills and practical knowledge"/>
  </r>
  <r>
    <n v="31"/>
    <x v="1"/>
    <n v="2"/>
    <n v="10"/>
    <n v="2"/>
    <n v="6.0228774840484203"/>
    <x v="5"/>
    <n v="55"/>
    <n v="86"/>
    <n v="1"/>
    <n v="1"/>
    <s v="C937"/>
    <x v="1"/>
    <x v="0"/>
    <x v="1"/>
    <x v="1"/>
    <x v="1"/>
    <s v="Strong"/>
    <x v="0"/>
    <n v="62"/>
    <x v="0"/>
    <x v="0"/>
    <x v="0"/>
    <s v="Improve interview preparation and communication"/>
  </r>
  <r>
    <n v="29"/>
    <x v="1"/>
    <n v="3"/>
    <n v="6"/>
    <n v="4"/>
    <n v="26.457898278130099"/>
    <x v="34"/>
    <n v="51"/>
    <n v="14"/>
    <n v="3"/>
    <n v="0"/>
    <s v="C938"/>
    <x v="1"/>
    <x v="3"/>
    <x v="2"/>
    <x v="0"/>
    <x v="1"/>
    <s v="Needs Improvement"/>
    <x v="1"/>
    <n v="32"/>
    <x v="1"/>
    <x v="1"/>
    <x v="0"/>
    <s v="Improve interview preparation and communication"/>
  </r>
  <r>
    <n v="35"/>
    <x v="1"/>
    <n v="2"/>
    <n v="15"/>
    <n v="2"/>
    <n v="2.2334977270243499"/>
    <x v="24"/>
    <n v="47"/>
    <n v="94"/>
    <n v="1"/>
    <n v="1"/>
    <s v="C939"/>
    <x v="1"/>
    <x v="0"/>
    <x v="1"/>
    <x v="2"/>
    <x v="2"/>
    <s v="Strong"/>
    <x v="0"/>
    <n v="75"/>
    <x v="2"/>
    <x v="0"/>
    <x v="2"/>
    <s v="Strengthen technical skills and practical knowledge"/>
  </r>
  <r>
    <n v="27"/>
    <x v="0"/>
    <n v="3"/>
    <n v="12"/>
    <n v="2"/>
    <n v="21.344921569531301"/>
    <x v="85"/>
    <n v="19"/>
    <n v="72"/>
    <n v="1"/>
    <n v="1"/>
    <s v="C940"/>
    <x v="0"/>
    <x v="3"/>
    <x v="1"/>
    <x v="1"/>
    <x v="2"/>
    <s v="Good"/>
    <x v="0"/>
    <n v="57"/>
    <x v="0"/>
    <x v="0"/>
    <x v="2"/>
    <s v="Strengthen technical skills and practical knowledge"/>
  </r>
  <r>
    <n v="25"/>
    <x v="0"/>
    <n v="1"/>
    <n v="10"/>
    <n v="1"/>
    <n v="12.034953739266699"/>
    <x v="29"/>
    <n v="1"/>
    <n v="52"/>
    <n v="1"/>
    <n v="0"/>
    <s v="C941"/>
    <x v="0"/>
    <x v="2"/>
    <x v="1"/>
    <x v="0"/>
    <x v="2"/>
    <s v="Good"/>
    <x v="1"/>
    <n v="33"/>
    <x v="1"/>
    <x v="0"/>
    <x v="2"/>
    <s v="Strengthen technical skills and practical knowledge"/>
  </r>
  <r>
    <n v="31"/>
    <x v="1"/>
    <n v="3"/>
    <n v="14"/>
    <n v="5"/>
    <n v="27.665418122937002"/>
    <x v="33"/>
    <n v="87"/>
    <n v="24"/>
    <n v="2"/>
    <n v="0"/>
    <s v="C942"/>
    <x v="1"/>
    <x v="3"/>
    <x v="1"/>
    <x v="0"/>
    <x v="0"/>
    <s v="Needs Improvement"/>
    <x v="1"/>
    <n v="49"/>
    <x v="1"/>
    <x v="1"/>
    <x v="0"/>
    <s v="Improve interview preparation and communication"/>
  </r>
  <r>
    <n v="43"/>
    <x v="0"/>
    <n v="3"/>
    <n v="7"/>
    <n v="5"/>
    <n v="50.799682455034898"/>
    <x v="73"/>
    <n v="30"/>
    <n v="88"/>
    <n v="2"/>
    <n v="0"/>
    <s v="C943"/>
    <x v="0"/>
    <x v="3"/>
    <x v="1"/>
    <x v="0"/>
    <x v="2"/>
    <s v="Strong"/>
    <x v="1"/>
    <n v="45"/>
    <x v="1"/>
    <x v="0"/>
    <x v="0"/>
    <s v="Improve interview preparation and communication"/>
  </r>
  <r>
    <n v="47"/>
    <x v="0"/>
    <n v="4"/>
    <n v="15"/>
    <n v="5"/>
    <n v="41.026805256337298"/>
    <x v="70"/>
    <n v="26"/>
    <n v="84"/>
    <n v="2"/>
    <n v="1"/>
    <s v="C944"/>
    <x v="0"/>
    <x v="1"/>
    <x v="1"/>
    <x v="1"/>
    <x v="2"/>
    <s v="Strong"/>
    <x v="0"/>
    <n v="67"/>
    <x v="0"/>
    <x v="0"/>
    <x v="2"/>
    <s v="Strengthen technical skills and practical knowledge"/>
  </r>
  <r>
    <n v="40"/>
    <x v="0"/>
    <n v="1"/>
    <n v="10"/>
    <n v="2"/>
    <n v="43.282104581220999"/>
    <x v="74"/>
    <n v="1"/>
    <n v="8"/>
    <n v="3"/>
    <n v="0"/>
    <s v="C945"/>
    <x v="0"/>
    <x v="2"/>
    <x v="1"/>
    <x v="2"/>
    <x v="2"/>
    <s v="Needs Improvement"/>
    <x v="1"/>
    <n v="44"/>
    <x v="1"/>
    <x v="2"/>
    <x v="2"/>
    <s v="Strengthen technical skills and practical knowledge"/>
  </r>
  <r>
    <n v="27"/>
    <x v="1"/>
    <n v="2"/>
    <n v="4"/>
    <n v="1"/>
    <n v="32.763249367954003"/>
    <x v="80"/>
    <n v="77"/>
    <n v="37"/>
    <n v="1"/>
    <n v="1"/>
    <s v="C946"/>
    <x v="1"/>
    <x v="0"/>
    <x v="2"/>
    <x v="2"/>
    <x v="0"/>
    <s v="Needs Improvement"/>
    <x v="0"/>
    <n v="63"/>
    <x v="0"/>
    <x v="2"/>
    <x v="1"/>
    <s v="Work on communication and personality development"/>
  </r>
  <r>
    <n v="45"/>
    <x v="0"/>
    <n v="2"/>
    <n v="6"/>
    <n v="3"/>
    <n v="3.07799241361292"/>
    <x v="85"/>
    <n v="3"/>
    <n v="21"/>
    <n v="3"/>
    <n v="0"/>
    <s v="C947"/>
    <x v="0"/>
    <x v="0"/>
    <x v="2"/>
    <x v="1"/>
    <x v="2"/>
    <s v="Needs Improvement"/>
    <x v="1"/>
    <n v="35"/>
    <x v="1"/>
    <x v="2"/>
    <x v="2"/>
    <s v="Strengthen technical skills and practical knowledge"/>
  </r>
  <r>
    <n v="47"/>
    <x v="0"/>
    <n v="2"/>
    <n v="7"/>
    <n v="2"/>
    <n v="11.339883802207201"/>
    <x v="20"/>
    <n v="12"/>
    <n v="86"/>
    <n v="3"/>
    <n v="0"/>
    <s v="C948"/>
    <x v="0"/>
    <x v="0"/>
    <x v="1"/>
    <x v="2"/>
    <x v="2"/>
    <s v="Strong"/>
    <x v="1"/>
    <n v="58"/>
    <x v="0"/>
    <x v="2"/>
    <x v="2"/>
    <s v="Strengthen technical skills and practical knowledge"/>
  </r>
  <r>
    <n v="23"/>
    <x v="1"/>
    <n v="2"/>
    <n v="15"/>
    <n v="2"/>
    <n v="47.253227822352699"/>
    <x v="23"/>
    <n v="99"/>
    <n v="48"/>
    <n v="1"/>
    <n v="1"/>
    <s v="C949"/>
    <x v="1"/>
    <x v="0"/>
    <x v="1"/>
    <x v="0"/>
    <x v="0"/>
    <s v="Needs Improvement"/>
    <x v="0"/>
    <n v="63"/>
    <x v="0"/>
    <x v="1"/>
    <x v="0"/>
    <s v="Improve interview preparation and communication"/>
  </r>
  <r>
    <n v="45"/>
    <x v="1"/>
    <n v="1"/>
    <n v="14"/>
    <n v="1"/>
    <n v="19.3056558964375"/>
    <x v="18"/>
    <n v="34"/>
    <n v="67"/>
    <n v="2"/>
    <n v="0"/>
    <s v="C950"/>
    <x v="1"/>
    <x v="2"/>
    <x v="1"/>
    <x v="1"/>
    <x v="2"/>
    <s v="Good"/>
    <x v="1"/>
    <n v="60"/>
    <x v="0"/>
    <x v="2"/>
    <x v="2"/>
    <s v="Strengthen technical skills and practical knowledge"/>
  </r>
  <r>
    <n v="27"/>
    <x v="0"/>
    <n v="3"/>
    <n v="8"/>
    <n v="4"/>
    <n v="6.1818363240397698"/>
    <x v="65"/>
    <n v="71"/>
    <n v="92"/>
    <n v="3"/>
    <n v="1"/>
    <s v="C951"/>
    <x v="0"/>
    <x v="3"/>
    <x v="1"/>
    <x v="0"/>
    <x v="1"/>
    <s v="Strong"/>
    <x v="0"/>
    <n v="55"/>
    <x v="0"/>
    <x v="0"/>
    <x v="0"/>
    <s v="Improve interview preparation and communication"/>
  </r>
  <r>
    <n v="45"/>
    <x v="0"/>
    <n v="2"/>
    <n v="2"/>
    <n v="2"/>
    <n v="36.120268293310097"/>
    <x v="17"/>
    <n v="65"/>
    <n v="14"/>
    <n v="2"/>
    <n v="0"/>
    <s v="C952"/>
    <x v="0"/>
    <x v="0"/>
    <x v="0"/>
    <x v="1"/>
    <x v="1"/>
    <s v="Needs Improvement"/>
    <x v="1"/>
    <n v="45"/>
    <x v="1"/>
    <x v="1"/>
    <x v="1"/>
    <s v="Work on communication and personality development"/>
  </r>
  <r>
    <n v="47"/>
    <x v="1"/>
    <n v="1"/>
    <n v="2"/>
    <n v="4"/>
    <n v="15.9728861967127"/>
    <x v="9"/>
    <n v="5"/>
    <n v="64"/>
    <n v="2"/>
    <n v="0"/>
    <s v="C953"/>
    <x v="1"/>
    <x v="2"/>
    <x v="0"/>
    <x v="2"/>
    <x v="2"/>
    <s v="Good"/>
    <x v="1"/>
    <n v="46"/>
    <x v="1"/>
    <x v="2"/>
    <x v="2"/>
    <s v="Strengthen technical skills and practical knowledge"/>
  </r>
  <r>
    <n v="37"/>
    <x v="1"/>
    <n v="2"/>
    <n v="3"/>
    <n v="4"/>
    <n v="14.4428456452085"/>
    <x v="48"/>
    <n v="30"/>
    <n v="53"/>
    <n v="2"/>
    <n v="0"/>
    <s v="C954"/>
    <x v="1"/>
    <x v="0"/>
    <x v="2"/>
    <x v="1"/>
    <x v="2"/>
    <s v="Good"/>
    <x v="1"/>
    <n v="44"/>
    <x v="1"/>
    <x v="2"/>
    <x v="2"/>
    <s v="Strengthen technical skills and practical knowledge"/>
  </r>
  <r>
    <n v="47"/>
    <x v="0"/>
    <n v="2"/>
    <n v="4"/>
    <n v="5"/>
    <n v="50.898872777912999"/>
    <x v="18"/>
    <n v="9"/>
    <n v="29"/>
    <n v="2"/>
    <n v="0"/>
    <s v="C955"/>
    <x v="0"/>
    <x v="0"/>
    <x v="2"/>
    <x v="1"/>
    <x v="2"/>
    <s v="Needs Improvement"/>
    <x v="1"/>
    <n v="35"/>
    <x v="1"/>
    <x v="2"/>
    <x v="2"/>
    <s v="Strengthen technical skills and practical knowledge"/>
  </r>
  <r>
    <n v="47"/>
    <x v="0"/>
    <n v="1"/>
    <n v="9"/>
    <n v="1"/>
    <n v="43.906946251332698"/>
    <x v="17"/>
    <n v="20"/>
    <n v="92"/>
    <n v="1"/>
    <n v="1"/>
    <s v="C956"/>
    <x v="0"/>
    <x v="2"/>
    <x v="1"/>
    <x v="1"/>
    <x v="2"/>
    <s v="Strong"/>
    <x v="0"/>
    <n v="55"/>
    <x v="0"/>
    <x v="0"/>
    <x v="2"/>
    <s v="Strengthen technical skills and practical knowledge"/>
  </r>
  <r>
    <n v="24"/>
    <x v="0"/>
    <n v="4"/>
    <n v="0"/>
    <n v="4"/>
    <n v="21.396890918392"/>
    <x v="100"/>
    <n v="73"/>
    <n v="19"/>
    <n v="2"/>
    <n v="0"/>
    <s v="C957"/>
    <x v="0"/>
    <x v="1"/>
    <x v="0"/>
    <x v="2"/>
    <x v="1"/>
    <s v="Needs Improvement"/>
    <x v="1"/>
    <n v="59"/>
    <x v="0"/>
    <x v="2"/>
    <x v="1"/>
    <s v="Work on communication and personality development"/>
  </r>
  <r>
    <n v="28"/>
    <x v="0"/>
    <n v="4"/>
    <n v="14"/>
    <n v="1"/>
    <n v="50.013060390824897"/>
    <x v="12"/>
    <n v="22"/>
    <n v="32"/>
    <n v="1"/>
    <n v="1"/>
    <s v="C958"/>
    <x v="0"/>
    <x v="1"/>
    <x v="1"/>
    <x v="2"/>
    <x v="2"/>
    <s v="Needs Improvement"/>
    <x v="0"/>
    <n v="61"/>
    <x v="0"/>
    <x v="2"/>
    <x v="2"/>
    <s v="Strengthen technical skills and practical knowledge"/>
  </r>
  <r>
    <n v="23"/>
    <x v="1"/>
    <n v="2"/>
    <n v="14"/>
    <n v="5"/>
    <n v="33.5056611709606"/>
    <x v="72"/>
    <n v="2"/>
    <n v="99"/>
    <n v="2"/>
    <n v="0"/>
    <s v="C959"/>
    <x v="1"/>
    <x v="0"/>
    <x v="1"/>
    <x v="2"/>
    <x v="2"/>
    <s v="Strong"/>
    <x v="1"/>
    <n v="64"/>
    <x v="0"/>
    <x v="0"/>
    <x v="2"/>
    <s v="Strengthen technical skills and practical knowledge"/>
  </r>
  <r>
    <n v="46"/>
    <x v="0"/>
    <n v="1"/>
    <n v="6"/>
    <n v="1"/>
    <n v="38.101122593988002"/>
    <x v="8"/>
    <n v="31"/>
    <n v="85"/>
    <n v="3"/>
    <n v="0"/>
    <s v="C960"/>
    <x v="0"/>
    <x v="2"/>
    <x v="2"/>
    <x v="2"/>
    <x v="2"/>
    <s v="Strong"/>
    <x v="1"/>
    <n v="59"/>
    <x v="0"/>
    <x v="0"/>
    <x v="2"/>
    <s v="Strengthen technical skills and practical knowledge"/>
  </r>
  <r>
    <n v="41"/>
    <x v="0"/>
    <n v="3"/>
    <n v="8"/>
    <n v="2"/>
    <n v="2.5756521541105699"/>
    <x v="80"/>
    <n v="19"/>
    <n v="76"/>
    <n v="2"/>
    <n v="1"/>
    <s v="C961"/>
    <x v="0"/>
    <x v="3"/>
    <x v="1"/>
    <x v="2"/>
    <x v="2"/>
    <s v="Strong"/>
    <x v="0"/>
    <n v="58"/>
    <x v="0"/>
    <x v="2"/>
    <x v="2"/>
    <s v="Strengthen technical skills and practical knowledge"/>
  </r>
  <r>
    <n v="50"/>
    <x v="1"/>
    <n v="2"/>
    <n v="7"/>
    <n v="4"/>
    <n v="7.0802629674028497"/>
    <x v="81"/>
    <n v="73"/>
    <n v="6"/>
    <n v="3"/>
    <n v="0"/>
    <s v="C962"/>
    <x v="1"/>
    <x v="0"/>
    <x v="1"/>
    <x v="1"/>
    <x v="1"/>
    <s v="Needs Improvement"/>
    <x v="1"/>
    <n v="52"/>
    <x v="0"/>
    <x v="1"/>
    <x v="1"/>
    <s v="Work on communication and personality development"/>
  </r>
  <r>
    <n v="36"/>
    <x v="0"/>
    <n v="2"/>
    <n v="14"/>
    <n v="1"/>
    <n v="32.654256324811897"/>
    <x v="97"/>
    <n v="28"/>
    <n v="7"/>
    <n v="2"/>
    <n v="0"/>
    <s v="C963"/>
    <x v="0"/>
    <x v="0"/>
    <x v="1"/>
    <x v="0"/>
    <x v="2"/>
    <s v="Needs Improvement"/>
    <x v="1"/>
    <n v="36"/>
    <x v="1"/>
    <x v="2"/>
    <x v="1"/>
    <s v="Work on communication and personality development"/>
  </r>
  <r>
    <n v="28"/>
    <x v="1"/>
    <n v="2"/>
    <n v="14"/>
    <n v="3"/>
    <n v="45.951199132474102"/>
    <x v="69"/>
    <n v="51"/>
    <n v="27"/>
    <n v="2"/>
    <n v="0"/>
    <s v="C964"/>
    <x v="1"/>
    <x v="0"/>
    <x v="1"/>
    <x v="2"/>
    <x v="1"/>
    <s v="Needs Improvement"/>
    <x v="1"/>
    <n v="61"/>
    <x v="0"/>
    <x v="2"/>
    <x v="1"/>
    <s v="Work on communication and personality development"/>
  </r>
  <r>
    <n v="20"/>
    <x v="0"/>
    <n v="2"/>
    <n v="4"/>
    <n v="1"/>
    <n v="32.187186304379701"/>
    <x v="22"/>
    <n v="45"/>
    <n v="44"/>
    <n v="2"/>
    <n v="0"/>
    <s v="C965"/>
    <x v="0"/>
    <x v="0"/>
    <x v="2"/>
    <x v="0"/>
    <x v="2"/>
    <s v="Needs Improvement"/>
    <x v="1"/>
    <n v="32"/>
    <x v="1"/>
    <x v="1"/>
    <x v="0"/>
    <s v="Improve interview preparation and communication"/>
  </r>
  <r>
    <n v="40"/>
    <x v="0"/>
    <n v="2"/>
    <n v="13"/>
    <n v="4"/>
    <n v="7.7012447159495796"/>
    <x v="36"/>
    <n v="33"/>
    <n v="72"/>
    <n v="3"/>
    <n v="0"/>
    <s v="C966"/>
    <x v="0"/>
    <x v="0"/>
    <x v="1"/>
    <x v="1"/>
    <x v="2"/>
    <s v="Good"/>
    <x v="1"/>
    <n v="59"/>
    <x v="0"/>
    <x v="0"/>
    <x v="2"/>
    <s v="Strengthen technical skills and practical knowledge"/>
  </r>
  <r>
    <n v="39"/>
    <x v="1"/>
    <n v="2"/>
    <n v="13"/>
    <n v="5"/>
    <n v="6.7880023123162303"/>
    <x v="40"/>
    <n v="100"/>
    <n v="88"/>
    <n v="2"/>
    <n v="0"/>
    <s v="C967"/>
    <x v="1"/>
    <x v="0"/>
    <x v="1"/>
    <x v="0"/>
    <x v="0"/>
    <s v="Strong"/>
    <x v="1"/>
    <n v="69"/>
    <x v="0"/>
    <x v="1"/>
    <x v="0"/>
    <s v="Improve interview preparation and communication"/>
  </r>
  <r>
    <n v="32"/>
    <x v="1"/>
    <n v="2"/>
    <n v="3"/>
    <n v="5"/>
    <n v="43.209294791204002"/>
    <x v="4"/>
    <n v="83"/>
    <n v="79"/>
    <n v="1"/>
    <n v="1"/>
    <s v="C968"/>
    <x v="1"/>
    <x v="0"/>
    <x v="2"/>
    <x v="0"/>
    <x v="0"/>
    <s v="Strong"/>
    <x v="0"/>
    <n v="53"/>
    <x v="0"/>
    <x v="1"/>
    <x v="0"/>
    <s v="Improve interview preparation and communication"/>
  </r>
  <r>
    <n v="47"/>
    <x v="0"/>
    <n v="4"/>
    <n v="11"/>
    <n v="4"/>
    <n v="7.9651169353957103"/>
    <x v="27"/>
    <n v="60"/>
    <n v="73"/>
    <n v="3"/>
    <n v="1"/>
    <s v="C969"/>
    <x v="0"/>
    <x v="1"/>
    <x v="1"/>
    <x v="2"/>
    <x v="1"/>
    <s v="Good"/>
    <x v="0"/>
    <n v="75"/>
    <x v="2"/>
    <x v="2"/>
    <x v="2"/>
    <s v="Strengthen technical skills and practical knowledge"/>
  </r>
  <r>
    <n v="35"/>
    <x v="0"/>
    <n v="2"/>
    <n v="6"/>
    <n v="2"/>
    <n v="27.011598025201199"/>
    <x v="13"/>
    <n v="71"/>
    <n v="10"/>
    <n v="2"/>
    <n v="0"/>
    <s v="C970"/>
    <x v="0"/>
    <x v="0"/>
    <x v="2"/>
    <x v="0"/>
    <x v="1"/>
    <s v="Needs Improvement"/>
    <x v="1"/>
    <n v="35"/>
    <x v="1"/>
    <x v="1"/>
    <x v="0"/>
    <s v="Improve interview preparation and communication"/>
  </r>
  <r>
    <n v="48"/>
    <x v="0"/>
    <n v="3"/>
    <n v="4"/>
    <n v="2"/>
    <n v="2.8556659981151098"/>
    <x v="96"/>
    <n v="70"/>
    <n v="30"/>
    <n v="1"/>
    <n v="1"/>
    <s v="C971"/>
    <x v="0"/>
    <x v="3"/>
    <x v="2"/>
    <x v="1"/>
    <x v="1"/>
    <s v="Needs Improvement"/>
    <x v="0"/>
    <n v="52"/>
    <x v="0"/>
    <x v="1"/>
    <x v="1"/>
    <s v="Work on communication and personality development"/>
  </r>
  <r>
    <n v="32"/>
    <x v="1"/>
    <n v="3"/>
    <n v="6"/>
    <n v="5"/>
    <n v="5.0334883695588601"/>
    <x v="60"/>
    <n v="69"/>
    <n v="11"/>
    <n v="2"/>
    <n v="1"/>
    <s v="C972"/>
    <x v="1"/>
    <x v="3"/>
    <x v="2"/>
    <x v="2"/>
    <x v="1"/>
    <s v="Needs Improvement"/>
    <x v="0"/>
    <n v="58"/>
    <x v="0"/>
    <x v="2"/>
    <x v="1"/>
    <s v="Work on communication and personality development"/>
  </r>
  <r>
    <n v="33"/>
    <x v="0"/>
    <n v="2"/>
    <n v="11"/>
    <n v="5"/>
    <n v="34.617413382143198"/>
    <x v="34"/>
    <n v="10"/>
    <n v="94"/>
    <n v="3"/>
    <n v="0"/>
    <s v="C973"/>
    <x v="0"/>
    <x v="0"/>
    <x v="1"/>
    <x v="0"/>
    <x v="2"/>
    <s v="Strong"/>
    <x v="1"/>
    <n v="40"/>
    <x v="1"/>
    <x v="0"/>
    <x v="2"/>
    <s v="Strengthen technical skills and practical knowledge"/>
  </r>
  <r>
    <n v="22"/>
    <x v="1"/>
    <n v="2"/>
    <n v="0"/>
    <n v="4"/>
    <n v="35.4590705213758"/>
    <x v="51"/>
    <n v="81"/>
    <n v="77"/>
    <n v="2"/>
    <n v="0"/>
    <s v="C974"/>
    <x v="1"/>
    <x v="0"/>
    <x v="0"/>
    <x v="0"/>
    <x v="0"/>
    <s v="Strong"/>
    <x v="1"/>
    <n v="45"/>
    <x v="1"/>
    <x v="1"/>
    <x v="0"/>
    <s v="Improve interview preparation and communication"/>
  </r>
  <r>
    <n v="48"/>
    <x v="1"/>
    <n v="2"/>
    <n v="0"/>
    <n v="2"/>
    <n v="18.073470330422101"/>
    <x v="42"/>
    <n v="92"/>
    <n v="50"/>
    <n v="2"/>
    <n v="0"/>
    <s v="C975"/>
    <x v="1"/>
    <x v="0"/>
    <x v="0"/>
    <x v="0"/>
    <x v="0"/>
    <s v="Good"/>
    <x v="1"/>
    <n v="52"/>
    <x v="0"/>
    <x v="1"/>
    <x v="0"/>
    <s v="Improve interview preparation and communication"/>
  </r>
  <r>
    <n v="25"/>
    <x v="0"/>
    <n v="2"/>
    <n v="15"/>
    <n v="5"/>
    <n v="11.7804882621522"/>
    <x v="73"/>
    <n v="88"/>
    <n v="43"/>
    <n v="3"/>
    <n v="0"/>
    <s v="C976"/>
    <x v="0"/>
    <x v="0"/>
    <x v="1"/>
    <x v="0"/>
    <x v="0"/>
    <s v="Needs Improvement"/>
    <x v="1"/>
    <n v="60"/>
    <x v="0"/>
    <x v="1"/>
    <x v="0"/>
    <s v="Improve interview preparation and communication"/>
  </r>
  <r>
    <n v="37"/>
    <x v="1"/>
    <n v="3"/>
    <n v="9"/>
    <n v="2"/>
    <n v="41.685513537865397"/>
    <x v="87"/>
    <n v="62"/>
    <n v="95"/>
    <n v="2"/>
    <n v="1"/>
    <s v="C977"/>
    <x v="1"/>
    <x v="3"/>
    <x v="1"/>
    <x v="1"/>
    <x v="1"/>
    <s v="Strong"/>
    <x v="0"/>
    <n v="68"/>
    <x v="0"/>
    <x v="0"/>
    <x v="0"/>
    <s v="Improve interview preparation and communication"/>
  </r>
  <r>
    <n v="38"/>
    <x v="0"/>
    <n v="2"/>
    <n v="13"/>
    <n v="5"/>
    <n v="11.855161473494499"/>
    <x v="14"/>
    <n v="20"/>
    <n v="49"/>
    <n v="2"/>
    <n v="0"/>
    <s v="C978"/>
    <x v="0"/>
    <x v="0"/>
    <x v="1"/>
    <x v="1"/>
    <x v="2"/>
    <s v="Needs Improvement"/>
    <x v="1"/>
    <n v="53"/>
    <x v="0"/>
    <x v="2"/>
    <x v="2"/>
    <s v="Strengthen technical skills and practical knowledge"/>
  </r>
  <r>
    <n v="24"/>
    <x v="0"/>
    <n v="4"/>
    <n v="12"/>
    <n v="1"/>
    <n v="28.101353483318899"/>
    <x v="53"/>
    <n v="2"/>
    <n v="16"/>
    <n v="1"/>
    <n v="1"/>
    <s v="C979"/>
    <x v="0"/>
    <x v="1"/>
    <x v="1"/>
    <x v="1"/>
    <x v="2"/>
    <s v="Needs Improvement"/>
    <x v="0"/>
    <n v="36"/>
    <x v="1"/>
    <x v="2"/>
    <x v="2"/>
    <s v="Strengthen technical skills and practical knowledge"/>
  </r>
  <r>
    <n v="34"/>
    <x v="0"/>
    <n v="1"/>
    <n v="2"/>
    <n v="3"/>
    <n v="49.410442043145203"/>
    <x v="76"/>
    <n v="81"/>
    <n v="34"/>
    <n v="1"/>
    <n v="0"/>
    <s v="C980"/>
    <x v="0"/>
    <x v="2"/>
    <x v="0"/>
    <x v="0"/>
    <x v="0"/>
    <s v="Needs Improvement"/>
    <x v="1"/>
    <n v="44"/>
    <x v="1"/>
    <x v="1"/>
    <x v="0"/>
    <s v="Improve interview preparation and communication"/>
  </r>
  <r>
    <n v="44"/>
    <x v="0"/>
    <n v="1"/>
    <n v="13"/>
    <n v="1"/>
    <n v="8.3926218931191894"/>
    <x v="48"/>
    <n v="87"/>
    <n v="0"/>
    <n v="2"/>
    <n v="0"/>
    <s v="C981"/>
    <x v="0"/>
    <x v="2"/>
    <x v="1"/>
    <x v="1"/>
    <x v="0"/>
    <s v="Needs Improvement"/>
    <x v="1"/>
    <n v="61"/>
    <x v="0"/>
    <x v="1"/>
    <x v="1"/>
    <s v="Work on communication and personality development"/>
  </r>
  <r>
    <n v="21"/>
    <x v="0"/>
    <n v="2"/>
    <n v="10"/>
    <n v="5"/>
    <n v="48.0438133747354"/>
    <x v="58"/>
    <n v="9"/>
    <n v="28"/>
    <n v="3"/>
    <n v="0"/>
    <s v="C982"/>
    <x v="0"/>
    <x v="0"/>
    <x v="1"/>
    <x v="0"/>
    <x v="2"/>
    <s v="Needs Improvement"/>
    <x v="1"/>
    <n v="26"/>
    <x v="1"/>
    <x v="0"/>
    <x v="2"/>
    <s v="Strengthen technical skills and practical knowledge"/>
  </r>
  <r>
    <n v="29"/>
    <x v="1"/>
    <n v="2"/>
    <n v="1"/>
    <n v="3"/>
    <n v="10.144652653433401"/>
    <x v="94"/>
    <n v="26"/>
    <n v="50"/>
    <n v="1"/>
    <n v="0"/>
    <s v="C983"/>
    <x v="1"/>
    <x v="0"/>
    <x v="0"/>
    <x v="2"/>
    <x v="2"/>
    <s v="Good"/>
    <x v="1"/>
    <n v="50"/>
    <x v="0"/>
    <x v="2"/>
    <x v="2"/>
    <s v="Strengthen technical skills and practical knowledge"/>
  </r>
  <r>
    <n v="43"/>
    <x v="1"/>
    <n v="2"/>
    <n v="1"/>
    <n v="3"/>
    <n v="29.372160401161398"/>
    <x v="39"/>
    <n v="11"/>
    <n v="63"/>
    <n v="2"/>
    <n v="0"/>
    <s v="C984"/>
    <x v="1"/>
    <x v="0"/>
    <x v="0"/>
    <x v="0"/>
    <x v="2"/>
    <s v="Good"/>
    <x v="1"/>
    <n v="32"/>
    <x v="1"/>
    <x v="0"/>
    <x v="2"/>
    <s v="Strengthen technical skills and practical knowledge"/>
  </r>
  <r>
    <n v="49"/>
    <x v="0"/>
    <n v="2"/>
    <n v="6"/>
    <n v="5"/>
    <n v="19.850385597937201"/>
    <x v="51"/>
    <n v="6"/>
    <n v="3"/>
    <n v="1"/>
    <n v="0"/>
    <s v="C985"/>
    <x v="0"/>
    <x v="0"/>
    <x v="2"/>
    <x v="0"/>
    <x v="2"/>
    <s v="Needs Improvement"/>
    <x v="1"/>
    <n v="14"/>
    <x v="1"/>
    <x v="2"/>
    <x v="1"/>
    <s v="Work on communication and personality development"/>
  </r>
  <r>
    <n v="37"/>
    <x v="0"/>
    <n v="2"/>
    <n v="11"/>
    <n v="5"/>
    <n v="49.246430075091297"/>
    <x v="17"/>
    <n v="16"/>
    <n v="86"/>
    <n v="2"/>
    <n v="0"/>
    <s v="C986"/>
    <x v="0"/>
    <x v="0"/>
    <x v="1"/>
    <x v="1"/>
    <x v="2"/>
    <s v="Strong"/>
    <x v="1"/>
    <n v="54"/>
    <x v="0"/>
    <x v="0"/>
    <x v="2"/>
    <s v="Strengthen technical skills and practical knowledge"/>
  </r>
  <r>
    <n v="46"/>
    <x v="1"/>
    <n v="1"/>
    <n v="9"/>
    <n v="2"/>
    <n v="14.677101450096799"/>
    <x v="25"/>
    <n v="64"/>
    <n v="27"/>
    <n v="1"/>
    <n v="1"/>
    <s v="C987"/>
    <x v="1"/>
    <x v="2"/>
    <x v="1"/>
    <x v="2"/>
    <x v="1"/>
    <s v="Needs Improvement"/>
    <x v="0"/>
    <n v="66"/>
    <x v="0"/>
    <x v="2"/>
    <x v="1"/>
    <s v="Work on communication and personality development"/>
  </r>
  <r>
    <n v="32"/>
    <x v="1"/>
    <n v="4"/>
    <n v="1"/>
    <n v="5"/>
    <n v="20.982900104287602"/>
    <x v="9"/>
    <n v="63"/>
    <n v="15"/>
    <n v="1"/>
    <n v="1"/>
    <s v="C988"/>
    <x v="1"/>
    <x v="1"/>
    <x v="0"/>
    <x v="2"/>
    <x v="1"/>
    <s v="Needs Improvement"/>
    <x v="0"/>
    <n v="56"/>
    <x v="0"/>
    <x v="2"/>
    <x v="1"/>
    <s v="Work on communication and personality development"/>
  </r>
  <r>
    <n v="24"/>
    <x v="1"/>
    <n v="2"/>
    <n v="10"/>
    <n v="4"/>
    <n v="50.143005892771001"/>
    <x v="55"/>
    <n v="25"/>
    <n v="62"/>
    <n v="1"/>
    <n v="1"/>
    <s v="C989"/>
    <x v="1"/>
    <x v="0"/>
    <x v="1"/>
    <x v="2"/>
    <x v="2"/>
    <s v="Good"/>
    <x v="0"/>
    <n v="57"/>
    <x v="0"/>
    <x v="2"/>
    <x v="2"/>
    <s v="Strengthen technical skills and practical knowledge"/>
  </r>
  <r>
    <n v="42"/>
    <x v="1"/>
    <n v="3"/>
    <n v="3"/>
    <n v="5"/>
    <n v="27.823519559423602"/>
    <x v="90"/>
    <n v="14"/>
    <n v="75"/>
    <n v="2"/>
    <n v="0"/>
    <s v="C990"/>
    <x v="1"/>
    <x v="3"/>
    <x v="2"/>
    <x v="0"/>
    <x v="2"/>
    <s v="Strong"/>
    <x v="1"/>
    <n v="40"/>
    <x v="1"/>
    <x v="0"/>
    <x v="2"/>
    <s v="Strengthen technical skills and practical knowledge"/>
  </r>
  <r>
    <n v="43"/>
    <x v="0"/>
    <n v="3"/>
    <n v="1"/>
    <n v="4"/>
    <n v="26.1315057810626"/>
    <x v="88"/>
    <n v="32"/>
    <n v="52"/>
    <n v="2"/>
    <n v="0"/>
    <s v="C991"/>
    <x v="0"/>
    <x v="3"/>
    <x v="0"/>
    <x v="0"/>
    <x v="2"/>
    <s v="Good"/>
    <x v="1"/>
    <n v="36"/>
    <x v="1"/>
    <x v="0"/>
    <x v="2"/>
    <s v="Strengthen technical skills and practical knowledge"/>
  </r>
  <r>
    <n v="20"/>
    <x v="0"/>
    <n v="4"/>
    <n v="5"/>
    <n v="5"/>
    <n v="13.8889244101995"/>
    <x v="43"/>
    <n v="61"/>
    <n v="84"/>
    <n v="1"/>
    <n v="1"/>
    <s v="C992"/>
    <x v="0"/>
    <x v="1"/>
    <x v="2"/>
    <x v="1"/>
    <x v="1"/>
    <s v="Strong"/>
    <x v="0"/>
    <n v="66"/>
    <x v="0"/>
    <x v="0"/>
    <x v="2"/>
    <s v="Strengthen technical skills and practical knowledge"/>
  </r>
  <r>
    <n v="41"/>
    <x v="1"/>
    <n v="1"/>
    <n v="7"/>
    <n v="2"/>
    <n v="36.068178015522001"/>
    <x v="83"/>
    <n v="100"/>
    <n v="16"/>
    <n v="3"/>
    <n v="0"/>
    <s v="C993"/>
    <x v="1"/>
    <x v="2"/>
    <x v="1"/>
    <x v="2"/>
    <x v="0"/>
    <s v="Needs Improvement"/>
    <x v="1"/>
    <n v="65"/>
    <x v="0"/>
    <x v="1"/>
    <x v="1"/>
    <s v="Work on communication and personality development"/>
  </r>
  <r>
    <n v="20"/>
    <x v="0"/>
    <n v="3"/>
    <n v="9"/>
    <n v="4"/>
    <n v="1.7186475888888799"/>
    <x v="59"/>
    <n v="46"/>
    <n v="39"/>
    <n v="1"/>
    <n v="1"/>
    <s v="C994"/>
    <x v="0"/>
    <x v="3"/>
    <x v="1"/>
    <x v="1"/>
    <x v="2"/>
    <s v="Needs Improvement"/>
    <x v="0"/>
    <n v="50"/>
    <x v="0"/>
    <x v="2"/>
    <x v="1"/>
    <s v="Work on communication and personality development"/>
  </r>
  <r>
    <n v="37"/>
    <x v="1"/>
    <n v="2"/>
    <n v="15"/>
    <n v="1"/>
    <n v="3.4756314851146701"/>
    <x v="56"/>
    <n v="94"/>
    <n v="12"/>
    <n v="2"/>
    <n v="0"/>
    <s v="C995"/>
    <x v="1"/>
    <x v="0"/>
    <x v="1"/>
    <x v="2"/>
    <x v="0"/>
    <s v="Needs Improvement"/>
    <x v="1"/>
    <n v="71"/>
    <x v="0"/>
    <x v="1"/>
    <x v="1"/>
    <s v="Work on communication and personality development"/>
  </r>
  <r>
    <n v="34"/>
    <x v="0"/>
    <n v="2"/>
    <n v="3"/>
    <n v="4"/>
    <n v="30.967929356790101"/>
    <x v="39"/>
    <n v="34"/>
    <n v="51"/>
    <n v="3"/>
    <n v="0"/>
    <s v="C996"/>
    <x v="0"/>
    <x v="0"/>
    <x v="2"/>
    <x v="0"/>
    <x v="2"/>
    <s v="Good"/>
    <x v="1"/>
    <n v="39"/>
    <x v="1"/>
    <x v="0"/>
    <x v="2"/>
    <s v="Strengthen technical skills and practical knowledge"/>
  </r>
  <r>
    <n v="36"/>
    <x v="1"/>
    <n v="2"/>
    <n v="14"/>
    <n v="2"/>
    <n v="18.083728690922701"/>
    <x v="70"/>
    <n v="64"/>
    <n v="57"/>
    <n v="2"/>
    <n v="0"/>
    <s v="C997"/>
    <x v="1"/>
    <x v="0"/>
    <x v="1"/>
    <x v="1"/>
    <x v="1"/>
    <s v="Good"/>
    <x v="1"/>
    <n v="69"/>
    <x v="0"/>
    <x v="2"/>
    <x v="1"/>
    <s v="Work on communication and personality development"/>
  </r>
  <r>
    <n v="30"/>
    <x v="0"/>
    <n v="3"/>
    <n v="4"/>
    <n v="4"/>
    <n v="48.665818610047999"/>
    <x v="95"/>
    <n v="71"/>
    <n v="95"/>
    <n v="2"/>
    <n v="0"/>
    <s v="C998"/>
    <x v="0"/>
    <x v="3"/>
    <x v="2"/>
    <x v="1"/>
    <x v="1"/>
    <s v="Strong"/>
    <x v="1"/>
    <n v="64"/>
    <x v="0"/>
    <x v="0"/>
    <x v="0"/>
    <s v="Improve interview preparation and communication"/>
  </r>
  <r>
    <n v="40"/>
    <x v="1"/>
    <n v="2"/>
    <n v="3"/>
    <n v="5"/>
    <n v="46.159534536139198"/>
    <x v="92"/>
    <n v="75"/>
    <n v="36"/>
    <n v="1"/>
    <n v="0"/>
    <s v="C999"/>
    <x v="1"/>
    <x v="0"/>
    <x v="2"/>
    <x v="0"/>
    <x v="0"/>
    <s v="Needs Improvement"/>
    <x v="1"/>
    <n v="41"/>
    <x v="1"/>
    <x v="1"/>
    <x v="0"/>
    <s v="Improve interview preparation and communication"/>
  </r>
  <r>
    <n v="45"/>
    <x v="1"/>
    <n v="3"/>
    <n v="2"/>
    <n v="5"/>
    <n v="36.685312933835299"/>
    <x v="69"/>
    <n v="82"/>
    <n v="78"/>
    <n v="2"/>
    <n v="1"/>
    <s v="C1000"/>
    <x v="1"/>
    <x v="3"/>
    <x v="0"/>
    <x v="2"/>
    <x v="0"/>
    <s v="Strong"/>
    <x v="0"/>
    <n v="69"/>
    <x v="0"/>
    <x v="1"/>
    <x v="0"/>
    <s v="Improve interview preparation and communication"/>
  </r>
  <r>
    <n v="50"/>
    <x v="0"/>
    <n v="2"/>
    <n v="4"/>
    <n v="2"/>
    <n v="41.907279056390003"/>
    <x v="31"/>
    <n v="24"/>
    <n v="75"/>
    <n v="2"/>
    <n v="0"/>
    <s v="C1001"/>
    <x v="0"/>
    <x v="0"/>
    <x v="2"/>
    <x v="0"/>
    <x v="2"/>
    <s v="Strong"/>
    <x v="1"/>
    <n v="38"/>
    <x v="1"/>
    <x v="0"/>
    <x v="2"/>
    <s v="Strengthen technical skills and practical knowledge"/>
  </r>
  <r>
    <n v="44"/>
    <x v="1"/>
    <n v="3"/>
    <n v="13"/>
    <n v="3"/>
    <n v="34.366592483384601"/>
    <x v="7"/>
    <n v="56"/>
    <n v="60"/>
    <n v="3"/>
    <n v="0"/>
    <s v="C1002"/>
    <x v="1"/>
    <x v="3"/>
    <x v="1"/>
    <x v="0"/>
    <x v="1"/>
    <s v="Good"/>
    <x v="1"/>
    <n v="47"/>
    <x v="1"/>
    <x v="0"/>
    <x v="0"/>
    <s v="Improve interview preparation and communication"/>
  </r>
  <r>
    <n v="41"/>
    <x v="0"/>
    <n v="4"/>
    <n v="8"/>
    <n v="5"/>
    <n v="7.2791051355080301"/>
    <x v="46"/>
    <n v="31"/>
    <n v="78"/>
    <n v="1"/>
    <n v="1"/>
    <s v="C1003"/>
    <x v="0"/>
    <x v="1"/>
    <x v="1"/>
    <x v="1"/>
    <x v="2"/>
    <s v="Strong"/>
    <x v="0"/>
    <n v="55"/>
    <x v="0"/>
    <x v="0"/>
    <x v="2"/>
    <s v="Strengthen technical skills and practical knowledge"/>
  </r>
  <r>
    <n v="46"/>
    <x v="0"/>
    <n v="2"/>
    <n v="7"/>
    <n v="1"/>
    <n v="39.277168484460098"/>
    <x v="51"/>
    <n v="62"/>
    <n v="33"/>
    <n v="2"/>
    <n v="0"/>
    <s v="C1004"/>
    <x v="0"/>
    <x v="0"/>
    <x v="1"/>
    <x v="0"/>
    <x v="1"/>
    <s v="Needs Improvement"/>
    <x v="1"/>
    <n v="37"/>
    <x v="1"/>
    <x v="1"/>
    <x v="0"/>
    <s v="Improve interview preparation and communication"/>
  </r>
  <r>
    <n v="46"/>
    <x v="1"/>
    <n v="4"/>
    <n v="7"/>
    <n v="2"/>
    <n v="11.5095984359423"/>
    <x v="51"/>
    <n v="11"/>
    <n v="69"/>
    <n v="2"/>
    <n v="0"/>
    <s v="C1005"/>
    <x v="1"/>
    <x v="1"/>
    <x v="1"/>
    <x v="0"/>
    <x v="2"/>
    <s v="Good"/>
    <x v="1"/>
    <n v="32"/>
    <x v="1"/>
    <x v="0"/>
    <x v="0"/>
    <s v="Improve interview preparation and communication"/>
  </r>
  <r>
    <n v="36"/>
    <x v="0"/>
    <n v="1"/>
    <n v="7"/>
    <n v="4"/>
    <n v="17.172142755009801"/>
    <x v="26"/>
    <n v="62"/>
    <n v="16"/>
    <n v="3"/>
    <n v="0"/>
    <s v="C1006"/>
    <x v="0"/>
    <x v="2"/>
    <x v="1"/>
    <x v="0"/>
    <x v="1"/>
    <s v="Needs Improvement"/>
    <x v="1"/>
    <n v="43"/>
    <x v="1"/>
    <x v="1"/>
    <x v="1"/>
    <s v="Work on communication and personality development"/>
  </r>
  <r>
    <n v="32"/>
    <x v="0"/>
    <n v="1"/>
    <n v="11"/>
    <n v="4"/>
    <n v="41.961710605120999"/>
    <x v="76"/>
    <n v="76"/>
    <n v="19"/>
    <n v="1"/>
    <n v="1"/>
    <s v="C1007"/>
    <x v="0"/>
    <x v="2"/>
    <x v="1"/>
    <x v="0"/>
    <x v="0"/>
    <s v="Needs Improvement"/>
    <x v="0"/>
    <n v="48"/>
    <x v="1"/>
    <x v="1"/>
    <x v="1"/>
    <s v="Work on communication and personality development"/>
  </r>
  <r>
    <n v="20"/>
    <x v="0"/>
    <n v="1"/>
    <n v="7"/>
    <n v="1"/>
    <n v="27.826280419672401"/>
    <x v="47"/>
    <n v="91"/>
    <n v="72"/>
    <n v="3"/>
    <n v="0"/>
    <s v="C1008"/>
    <x v="0"/>
    <x v="2"/>
    <x v="1"/>
    <x v="0"/>
    <x v="0"/>
    <s v="Good"/>
    <x v="1"/>
    <n v="60"/>
    <x v="0"/>
    <x v="1"/>
    <x v="0"/>
    <s v="Improve interview preparation and communication"/>
  </r>
  <r>
    <n v="21"/>
    <x v="0"/>
    <n v="2"/>
    <n v="6"/>
    <n v="5"/>
    <n v="43.997035709170397"/>
    <x v="3"/>
    <n v="0"/>
    <n v="58"/>
    <n v="2"/>
    <n v="0"/>
    <s v="C1009"/>
    <x v="0"/>
    <x v="0"/>
    <x v="2"/>
    <x v="0"/>
    <x v="2"/>
    <s v="Good"/>
    <x v="1"/>
    <n v="31"/>
    <x v="1"/>
    <x v="0"/>
    <x v="2"/>
    <s v="Strengthen technical skills and practical knowledge"/>
  </r>
  <r>
    <n v="28"/>
    <x v="0"/>
    <n v="2"/>
    <n v="7"/>
    <n v="2"/>
    <n v="11.651765992163201"/>
    <x v="54"/>
    <n v="50"/>
    <n v="68"/>
    <n v="2"/>
    <n v="0"/>
    <s v="C1010"/>
    <x v="0"/>
    <x v="0"/>
    <x v="1"/>
    <x v="1"/>
    <x v="1"/>
    <s v="Good"/>
    <x v="1"/>
    <n v="58"/>
    <x v="0"/>
    <x v="0"/>
    <x v="2"/>
    <s v="Strengthen technical skills and practical knowledge"/>
  </r>
  <r>
    <n v="22"/>
    <x v="1"/>
    <n v="1"/>
    <n v="10"/>
    <n v="1"/>
    <n v="31.388921930344299"/>
    <x v="77"/>
    <n v="69"/>
    <n v="86"/>
    <n v="1"/>
    <n v="1"/>
    <s v="C1011"/>
    <x v="1"/>
    <x v="2"/>
    <x v="1"/>
    <x v="0"/>
    <x v="1"/>
    <s v="Strong"/>
    <x v="0"/>
    <n v="63"/>
    <x v="0"/>
    <x v="0"/>
    <x v="0"/>
    <s v="Improve interview preparation and communication"/>
  </r>
  <r>
    <n v="50"/>
    <x v="0"/>
    <n v="1"/>
    <n v="13"/>
    <n v="5"/>
    <n v="5.18954862741308"/>
    <x v="69"/>
    <n v="7"/>
    <n v="32"/>
    <n v="2"/>
    <n v="0"/>
    <s v="C1012"/>
    <x v="0"/>
    <x v="2"/>
    <x v="1"/>
    <x v="2"/>
    <x v="2"/>
    <s v="Needs Improvement"/>
    <x v="1"/>
    <n v="47"/>
    <x v="1"/>
    <x v="2"/>
    <x v="2"/>
    <s v="Strengthen technical skills and practical knowledge"/>
  </r>
  <r>
    <n v="20"/>
    <x v="0"/>
    <n v="4"/>
    <n v="15"/>
    <n v="2"/>
    <n v="33.153049677001398"/>
    <x v="79"/>
    <n v="67"/>
    <n v="77"/>
    <n v="2"/>
    <n v="1"/>
    <s v="C1013"/>
    <x v="0"/>
    <x v="1"/>
    <x v="1"/>
    <x v="2"/>
    <x v="1"/>
    <s v="Strong"/>
    <x v="0"/>
    <n v="81"/>
    <x v="2"/>
    <x v="2"/>
    <x v="2"/>
    <s v="Strengthen technical skills and practical knowledge"/>
  </r>
  <r>
    <n v="40"/>
    <x v="0"/>
    <n v="3"/>
    <n v="7"/>
    <n v="4"/>
    <n v="39.126701888776701"/>
    <x v="53"/>
    <n v="4"/>
    <n v="16"/>
    <n v="2"/>
    <n v="0"/>
    <s v="C1014"/>
    <x v="0"/>
    <x v="3"/>
    <x v="1"/>
    <x v="1"/>
    <x v="2"/>
    <s v="Needs Improvement"/>
    <x v="1"/>
    <n v="30"/>
    <x v="1"/>
    <x v="2"/>
    <x v="2"/>
    <s v="Strengthen technical skills and practical knowledge"/>
  </r>
  <r>
    <n v="35"/>
    <x v="0"/>
    <n v="3"/>
    <n v="12"/>
    <n v="2"/>
    <n v="30.246544698935999"/>
    <x v="25"/>
    <n v="88"/>
    <n v="56"/>
    <n v="1"/>
    <n v="1"/>
    <s v="C1015"/>
    <x v="0"/>
    <x v="3"/>
    <x v="1"/>
    <x v="2"/>
    <x v="0"/>
    <s v="Good"/>
    <x v="0"/>
    <n v="83"/>
    <x v="2"/>
    <x v="2"/>
    <x v="1"/>
    <s v="Work on communication and personality development"/>
  </r>
  <r>
    <n v="42"/>
    <x v="0"/>
    <n v="3"/>
    <n v="13"/>
    <n v="3"/>
    <n v="14.3115750749405"/>
    <x v="66"/>
    <n v="85"/>
    <n v="82"/>
    <n v="1"/>
    <n v="1"/>
    <s v="C1016"/>
    <x v="0"/>
    <x v="3"/>
    <x v="1"/>
    <x v="1"/>
    <x v="0"/>
    <s v="Strong"/>
    <x v="0"/>
    <n v="75"/>
    <x v="2"/>
    <x v="1"/>
    <x v="0"/>
    <s v="Improve interview preparation and communication"/>
  </r>
  <r>
    <n v="25"/>
    <x v="1"/>
    <n v="3"/>
    <n v="7"/>
    <n v="2"/>
    <n v="2.5671334429433301"/>
    <x v="83"/>
    <n v="91"/>
    <n v="96"/>
    <n v="3"/>
    <n v="1"/>
    <s v="C1017"/>
    <x v="1"/>
    <x v="3"/>
    <x v="1"/>
    <x v="2"/>
    <x v="0"/>
    <s v="Strong"/>
    <x v="0"/>
    <n v="80"/>
    <x v="2"/>
    <x v="0"/>
    <x v="0"/>
    <s v="Improve interview preparation and communication"/>
  </r>
  <r>
    <n v="47"/>
    <x v="0"/>
    <n v="1"/>
    <n v="11"/>
    <n v="3"/>
    <n v="6.97244419821428"/>
    <x v="18"/>
    <n v="38"/>
    <n v="0"/>
    <n v="3"/>
    <n v="0"/>
    <s v="C1018"/>
    <x v="0"/>
    <x v="2"/>
    <x v="1"/>
    <x v="1"/>
    <x v="2"/>
    <s v="Needs Improvement"/>
    <x v="1"/>
    <n v="45"/>
    <x v="1"/>
    <x v="2"/>
    <x v="1"/>
    <s v="Work on communication and personality development"/>
  </r>
  <r>
    <n v="36"/>
    <x v="1"/>
    <n v="2"/>
    <n v="9"/>
    <n v="2"/>
    <n v="32.115148953701301"/>
    <x v="98"/>
    <n v="22"/>
    <n v="12"/>
    <n v="2"/>
    <n v="0"/>
    <s v="C1019"/>
    <x v="1"/>
    <x v="0"/>
    <x v="1"/>
    <x v="0"/>
    <x v="2"/>
    <s v="Needs Improvement"/>
    <x v="1"/>
    <n v="23"/>
    <x v="1"/>
    <x v="1"/>
    <x v="0"/>
    <s v="Improve interview preparation and communication"/>
  </r>
  <r>
    <n v="24"/>
    <x v="1"/>
    <n v="3"/>
    <n v="6"/>
    <n v="3"/>
    <n v="47.721010842125601"/>
    <x v="20"/>
    <n v="67"/>
    <n v="26"/>
    <n v="1"/>
    <n v="1"/>
    <s v="C1020"/>
    <x v="1"/>
    <x v="3"/>
    <x v="2"/>
    <x v="2"/>
    <x v="1"/>
    <s v="Needs Improvement"/>
    <x v="0"/>
    <n v="62"/>
    <x v="0"/>
    <x v="2"/>
    <x v="1"/>
    <s v="Work on communication and personality development"/>
  </r>
  <r>
    <n v="50"/>
    <x v="1"/>
    <n v="2"/>
    <n v="11"/>
    <n v="4"/>
    <n v="11.326720198600301"/>
    <x v="23"/>
    <n v="51"/>
    <n v="69"/>
    <n v="2"/>
    <n v="0"/>
    <s v="C1021"/>
    <x v="1"/>
    <x v="0"/>
    <x v="1"/>
    <x v="0"/>
    <x v="1"/>
    <s v="Good"/>
    <x v="1"/>
    <n v="49"/>
    <x v="1"/>
    <x v="0"/>
    <x v="0"/>
    <s v="Improve interview preparation and communication"/>
  </r>
  <r>
    <n v="24"/>
    <x v="1"/>
    <n v="2"/>
    <n v="0"/>
    <n v="5"/>
    <n v="37.751307455254903"/>
    <x v="17"/>
    <n v="3"/>
    <n v="58"/>
    <n v="2"/>
    <n v="0"/>
    <s v="C1022"/>
    <x v="1"/>
    <x v="0"/>
    <x v="0"/>
    <x v="1"/>
    <x v="2"/>
    <s v="Good"/>
    <x v="1"/>
    <n v="34"/>
    <x v="1"/>
    <x v="2"/>
    <x v="2"/>
    <s v="Strengthen technical skills and practical knowledge"/>
  </r>
  <r>
    <n v="25"/>
    <x v="0"/>
    <n v="1"/>
    <n v="3"/>
    <n v="3"/>
    <n v="44.322553162452003"/>
    <x v="44"/>
    <n v="46"/>
    <n v="5"/>
    <n v="3"/>
    <n v="0"/>
    <s v="C1023"/>
    <x v="0"/>
    <x v="2"/>
    <x v="2"/>
    <x v="1"/>
    <x v="2"/>
    <s v="Needs Improvement"/>
    <x v="1"/>
    <n v="38"/>
    <x v="1"/>
    <x v="2"/>
    <x v="1"/>
    <s v="Work on communication and personality development"/>
  </r>
  <r>
    <n v="22"/>
    <x v="1"/>
    <n v="2"/>
    <n v="12"/>
    <n v="3"/>
    <n v="27.0441089223755"/>
    <x v="78"/>
    <n v="20"/>
    <n v="96"/>
    <n v="2"/>
    <n v="0"/>
    <s v="C1024"/>
    <x v="1"/>
    <x v="0"/>
    <x v="1"/>
    <x v="0"/>
    <x v="2"/>
    <s v="Strong"/>
    <x v="1"/>
    <n v="51"/>
    <x v="0"/>
    <x v="0"/>
    <x v="2"/>
    <s v="Strengthen technical skills and practical knowledge"/>
  </r>
  <r>
    <n v="40"/>
    <x v="1"/>
    <n v="2"/>
    <n v="12"/>
    <n v="4"/>
    <n v="34.463289792182799"/>
    <x v="39"/>
    <n v="100"/>
    <n v="93"/>
    <n v="3"/>
    <n v="0"/>
    <s v="C1025"/>
    <x v="1"/>
    <x v="0"/>
    <x v="1"/>
    <x v="0"/>
    <x v="0"/>
    <s v="Strong"/>
    <x v="1"/>
    <n v="76"/>
    <x v="2"/>
    <x v="1"/>
    <x v="0"/>
    <s v="Improve interview preparation and communication"/>
  </r>
  <r>
    <n v="42"/>
    <x v="0"/>
    <n v="2"/>
    <n v="15"/>
    <n v="3"/>
    <n v="41.750765833807399"/>
    <x v="60"/>
    <n v="55"/>
    <n v="98"/>
    <n v="3"/>
    <n v="1"/>
    <s v="C1026"/>
    <x v="0"/>
    <x v="0"/>
    <x v="1"/>
    <x v="2"/>
    <x v="1"/>
    <s v="Strong"/>
    <x v="0"/>
    <n v="79"/>
    <x v="2"/>
    <x v="0"/>
    <x v="2"/>
    <s v="Strengthen technical skills and practical knowledge"/>
  </r>
  <r>
    <n v="24"/>
    <x v="0"/>
    <n v="2"/>
    <n v="3"/>
    <n v="1"/>
    <n v="14.0337578870296"/>
    <x v="4"/>
    <n v="65"/>
    <n v="22"/>
    <n v="3"/>
    <n v="0"/>
    <s v="C1027"/>
    <x v="0"/>
    <x v="0"/>
    <x v="2"/>
    <x v="0"/>
    <x v="1"/>
    <s v="Needs Improvement"/>
    <x v="1"/>
    <n v="36"/>
    <x v="1"/>
    <x v="1"/>
    <x v="1"/>
    <s v="Work on communication and personality development"/>
  </r>
  <r>
    <n v="40"/>
    <x v="0"/>
    <n v="2"/>
    <n v="4"/>
    <n v="4"/>
    <n v="15.8447837134021"/>
    <x v="86"/>
    <n v="58"/>
    <n v="9"/>
    <n v="1"/>
    <n v="0"/>
    <s v="C1028"/>
    <x v="0"/>
    <x v="0"/>
    <x v="2"/>
    <x v="1"/>
    <x v="1"/>
    <s v="Needs Improvement"/>
    <x v="1"/>
    <n v="41"/>
    <x v="1"/>
    <x v="1"/>
    <x v="1"/>
    <s v="Work on communication and personality development"/>
  </r>
  <r>
    <n v="24"/>
    <x v="1"/>
    <n v="1"/>
    <n v="9"/>
    <n v="1"/>
    <n v="1.0313758314228001"/>
    <x v="46"/>
    <n v="6"/>
    <n v="50"/>
    <n v="1"/>
    <n v="0"/>
    <s v="C1029"/>
    <x v="1"/>
    <x v="2"/>
    <x v="1"/>
    <x v="1"/>
    <x v="2"/>
    <s v="Good"/>
    <x v="1"/>
    <n v="40"/>
    <x v="1"/>
    <x v="2"/>
    <x v="2"/>
    <s v="Strengthen technical skills and practical knowledge"/>
  </r>
  <r>
    <n v="29"/>
    <x v="0"/>
    <n v="1"/>
    <n v="5"/>
    <n v="4"/>
    <n v="49.154706544890097"/>
    <x v="72"/>
    <n v="48"/>
    <n v="18"/>
    <n v="2"/>
    <n v="0"/>
    <s v="C1030"/>
    <x v="0"/>
    <x v="2"/>
    <x v="2"/>
    <x v="2"/>
    <x v="2"/>
    <s v="Needs Improvement"/>
    <x v="1"/>
    <n v="52"/>
    <x v="0"/>
    <x v="2"/>
    <x v="1"/>
    <s v="Work on communication and personality development"/>
  </r>
  <r>
    <n v="29"/>
    <x v="0"/>
    <n v="3"/>
    <n v="3"/>
    <n v="3"/>
    <n v="46.8772447298172"/>
    <x v="10"/>
    <n v="15"/>
    <n v="50"/>
    <n v="2"/>
    <n v="0"/>
    <s v="C1031"/>
    <x v="0"/>
    <x v="3"/>
    <x v="2"/>
    <x v="2"/>
    <x v="2"/>
    <s v="Good"/>
    <x v="1"/>
    <n v="49"/>
    <x v="1"/>
    <x v="2"/>
    <x v="2"/>
    <s v="Strengthen technical skills and practical knowledge"/>
  </r>
  <r>
    <n v="38"/>
    <x v="1"/>
    <n v="2"/>
    <n v="14"/>
    <n v="1"/>
    <n v="39.228413187971498"/>
    <x v="64"/>
    <n v="16"/>
    <n v="91"/>
    <n v="1"/>
    <n v="1"/>
    <s v="C1032"/>
    <x v="1"/>
    <x v="0"/>
    <x v="1"/>
    <x v="0"/>
    <x v="2"/>
    <s v="Strong"/>
    <x v="0"/>
    <n v="49"/>
    <x v="1"/>
    <x v="0"/>
    <x v="2"/>
    <s v="Strengthen technical skills and practical knowledge"/>
  </r>
  <r>
    <n v="36"/>
    <x v="0"/>
    <n v="1"/>
    <n v="1"/>
    <n v="3"/>
    <n v="4.9538010488323998"/>
    <x v="37"/>
    <n v="83"/>
    <n v="86"/>
    <n v="1"/>
    <n v="1"/>
    <s v="C1033"/>
    <x v="0"/>
    <x v="2"/>
    <x v="0"/>
    <x v="0"/>
    <x v="0"/>
    <s v="Strong"/>
    <x v="0"/>
    <n v="50"/>
    <x v="0"/>
    <x v="0"/>
    <x v="0"/>
    <s v="Improve interview preparation and communication"/>
  </r>
  <r>
    <n v="40"/>
    <x v="0"/>
    <n v="3"/>
    <n v="15"/>
    <n v="4"/>
    <n v="23.375144484975401"/>
    <x v="71"/>
    <n v="86"/>
    <n v="67"/>
    <n v="2"/>
    <n v="1"/>
    <s v="C1034"/>
    <x v="0"/>
    <x v="3"/>
    <x v="1"/>
    <x v="0"/>
    <x v="0"/>
    <s v="Good"/>
    <x v="0"/>
    <n v="64"/>
    <x v="0"/>
    <x v="1"/>
    <x v="0"/>
    <s v="Improve interview preparation and communication"/>
  </r>
  <r>
    <n v="33"/>
    <x v="0"/>
    <n v="2"/>
    <n v="5"/>
    <n v="3"/>
    <n v="6.0945876985776399"/>
    <x v="21"/>
    <n v="97"/>
    <n v="83"/>
    <n v="2"/>
    <n v="0"/>
    <s v="C1035"/>
    <x v="0"/>
    <x v="0"/>
    <x v="2"/>
    <x v="1"/>
    <x v="0"/>
    <s v="Strong"/>
    <x v="1"/>
    <n v="70"/>
    <x v="0"/>
    <x v="1"/>
    <x v="0"/>
    <s v="Improve interview preparation and communication"/>
  </r>
  <r>
    <n v="28"/>
    <x v="0"/>
    <n v="2"/>
    <n v="14"/>
    <n v="1"/>
    <n v="1.79601336313993"/>
    <x v="32"/>
    <n v="74"/>
    <n v="82"/>
    <n v="2"/>
    <n v="0"/>
    <s v="C1036"/>
    <x v="0"/>
    <x v="0"/>
    <x v="1"/>
    <x v="1"/>
    <x v="1"/>
    <s v="Strong"/>
    <x v="1"/>
    <n v="73"/>
    <x v="0"/>
    <x v="0"/>
    <x v="0"/>
    <s v="Improve interview preparation and communication"/>
  </r>
  <r>
    <n v="33"/>
    <x v="1"/>
    <n v="1"/>
    <n v="7"/>
    <n v="1"/>
    <n v="31.809148260629801"/>
    <x v="55"/>
    <n v="33"/>
    <n v="41"/>
    <n v="2"/>
    <n v="0"/>
    <s v="C1037"/>
    <x v="1"/>
    <x v="2"/>
    <x v="1"/>
    <x v="2"/>
    <x v="2"/>
    <s v="Needs Improvement"/>
    <x v="1"/>
    <n v="52"/>
    <x v="0"/>
    <x v="2"/>
    <x v="2"/>
    <s v="Strengthen technical skills and practical knowledge"/>
  </r>
  <r>
    <n v="20"/>
    <x v="0"/>
    <n v="3"/>
    <n v="14"/>
    <n v="3"/>
    <n v="49.041470854009397"/>
    <x v="11"/>
    <n v="32"/>
    <n v="90"/>
    <n v="2"/>
    <n v="0"/>
    <s v="C1038"/>
    <x v="0"/>
    <x v="3"/>
    <x v="1"/>
    <x v="1"/>
    <x v="2"/>
    <s v="Strong"/>
    <x v="1"/>
    <n v="66"/>
    <x v="0"/>
    <x v="0"/>
    <x v="2"/>
    <s v="Strengthen technical skills and practical knowledge"/>
  </r>
  <r>
    <n v="38"/>
    <x v="0"/>
    <n v="2"/>
    <n v="7"/>
    <n v="2"/>
    <n v="46.143401171607501"/>
    <x v="72"/>
    <n v="25"/>
    <n v="56"/>
    <n v="2"/>
    <n v="0"/>
    <s v="C1039"/>
    <x v="0"/>
    <x v="0"/>
    <x v="1"/>
    <x v="2"/>
    <x v="2"/>
    <s v="Good"/>
    <x v="1"/>
    <n v="55"/>
    <x v="0"/>
    <x v="2"/>
    <x v="2"/>
    <s v="Strengthen technical skills and practical knowledge"/>
  </r>
  <r>
    <n v="32"/>
    <x v="1"/>
    <n v="2"/>
    <n v="6"/>
    <n v="4"/>
    <n v="35.837740746770201"/>
    <x v="85"/>
    <n v="65"/>
    <n v="97"/>
    <n v="1"/>
    <n v="1"/>
    <s v="C1040"/>
    <x v="1"/>
    <x v="0"/>
    <x v="2"/>
    <x v="1"/>
    <x v="1"/>
    <s v="Strong"/>
    <x v="0"/>
    <n v="69"/>
    <x v="0"/>
    <x v="0"/>
    <x v="2"/>
    <s v="Strengthen technical skills and practical knowledge"/>
  </r>
  <r>
    <n v="32"/>
    <x v="0"/>
    <n v="3"/>
    <n v="5"/>
    <n v="4"/>
    <n v="5.8320292082435703"/>
    <x v="43"/>
    <n v="62"/>
    <n v="67"/>
    <n v="2"/>
    <n v="0"/>
    <s v="C1041"/>
    <x v="0"/>
    <x v="3"/>
    <x v="2"/>
    <x v="1"/>
    <x v="1"/>
    <s v="Good"/>
    <x v="1"/>
    <n v="61"/>
    <x v="0"/>
    <x v="2"/>
    <x v="2"/>
    <s v="Strengthen technical skills and practical knowledge"/>
  </r>
  <r>
    <n v="23"/>
    <x v="1"/>
    <n v="2"/>
    <n v="1"/>
    <n v="3"/>
    <n v="14.708201883615001"/>
    <x v="47"/>
    <n v="86"/>
    <n v="37"/>
    <n v="2"/>
    <n v="0"/>
    <s v="C1042"/>
    <x v="1"/>
    <x v="0"/>
    <x v="0"/>
    <x v="0"/>
    <x v="0"/>
    <s v="Needs Improvement"/>
    <x v="1"/>
    <n v="45"/>
    <x v="1"/>
    <x v="1"/>
    <x v="0"/>
    <s v="Improve interview preparation and communication"/>
  </r>
  <r>
    <n v="49"/>
    <x v="0"/>
    <n v="2"/>
    <n v="14"/>
    <n v="2"/>
    <n v="17.002836344264502"/>
    <x v="23"/>
    <n v="40"/>
    <n v="61"/>
    <n v="1"/>
    <n v="1"/>
    <s v="C1043"/>
    <x v="0"/>
    <x v="0"/>
    <x v="1"/>
    <x v="0"/>
    <x v="2"/>
    <s v="Good"/>
    <x v="0"/>
    <n v="47"/>
    <x v="1"/>
    <x v="0"/>
    <x v="0"/>
    <s v="Improve interview preparation and communication"/>
  </r>
  <r>
    <n v="20"/>
    <x v="1"/>
    <n v="1"/>
    <n v="6"/>
    <n v="1"/>
    <n v="39.157502887278"/>
    <x v="97"/>
    <n v="85"/>
    <n v="6"/>
    <n v="2"/>
    <n v="0"/>
    <s v="C1044"/>
    <x v="1"/>
    <x v="2"/>
    <x v="2"/>
    <x v="0"/>
    <x v="0"/>
    <s v="Needs Improvement"/>
    <x v="1"/>
    <n v="45"/>
    <x v="1"/>
    <x v="1"/>
    <x v="1"/>
    <s v="Work on communication and personality development"/>
  </r>
  <r>
    <n v="36"/>
    <x v="1"/>
    <n v="2"/>
    <n v="10"/>
    <n v="5"/>
    <n v="41.112458961755699"/>
    <x v="60"/>
    <n v="57"/>
    <n v="70"/>
    <n v="2"/>
    <n v="1"/>
    <s v="C1045"/>
    <x v="1"/>
    <x v="0"/>
    <x v="1"/>
    <x v="2"/>
    <x v="1"/>
    <s v="Good"/>
    <x v="0"/>
    <n v="69"/>
    <x v="0"/>
    <x v="2"/>
    <x v="2"/>
    <s v="Strengthen technical skills and practical knowledge"/>
  </r>
  <r>
    <n v="27"/>
    <x v="1"/>
    <n v="1"/>
    <n v="11"/>
    <n v="5"/>
    <n v="20.255306149496001"/>
    <x v="21"/>
    <n v="97"/>
    <n v="49"/>
    <n v="2"/>
    <n v="0"/>
    <s v="C1046"/>
    <x v="1"/>
    <x v="2"/>
    <x v="1"/>
    <x v="1"/>
    <x v="0"/>
    <s v="Needs Improvement"/>
    <x v="1"/>
    <n v="69"/>
    <x v="0"/>
    <x v="1"/>
    <x v="1"/>
    <s v="Work on communication and personality development"/>
  </r>
  <r>
    <n v="21"/>
    <x v="1"/>
    <n v="2"/>
    <n v="13"/>
    <n v="3"/>
    <n v="21.8941998308804"/>
    <x v="98"/>
    <n v="78"/>
    <n v="51"/>
    <n v="2"/>
    <n v="0"/>
    <s v="C1047"/>
    <x v="1"/>
    <x v="0"/>
    <x v="1"/>
    <x v="0"/>
    <x v="0"/>
    <s v="Good"/>
    <x v="1"/>
    <n v="52"/>
    <x v="0"/>
    <x v="1"/>
    <x v="0"/>
    <s v="Improve interview preparation and communication"/>
  </r>
  <r>
    <n v="47"/>
    <x v="0"/>
    <n v="3"/>
    <n v="15"/>
    <n v="2"/>
    <n v="3.2254519638085601"/>
    <x v="31"/>
    <n v="9"/>
    <n v="25"/>
    <n v="2"/>
    <n v="0"/>
    <s v="C1048"/>
    <x v="0"/>
    <x v="3"/>
    <x v="1"/>
    <x v="0"/>
    <x v="2"/>
    <s v="Needs Improvement"/>
    <x v="1"/>
    <n v="35"/>
    <x v="1"/>
    <x v="2"/>
    <x v="2"/>
    <s v="Strengthen technical skills and practical knowledge"/>
  </r>
  <r>
    <n v="50"/>
    <x v="1"/>
    <n v="2"/>
    <n v="13"/>
    <n v="2"/>
    <n v="15.456835920938"/>
    <x v="11"/>
    <n v="14"/>
    <n v="25"/>
    <n v="2"/>
    <n v="0"/>
    <s v="C1049"/>
    <x v="1"/>
    <x v="0"/>
    <x v="1"/>
    <x v="1"/>
    <x v="2"/>
    <s v="Needs Improvement"/>
    <x v="1"/>
    <n v="46"/>
    <x v="1"/>
    <x v="2"/>
    <x v="2"/>
    <s v="Strengthen technical skills and practical knowledge"/>
  </r>
  <r>
    <n v="27"/>
    <x v="0"/>
    <n v="2"/>
    <n v="4"/>
    <n v="4"/>
    <n v="23.5642588588819"/>
    <x v="98"/>
    <n v="41"/>
    <n v="18"/>
    <n v="3"/>
    <n v="0"/>
    <s v="C1050"/>
    <x v="0"/>
    <x v="0"/>
    <x v="2"/>
    <x v="0"/>
    <x v="2"/>
    <s v="Needs Improvement"/>
    <x v="1"/>
    <n v="25"/>
    <x v="1"/>
    <x v="1"/>
    <x v="0"/>
    <s v="Improve interview preparation and communication"/>
  </r>
  <r>
    <n v="26"/>
    <x v="1"/>
    <n v="1"/>
    <n v="15"/>
    <n v="1"/>
    <n v="6.8491523192628696"/>
    <x v="22"/>
    <n v="92"/>
    <n v="8"/>
    <n v="1"/>
    <n v="1"/>
    <s v="C1051"/>
    <x v="1"/>
    <x v="2"/>
    <x v="1"/>
    <x v="0"/>
    <x v="0"/>
    <s v="Needs Improvement"/>
    <x v="0"/>
    <n v="50"/>
    <x v="0"/>
    <x v="1"/>
    <x v="1"/>
    <s v="Work on communication and personality development"/>
  </r>
  <r>
    <n v="45"/>
    <x v="1"/>
    <n v="2"/>
    <n v="5"/>
    <n v="2"/>
    <n v="23.663373037751001"/>
    <x v="46"/>
    <n v="56"/>
    <n v="60"/>
    <n v="3"/>
    <n v="0"/>
    <s v="C1052"/>
    <x v="1"/>
    <x v="0"/>
    <x v="2"/>
    <x v="1"/>
    <x v="1"/>
    <s v="Good"/>
    <x v="1"/>
    <n v="53"/>
    <x v="0"/>
    <x v="0"/>
    <x v="2"/>
    <s v="Strengthen technical skills and practical knowledge"/>
  </r>
  <r>
    <n v="45"/>
    <x v="1"/>
    <n v="2"/>
    <n v="9"/>
    <n v="5"/>
    <n v="43.658790612890002"/>
    <x v="68"/>
    <n v="86"/>
    <n v="19"/>
    <n v="2"/>
    <n v="0"/>
    <s v="C1053"/>
    <x v="1"/>
    <x v="0"/>
    <x v="1"/>
    <x v="0"/>
    <x v="0"/>
    <s v="Needs Improvement"/>
    <x v="1"/>
    <n v="42"/>
    <x v="1"/>
    <x v="1"/>
    <x v="0"/>
    <s v="Improve interview preparation and communication"/>
  </r>
  <r>
    <n v="21"/>
    <x v="0"/>
    <n v="3"/>
    <n v="7"/>
    <n v="1"/>
    <n v="30.066050986252598"/>
    <x v="16"/>
    <n v="16"/>
    <n v="49"/>
    <n v="1"/>
    <n v="1"/>
    <s v="C1054"/>
    <x v="0"/>
    <x v="3"/>
    <x v="1"/>
    <x v="0"/>
    <x v="2"/>
    <s v="Needs Improvement"/>
    <x v="0"/>
    <n v="36"/>
    <x v="1"/>
    <x v="0"/>
    <x v="2"/>
    <s v="Strengthen technical skills and practical knowledge"/>
  </r>
  <r>
    <n v="41"/>
    <x v="1"/>
    <n v="1"/>
    <n v="15"/>
    <n v="1"/>
    <n v="4.9464927519206103"/>
    <x v="12"/>
    <n v="59"/>
    <n v="79"/>
    <n v="1"/>
    <n v="1"/>
    <s v="C1055"/>
    <x v="1"/>
    <x v="2"/>
    <x v="1"/>
    <x v="2"/>
    <x v="1"/>
    <s v="Strong"/>
    <x v="0"/>
    <n v="80"/>
    <x v="2"/>
    <x v="2"/>
    <x v="2"/>
    <s v="Strengthen technical skills and practical knowledge"/>
  </r>
  <r>
    <n v="41"/>
    <x v="0"/>
    <n v="3"/>
    <n v="13"/>
    <n v="3"/>
    <n v="10.583565941513699"/>
    <x v="2"/>
    <n v="8"/>
    <n v="80"/>
    <n v="2"/>
    <n v="0"/>
    <s v="C1056"/>
    <x v="0"/>
    <x v="3"/>
    <x v="1"/>
    <x v="0"/>
    <x v="2"/>
    <s v="Strong"/>
    <x v="1"/>
    <n v="41"/>
    <x v="1"/>
    <x v="0"/>
    <x v="2"/>
    <s v="Strengthen technical skills and practical knowledge"/>
  </r>
  <r>
    <n v="22"/>
    <x v="0"/>
    <n v="3"/>
    <n v="7"/>
    <n v="2"/>
    <n v="24.727217507927801"/>
    <x v="81"/>
    <n v="35"/>
    <n v="21"/>
    <n v="2"/>
    <n v="0"/>
    <s v="C1057"/>
    <x v="0"/>
    <x v="3"/>
    <x v="1"/>
    <x v="1"/>
    <x v="2"/>
    <s v="Needs Improvement"/>
    <x v="1"/>
    <n v="44"/>
    <x v="1"/>
    <x v="2"/>
    <x v="1"/>
    <s v="Work on communication and personality development"/>
  </r>
  <r>
    <n v="46"/>
    <x v="0"/>
    <n v="2"/>
    <n v="2"/>
    <n v="3"/>
    <n v="19.074357491090598"/>
    <x v="94"/>
    <n v="72"/>
    <n v="12"/>
    <n v="1"/>
    <n v="1"/>
    <s v="C1058"/>
    <x v="0"/>
    <x v="0"/>
    <x v="0"/>
    <x v="2"/>
    <x v="1"/>
    <s v="Needs Improvement"/>
    <x v="0"/>
    <n v="57"/>
    <x v="0"/>
    <x v="2"/>
    <x v="1"/>
    <s v="Work on communication and personality development"/>
  </r>
  <r>
    <n v="37"/>
    <x v="0"/>
    <n v="3"/>
    <n v="11"/>
    <n v="2"/>
    <n v="18.936350977304901"/>
    <x v="53"/>
    <n v="79"/>
    <n v="11"/>
    <n v="1"/>
    <n v="1"/>
    <s v="C1059"/>
    <x v="0"/>
    <x v="3"/>
    <x v="1"/>
    <x v="1"/>
    <x v="0"/>
    <s v="Needs Improvement"/>
    <x v="0"/>
    <n v="56"/>
    <x v="0"/>
    <x v="1"/>
    <x v="1"/>
    <s v="Work on communication and personality development"/>
  </r>
  <r>
    <n v="31"/>
    <x v="0"/>
    <n v="2"/>
    <n v="15"/>
    <n v="4"/>
    <n v="27.463372407179499"/>
    <x v="29"/>
    <n v="35"/>
    <n v="9"/>
    <n v="2"/>
    <n v="0"/>
    <s v="C1060"/>
    <x v="0"/>
    <x v="0"/>
    <x v="1"/>
    <x v="0"/>
    <x v="2"/>
    <s v="Needs Improvement"/>
    <x v="1"/>
    <n v="40"/>
    <x v="1"/>
    <x v="1"/>
    <x v="1"/>
    <s v="Work on communication and personality development"/>
  </r>
  <r>
    <n v="20"/>
    <x v="0"/>
    <n v="2"/>
    <n v="11"/>
    <n v="3"/>
    <n v="30.2197960794728"/>
    <x v="100"/>
    <n v="47"/>
    <n v="64"/>
    <n v="1"/>
    <n v="1"/>
    <s v="C1061"/>
    <x v="0"/>
    <x v="0"/>
    <x v="1"/>
    <x v="2"/>
    <x v="2"/>
    <s v="Good"/>
    <x v="0"/>
    <n v="69"/>
    <x v="0"/>
    <x v="2"/>
    <x v="2"/>
    <s v="Strengthen technical skills and practical knowledge"/>
  </r>
  <r>
    <n v="41"/>
    <x v="0"/>
    <n v="2"/>
    <n v="13"/>
    <n v="3"/>
    <n v="40.843078513809502"/>
    <x v="16"/>
    <n v="50"/>
    <n v="95"/>
    <n v="3"/>
    <n v="0"/>
    <s v="C1062"/>
    <x v="0"/>
    <x v="0"/>
    <x v="1"/>
    <x v="0"/>
    <x v="1"/>
    <s v="Strong"/>
    <x v="1"/>
    <n v="60"/>
    <x v="0"/>
    <x v="0"/>
    <x v="0"/>
    <s v="Improve interview preparation and communication"/>
  </r>
  <r>
    <n v="31"/>
    <x v="0"/>
    <n v="2"/>
    <n v="6"/>
    <n v="5"/>
    <n v="18.048328173124201"/>
    <x v="34"/>
    <n v="96"/>
    <n v="29"/>
    <n v="2"/>
    <n v="0"/>
    <s v="C1063"/>
    <x v="0"/>
    <x v="0"/>
    <x v="2"/>
    <x v="0"/>
    <x v="0"/>
    <s v="Needs Improvement"/>
    <x v="1"/>
    <n v="47"/>
    <x v="1"/>
    <x v="1"/>
    <x v="0"/>
    <s v="Improve interview preparation and communication"/>
  </r>
  <r>
    <n v="24"/>
    <x v="0"/>
    <n v="2"/>
    <n v="0"/>
    <n v="3"/>
    <n v="41.2733141520293"/>
    <x v="100"/>
    <n v="94"/>
    <n v="7"/>
    <n v="2"/>
    <n v="0"/>
    <s v="C1064"/>
    <x v="0"/>
    <x v="0"/>
    <x v="0"/>
    <x v="2"/>
    <x v="0"/>
    <s v="Needs Improvement"/>
    <x v="1"/>
    <n v="61"/>
    <x v="0"/>
    <x v="2"/>
    <x v="1"/>
    <s v="Work on communication and personality development"/>
  </r>
  <r>
    <n v="49"/>
    <x v="1"/>
    <n v="2"/>
    <n v="0"/>
    <n v="2"/>
    <n v="17.930561455631601"/>
    <x v="49"/>
    <n v="69"/>
    <n v="20"/>
    <n v="2"/>
    <n v="0"/>
    <s v="C1065"/>
    <x v="1"/>
    <x v="0"/>
    <x v="0"/>
    <x v="0"/>
    <x v="1"/>
    <s v="Needs Improvement"/>
    <x v="1"/>
    <n v="29"/>
    <x v="1"/>
    <x v="1"/>
    <x v="0"/>
    <s v="Improve interview preparation and communication"/>
  </r>
  <r>
    <n v="49"/>
    <x v="1"/>
    <n v="2"/>
    <n v="6"/>
    <n v="5"/>
    <n v="3.7716494470616899"/>
    <x v="79"/>
    <n v="73"/>
    <n v="21"/>
    <n v="1"/>
    <n v="1"/>
    <s v="C1066"/>
    <x v="1"/>
    <x v="0"/>
    <x v="2"/>
    <x v="2"/>
    <x v="1"/>
    <s v="Needs Improvement"/>
    <x v="0"/>
    <n v="60"/>
    <x v="0"/>
    <x v="2"/>
    <x v="1"/>
    <s v="Work on communication and personality development"/>
  </r>
  <r>
    <n v="46"/>
    <x v="1"/>
    <n v="2"/>
    <n v="14"/>
    <n v="3"/>
    <n v="28.7093825502395"/>
    <x v="12"/>
    <n v="79"/>
    <n v="17"/>
    <n v="3"/>
    <n v="0"/>
    <s v="C1067"/>
    <x v="1"/>
    <x v="0"/>
    <x v="1"/>
    <x v="2"/>
    <x v="0"/>
    <s v="Needs Improvement"/>
    <x v="1"/>
    <n v="72"/>
    <x v="0"/>
    <x v="2"/>
    <x v="1"/>
    <s v="Work on communication and personality development"/>
  </r>
  <r>
    <n v="44"/>
    <x v="1"/>
    <n v="1"/>
    <n v="14"/>
    <n v="3"/>
    <n v="30.395116244740699"/>
    <x v="97"/>
    <n v="67"/>
    <n v="65"/>
    <n v="1"/>
    <n v="1"/>
    <s v="C1068"/>
    <x v="1"/>
    <x v="2"/>
    <x v="1"/>
    <x v="0"/>
    <x v="1"/>
    <s v="Good"/>
    <x v="0"/>
    <n v="59"/>
    <x v="0"/>
    <x v="1"/>
    <x v="0"/>
    <s v="Improve interview preparation and communication"/>
  </r>
  <r>
    <n v="36"/>
    <x v="1"/>
    <n v="4"/>
    <n v="9"/>
    <n v="4"/>
    <n v="47.727012281093003"/>
    <x v="53"/>
    <n v="21"/>
    <n v="47"/>
    <n v="2"/>
    <n v="0"/>
    <s v="C1069"/>
    <x v="1"/>
    <x v="1"/>
    <x v="1"/>
    <x v="1"/>
    <x v="2"/>
    <s v="Needs Improvement"/>
    <x v="1"/>
    <n v="45"/>
    <x v="1"/>
    <x v="2"/>
    <x v="2"/>
    <s v="Strengthen technical skills and practical knowledge"/>
  </r>
  <r>
    <n v="35"/>
    <x v="0"/>
    <n v="3"/>
    <n v="8"/>
    <n v="3"/>
    <n v="37.3030663031237"/>
    <x v="24"/>
    <n v="76"/>
    <n v="43"/>
    <n v="2"/>
    <n v="1"/>
    <s v="C1070"/>
    <x v="0"/>
    <x v="3"/>
    <x v="1"/>
    <x v="2"/>
    <x v="0"/>
    <s v="Needs Improvement"/>
    <x v="0"/>
    <n v="68"/>
    <x v="0"/>
    <x v="2"/>
    <x v="1"/>
    <s v="Work on communication and personality development"/>
  </r>
  <r>
    <n v="50"/>
    <x v="0"/>
    <n v="2"/>
    <n v="6"/>
    <n v="1"/>
    <n v="46.8886326247219"/>
    <x v="12"/>
    <n v="79"/>
    <n v="8"/>
    <n v="1"/>
    <n v="1"/>
    <s v="C1071"/>
    <x v="0"/>
    <x v="0"/>
    <x v="2"/>
    <x v="2"/>
    <x v="0"/>
    <s v="Needs Improvement"/>
    <x v="0"/>
    <n v="63"/>
    <x v="0"/>
    <x v="2"/>
    <x v="1"/>
    <s v="Work on communication and personality development"/>
  </r>
  <r>
    <n v="34"/>
    <x v="0"/>
    <n v="1"/>
    <n v="9"/>
    <n v="5"/>
    <n v="46.417360512150402"/>
    <x v="76"/>
    <n v="92"/>
    <n v="66"/>
    <n v="2"/>
    <n v="0"/>
    <s v="C1072"/>
    <x v="0"/>
    <x v="2"/>
    <x v="1"/>
    <x v="0"/>
    <x v="0"/>
    <s v="Good"/>
    <x v="1"/>
    <n v="60"/>
    <x v="0"/>
    <x v="1"/>
    <x v="0"/>
    <s v="Improve interview preparation and communication"/>
  </r>
  <r>
    <n v="42"/>
    <x v="0"/>
    <n v="3"/>
    <n v="4"/>
    <n v="1"/>
    <n v="31.2287055129121"/>
    <x v="94"/>
    <n v="5"/>
    <n v="53"/>
    <n v="3"/>
    <n v="0"/>
    <s v="C1073"/>
    <x v="0"/>
    <x v="3"/>
    <x v="2"/>
    <x v="2"/>
    <x v="2"/>
    <s v="Good"/>
    <x v="1"/>
    <n v="48"/>
    <x v="1"/>
    <x v="2"/>
    <x v="2"/>
    <s v="Strengthen technical skills and practical knowledge"/>
  </r>
  <r>
    <n v="34"/>
    <x v="0"/>
    <n v="3"/>
    <n v="7"/>
    <n v="5"/>
    <n v="27.388103266822299"/>
    <x v="79"/>
    <n v="25"/>
    <n v="25"/>
    <n v="2"/>
    <n v="0"/>
    <s v="C1074"/>
    <x v="0"/>
    <x v="3"/>
    <x v="1"/>
    <x v="2"/>
    <x v="2"/>
    <s v="Needs Improvement"/>
    <x v="1"/>
    <n v="48"/>
    <x v="1"/>
    <x v="2"/>
    <x v="2"/>
    <s v="Strengthen technical skills and practical knowledge"/>
  </r>
  <r>
    <n v="24"/>
    <x v="0"/>
    <n v="3"/>
    <n v="1"/>
    <n v="4"/>
    <n v="28.872048358179899"/>
    <x v="82"/>
    <n v="74"/>
    <n v="84"/>
    <n v="3"/>
    <n v="1"/>
    <s v="C1075"/>
    <x v="0"/>
    <x v="3"/>
    <x v="0"/>
    <x v="2"/>
    <x v="1"/>
    <s v="Strong"/>
    <x v="0"/>
    <n v="73"/>
    <x v="0"/>
    <x v="2"/>
    <x v="2"/>
    <s v="Strengthen technical skills and practical knowledge"/>
  </r>
  <r>
    <n v="40"/>
    <x v="0"/>
    <n v="2"/>
    <n v="8"/>
    <n v="3"/>
    <n v="49.916540383862298"/>
    <x v="81"/>
    <n v="87"/>
    <n v="93"/>
    <n v="3"/>
    <n v="0"/>
    <s v="C1076"/>
    <x v="0"/>
    <x v="0"/>
    <x v="1"/>
    <x v="1"/>
    <x v="0"/>
    <s v="Strong"/>
    <x v="1"/>
    <n v="74"/>
    <x v="0"/>
    <x v="0"/>
    <x v="0"/>
    <s v="Improve interview preparation and communication"/>
  </r>
  <r>
    <n v="33"/>
    <x v="1"/>
    <n v="2"/>
    <n v="5"/>
    <n v="3"/>
    <n v="39.658384587347904"/>
    <x v="69"/>
    <n v="92"/>
    <n v="91"/>
    <n v="2"/>
    <n v="0"/>
    <s v="C1077"/>
    <x v="1"/>
    <x v="0"/>
    <x v="2"/>
    <x v="2"/>
    <x v="0"/>
    <s v="Strong"/>
    <x v="1"/>
    <n v="77"/>
    <x v="2"/>
    <x v="1"/>
    <x v="0"/>
    <s v="Improve interview preparation and communication"/>
  </r>
  <r>
    <n v="21"/>
    <x v="1"/>
    <n v="1"/>
    <n v="12"/>
    <n v="3"/>
    <n v="6.3132952396197899"/>
    <x v="56"/>
    <n v="2"/>
    <n v="99"/>
    <n v="2"/>
    <n v="0"/>
    <s v="C1078"/>
    <x v="1"/>
    <x v="2"/>
    <x v="1"/>
    <x v="2"/>
    <x v="2"/>
    <s v="Strong"/>
    <x v="1"/>
    <n v="58"/>
    <x v="0"/>
    <x v="0"/>
    <x v="2"/>
    <s v="Strengthen technical skills and practical knowledge"/>
  </r>
  <r>
    <n v="30"/>
    <x v="1"/>
    <n v="1"/>
    <n v="8"/>
    <n v="5"/>
    <n v="39.921420339069897"/>
    <x v="40"/>
    <n v="51"/>
    <n v="25"/>
    <n v="2"/>
    <n v="0"/>
    <s v="C1079"/>
    <x v="1"/>
    <x v="2"/>
    <x v="1"/>
    <x v="0"/>
    <x v="1"/>
    <s v="Needs Improvement"/>
    <x v="1"/>
    <n v="36"/>
    <x v="1"/>
    <x v="1"/>
    <x v="0"/>
    <s v="Improve interview preparation and communication"/>
  </r>
  <r>
    <n v="38"/>
    <x v="1"/>
    <n v="3"/>
    <n v="15"/>
    <n v="3"/>
    <n v="9.5269024449112898"/>
    <x v="34"/>
    <n v="73"/>
    <n v="33"/>
    <n v="2"/>
    <n v="0"/>
    <s v="C1080"/>
    <x v="1"/>
    <x v="3"/>
    <x v="1"/>
    <x v="0"/>
    <x v="1"/>
    <s v="Needs Improvement"/>
    <x v="1"/>
    <n v="51"/>
    <x v="0"/>
    <x v="1"/>
    <x v="0"/>
    <s v="Improve interview preparation and communication"/>
  </r>
  <r>
    <n v="26"/>
    <x v="0"/>
    <n v="3"/>
    <n v="1"/>
    <n v="1"/>
    <n v="23.367527450281202"/>
    <x v="49"/>
    <n v="59"/>
    <n v="7"/>
    <n v="1"/>
    <n v="1"/>
    <s v="C1081"/>
    <x v="0"/>
    <x v="3"/>
    <x v="0"/>
    <x v="0"/>
    <x v="1"/>
    <s v="Needs Improvement"/>
    <x v="0"/>
    <n v="25"/>
    <x v="1"/>
    <x v="1"/>
    <x v="0"/>
    <s v="Improve interview preparation and communication"/>
  </r>
  <r>
    <n v="25"/>
    <x v="0"/>
    <n v="2"/>
    <n v="2"/>
    <n v="3"/>
    <n v="11.522983608826699"/>
    <x v="14"/>
    <n v="62"/>
    <n v="9"/>
    <n v="3"/>
    <n v="0"/>
    <s v="C1082"/>
    <x v="0"/>
    <x v="0"/>
    <x v="0"/>
    <x v="1"/>
    <x v="1"/>
    <s v="Needs Improvement"/>
    <x v="1"/>
    <n v="47"/>
    <x v="1"/>
    <x v="2"/>
    <x v="1"/>
    <s v="Work on communication and personality development"/>
  </r>
  <r>
    <n v="47"/>
    <x v="0"/>
    <n v="3"/>
    <n v="11"/>
    <n v="4"/>
    <n v="35.4791532766614"/>
    <x v="25"/>
    <n v="64"/>
    <n v="47"/>
    <n v="2"/>
    <n v="1"/>
    <s v="C1083"/>
    <x v="0"/>
    <x v="3"/>
    <x v="1"/>
    <x v="2"/>
    <x v="1"/>
    <s v="Needs Improvement"/>
    <x v="0"/>
    <n v="73"/>
    <x v="0"/>
    <x v="2"/>
    <x v="1"/>
    <s v="Work on communication and personality development"/>
  </r>
  <r>
    <n v="21"/>
    <x v="1"/>
    <n v="2"/>
    <n v="7"/>
    <n v="1"/>
    <n v="44.865486809651699"/>
    <x v="52"/>
    <n v="51"/>
    <n v="54"/>
    <n v="2"/>
    <n v="0"/>
    <s v="C1084"/>
    <x v="1"/>
    <x v="0"/>
    <x v="1"/>
    <x v="2"/>
    <x v="1"/>
    <s v="Good"/>
    <x v="1"/>
    <n v="61"/>
    <x v="0"/>
    <x v="2"/>
    <x v="2"/>
    <s v="Strengthen technical skills and practical knowledge"/>
  </r>
  <r>
    <n v="25"/>
    <x v="0"/>
    <n v="2"/>
    <n v="0"/>
    <n v="3"/>
    <n v="15.518094268334"/>
    <x v="82"/>
    <n v="89"/>
    <n v="53"/>
    <n v="2"/>
    <n v="0"/>
    <s v="C1085"/>
    <x v="0"/>
    <x v="0"/>
    <x v="0"/>
    <x v="2"/>
    <x v="0"/>
    <s v="Good"/>
    <x v="1"/>
    <n v="69"/>
    <x v="0"/>
    <x v="2"/>
    <x v="1"/>
    <s v="Work on communication and personality development"/>
  </r>
  <r>
    <n v="37"/>
    <x v="0"/>
    <n v="2"/>
    <n v="14"/>
    <n v="3"/>
    <n v="5.1005370604093798"/>
    <x v="88"/>
    <n v="75"/>
    <n v="77"/>
    <n v="2"/>
    <n v="0"/>
    <s v="C1086"/>
    <x v="0"/>
    <x v="0"/>
    <x v="1"/>
    <x v="0"/>
    <x v="0"/>
    <s v="Strong"/>
    <x v="1"/>
    <n v="66"/>
    <x v="0"/>
    <x v="0"/>
    <x v="0"/>
    <s v="Improve interview preparation and communication"/>
  </r>
  <r>
    <n v="21"/>
    <x v="0"/>
    <n v="4"/>
    <n v="9"/>
    <n v="2"/>
    <n v="15.924654903748101"/>
    <x v="45"/>
    <n v="13"/>
    <n v="39"/>
    <n v="3"/>
    <n v="0"/>
    <s v="C1087"/>
    <x v="0"/>
    <x v="1"/>
    <x v="1"/>
    <x v="0"/>
    <x v="2"/>
    <s v="Needs Improvement"/>
    <x v="1"/>
    <n v="33"/>
    <x v="1"/>
    <x v="0"/>
    <x v="2"/>
    <s v="Strengthen technical skills and practical knowledge"/>
  </r>
  <r>
    <n v="37"/>
    <x v="1"/>
    <n v="1"/>
    <n v="14"/>
    <n v="5"/>
    <n v="34.618092896609703"/>
    <x v="55"/>
    <n v="88"/>
    <n v="14"/>
    <n v="2"/>
    <n v="0"/>
    <s v="C1088"/>
    <x v="1"/>
    <x v="2"/>
    <x v="1"/>
    <x v="2"/>
    <x v="0"/>
    <s v="Needs Improvement"/>
    <x v="1"/>
    <n v="70"/>
    <x v="0"/>
    <x v="1"/>
    <x v="1"/>
    <s v="Work on communication and personality development"/>
  </r>
  <r>
    <n v="49"/>
    <x v="0"/>
    <n v="4"/>
    <n v="14"/>
    <n v="1"/>
    <n v="17.438006377722498"/>
    <x v="20"/>
    <n v="71"/>
    <n v="80"/>
    <n v="1"/>
    <n v="1"/>
    <s v="C1089"/>
    <x v="0"/>
    <x v="1"/>
    <x v="1"/>
    <x v="2"/>
    <x v="1"/>
    <s v="Strong"/>
    <x v="0"/>
    <n v="84"/>
    <x v="2"/>
    <x v="2"/>
    <x v="2"/>
    <s v="Strengthen technical skills and practical knowledge"/>
  </r>
  <r>
    <n v="34"/>
    <x v="1"/>
    <n v="3"/>
    <n v="14"/>
    <n v="2"/>
    <n v="14.9056083776901"/>
    <x v="86"/>
    <n v="67"/>
    <n v="17"/>
    <n v="1"/>
    <n v="1"/>
    <s v="C1090"/>
    <x v="1"/>
    <x v="3"/>
    <x v="1"/>
    <x v="1"/>
    <x v="1"/>
    <s v="Needs Improvement"/>
    <x v="0"/>
    <n v="56"/>
    <x v="0"/>
    <x v="1"/>
    <x v="1"/>
    <s v="Work on communication and personality development"/>
  </r>
  <r>
    <n v="46"/>
    <x v="1"/>
    <n v="1"/>
    <n v="6"/>
    <n v="4"/>
    <n v="10.2217595292132"/>
    <x v="14"/>
    <n v="27"/>
    <n v="95"/>
    <n v="3"/>
    <n v="0"/>
    <s v="C1091"/>
    <x v="1"/>
    <x v="2"/>
    <x v="2"/>
    <x v="1"/>
    <x v="2"/>
    <s v="Strong"/>
    <x v="1"/>
    <n v="57"/>
    <x v="0"/>
    <x v="0"/>
    <x v="2"/>
    <s v="Strengthen technical skills and practical knowledge"/>
  </r>
  <r>
    <n v="38"/>
    <x v="1"/>
    <n v="2"/>
    <n v="6"/>
    <n v="5"/>
    <n v="25.875821343721601"/>
    <x v="100"/>
    <n v="70"/>
    <n v="22"/>
    <n v="2"/>
    <n v="0"/>
    <s v="C1092"/>
    <x v="1"/>
    <x v="0"/>
    <x v="2"/>
    <x v="2"/>
    <x v="1"/>
    <s v="Needs Improvement"/>
    <x v="1"/>
    <n v="62"/>
    <x v="0"/>
    <x v="2"/>
    <x v="1"/>
    <s v="Work on communication and personality development"/>
  </r>
  <r>
    <n v="50"/>
    <x v="1"/>
    <n v="3"/>
    <n v="12"/>
    <n v="1"/>
    <n v="14.797441407859299"/>
    <x v="59"/>
    <n v="9"/>
    <n v="61"/>
    <n v="3"/>
    <n v="0"/>
    <s v="C1093"/>
    <x v="1"/>
    <x v="3"/>
    <x v="1"/>
    <x v="1"/>
    <x v="2"/>
    <s v="Good"/>
    <x v="1"/>
    <n v="46"/>
    <x v="1"/>
    <x v="0"/>
    <x v="2"/>
    <s v="Strengthen technical skills and practical knowledge"/>
  </r>
  <r>
    <n v="21"/>
    <x v="0"/>
    <n v="2"/>
    <n v="0"/>
    <n v="3"/>
    <n v="37.550517456974099"/>
    <x v="66"/>
    <n v="56"/>
    <n v="45"/>
    <n v="1"/>
    <n v="0"/>
    <s v="C1094"/>
    <x v="0"/>
    <x v="0"/>
    <x v="0"/>
    <x v="1"/>
    <x v="1"/>
    <s v="Needs Improvement"/>
    <x v="1"/>
    <n v="45"/>
    <x v="1"/>
    <x v="1"/>
    <x v="1"/>
    <s v="Work on communication and personality development"/>
  </r>
  <r>
    <n v="39"/>
    <x v="1"/>
    <n v="4"/>
    <n v="15"/>
    <n v="1"/>
    <n v="4.8311200996101302"/>
    <x v="96"/>
    <n v="99"/>
    <n v="86"/>
    <n v="1"/>
    <n v="1"/>
    <s v="C1095"/>
    <x v="1"/>
    <x v="1"/>
    <x v="1"/>
    <x v="1"/>
    <x v="0"/>
    <s v="Strong"/>
    <x v="0"/>
    <n v="84"/>
    <x v="2"/>
    <x v="1"/>
    <x v="0"/>
    <s v="Improve interview preparation and communication"/>
  </r>
  <r>
    <n v="44"/>
    <x v="1"/>
    <n v="4"/>
    <n v="8"/>
    <n v="3"/>
    <n v="34.201651655565797"/>
    <x v="43"/>
    <n v="65"/>
    <n v="98"/>
    <n v="1"/>
    <n v="1"/>
    <s v="C1096"/>
    <x v="1"/>
    <x v="1"/>
    <x v="1"/>
    <x v="1"/>
    <x v="1"/>
    <s v="Strong"/>
    <x v="0"/>
    <n v="73"/>
    <x v="0"/>
    <x v="0"/>
    <x v="2"/>
    <s v="Strengthen technical skills and practical knowledge"/>
  </r>
  <r>
    <n v="25"/>
    <x v="0"/>
    <n v="2"/>
    <n v="7"/>
    <n v="5"/>
    <n v="12.8780007283884"/>
    <x v="56"/>
    <n v="89"/>
    <n v="38"/>
    <n v="2"/>
    <n v="0"/>
    <s v="C1097"/>
    <x v="0"/>
    <x v="0"/>
    <x v="1"/>
    <x v="2"/>
    <x v="0"/>
    <s v="Needs Improvement"/>
    <x v="1"/>
    <n v="67"/>
    <x v="0"/>
    <x v="1"/>
    <x v="1"/>
    <s v="Work on communication and personality development"/>
  </r>
  <r>
    <n v="20"/>
    <x v="0"/>
    <n v="2"/>
    <n v="3"/>
    <n v="3"/>
    <n v="25.463963052580102"/>
    <x v="20"/>
    <n v="49"/>
    <n v="14"/>
    <n v="2"/>
    <n v="0"/>
    <s v="C1098"/>
    <x v="0"/>
    <x v="0"/>
    <x v="2"/>
    <x v="2"/>
    <x v="2"/>
    <s v="Needs Improvement"/>
    <x v="1"/>
    <n v="50"/>
    <x v="0"/>
    <x v="2"/>
    <x v="1"/>
    <s v="Work on communication and personality development"/>
  </r>
  <r>
    <n v="43"/>
    <x v="1"/>
    <n v="4"/>
    <n v="9"/>
    <n v="4"/>
    <n v="15.304496101563"/>
    <x v="46"/>
    <n v="13"/>
    <n v="52"/>
    <n v="1"/>
    <n v="1"/>
    <s v="C1099"/>
    <x v="1"/>
    <x v="1"/>
    <x v="1"/>
    <x v="1"/>
    <x v="2"/>
    <s v="Good"/>
    <x v="0"/>
    <n v="45"/>
    <x v="1"/>
    <x v="2"/>
    <x v="2"/>
    <s v="Strengthen technical skills and practical knowledge"/>
  </r>
  <r>
    <n v="34"/>
    <x v="0"/>
    <n v="2"/>
    <n v="10"/>
    <n v="3"/>
    <n v="37.138433800539701"/>
    <x v="27"/>
    <n v="15"/>
    <n v="87"/>
    <n v="2"/>
    <n v="0"/>
    <s v="C1100"/>
    <x v="0"/>
    <x v="0"/>
    <x v="1"/>
    <x v="2"/>
    <x v="2"/>
    <s v="Strong"/>
    <x v="1"/>
    <n v="61"/>
    <x v="0"/>
    <x v="2"/>
    <x v="2"/>
    <s v="Strengthen technical skills and practical knowledge"/>
  </r>
  <r>
    <n v="47"/>
    <x v="1"/>
    <n v="1"/>
    <n v="4"/>
    <n v="4"/>
    <n v="48.265352012581801"/>
    <x v="22"/>
    <n v="53"/>
    <n v="63"/>
    <n v="2"/>
    <n v="0"/>
    <s v="C1101"/>
    <x v="1"/>
    <x v="2"/>
    <x v="2"/>
    <x v="0"/>
    <x v="1"/>
    <s v="Good"/>
    <x v="1"/>
    <n v="39"/>
    <x v="1"/>
    <x v="0"/>
    <x v="0"/>
    <s v="Improve interview preparation and communication"/>
  </r>
  <r>
    <n v="49"/>
    <x v="1"/>
    <n v="1"/>
    <n v="1"/>
    <n v="5"/>
    <n v="46.853838973490603"/>
    <x v="77"/>
    <n v="42"/>
    <n v="62"/>
    <n v="1"/>
    <n v="0"/>
    <s v="C1102"/>
    <x v="1"/>
    <x v="2"/>
    <x v="0"/>
    <x v="0"/>
    <x v="2"/>
    <s v="Good"/>
    <x v="1"/>
    <n v="41"/>
    <x v="1"/>
    <x v="0"/>
    <x v="0"/>
    <s v="Improve interview preparation and communication"/>
  </r>
  <r>
    <n v="42"/>
    <x v="1"/>
    <n v="2"/>
    <n v="12"/>
    <n v="5"/>
    <n v="30.171310757204498"/>
    <x v="83"/>
    <n v="41"/>
    <n v="91"/>
    <n v="2"/>
    <n v="0"/>
    <s v="C1103"/>
    <x v="1"/>
    <x v="0"/>
    <x v="1"/>
    <x v="2"/>
    <x v="2"/>
    <s v="Strong"/>
    <x v="1"/>
    <n v="68"/>
    <x v="0"/>
    <x v="0"/>
    <x v="2"/>
    <s v="Strengthen technical skills and practical knowledge"/>
  </r>
  <r>
    <n v="29"/>
    <x v="1"/>
    <n v="4"/>
    <n v="15"/>
    <n v="1"/>
    <n v="24.130515162848901"/>
    <x v="86"/>
    <n v="80"/>
    <n v="79"/>
    <n v="2"/>
    <n v="1"/>
    <s v="C1104"/>
    <x v="1"/>
    <x v="1"/>
    <x v="1"/>
    <x v="1"/>
    <x v="0"/>
    <s v="Strong"/>
    <x v="0"/>
    <n v="75"/>
    <x v="2"/>
    <x v="1"/>
    <x v="0"/>
    <s v="Improve interview preparation and communication"/>
  </r>
  <r>
    <n v="38"/>
    <x v="0"/>
    <n v="3"/>
    <n v="8"/>
    <n v="4"/>
    <n v="41.915025471969003"/>
    <x v="40"/>
    <n v="21"/>
    <n v="15"/>
    <n v="1"/>
    <n v="1"/>
    <s v="C1105"/>
    <x v="0"/>
    <x v="3"/>
    <x v="1"/>
    <x v="0"/>
    <x v="2"/>
    <s v="Needs Improvement"/>
    <x v="0"/>
    <n v="26"/>
    <x v="1"/>
    <x v="1"/>
    <x v="1"/>
    <s v="Work on communication and personality development"/>
  </r>
  <r>
    <n v="36"/>
    <x v="1"/>
    <n v="2"/>
    <n v="14"/>
    <n v="4"/>
    <n v="35.166318131386497"/>
    <x v="2"/>
    <n v="67"/>
    <n v="69"/>
    <n v="1"/>
    <n v="1"/>
    <s v="C1106"/>
    <x v="1"/>
    <x v="0"/>
    <x v="1"/>
    <x v="0"/>
    <x v="1"/>
    <s v="Good"/>
    <x v="0"/>
    <n v="56"/>
    <x v="0"/>
    <x v="0"/>
    <x v="0"/>
    <s v="Improve interview preparation and communication"/>
  </r>
  <r>
    <n v="24"/>
    <x v="0"/>
    <n v="1"/>
    <n v="11"/>
    <n v="2"/>
    <n v="10.1782057108466"/>
    <x v="57"/>
    <n v="18"/>
    <n v="65"/>
    <n v="2"/>
    <n v="0"/>
    <s v="C1107"/>
    <x v="0"/>
    <x v="2"/>
    <x v="1"/>
    <x v="2"/>
    <x v="2"/>
    <s v="Good"/>
    <x v="1"/>
    <n v="59"/>
    <x v="0"/>
    <x v="2"/>
    <x v="2"/>
    <s v="Strengthen technical skills and practical knowledge"/>
  </r>
  <r>
    <n v="48"/>
    <x v="0"/>
    <n v="2"/>
    <n v="11"/>
    <n v="2"/>
    <n v="42.045960680649998"/>
    <x v="24"/>
    <n v="65"/>
    <n v="12"/>
    <n v="2"/>
    <n v="0"/>
    <s v="C1108"/>
    <x v="0"/>
    <x v="0"/>
    <x v="1"/>
    <x v="2"/>
    <x v="1"/>
    <s v="Needs Improvement"/>
    <x v="1"/>
    <n v="60"/>
    <x v="0"/>
    <x v="2"/>
    <x v="1"/>
    <s v="Work on communication and personality development"/>
  </r>
  <r>
    <n v="23"/>
    <x v="0"/>
    <n v="3"/>
    <n v="5"/>
    <n v="2"/>
    <n v="22.444219469735501"/>
    <x v="4"/>
    <n v="38"/>
    <n v="46"/>
    <n v="3"/>
    <n v="0"/>
    <s v="C1109"/>
    <x v="0"/>
    <x v="3"/>
    <x v="2"/>
    <x v="0"/>
    <x v="2"/>
    <s v="Needs Improvement"/>
    <x v="1"/>
    <n v="36"/>
    <x v="1"/>
    <x v="0"/>
    <x v="0"/>
    <s v="Improve interview preparation and communication"/>
  </r>
  <r>
    <n v="29"/>
    <x v="0"/>
    <n v="1"/>
    <n v="2"/>
    <n v="3"/>
    <n v="10.449282998558701"/>
    <x v="45"/>
    <n v="72"/>
    <n v="8"/>
    <n v="2"/>
    <n v="0"/>
    <s v="C1110"/>
    <x v="0"/>
    <x v="2"/>
    <x v="0"/>
    <x v="0"/>
    <x v="1"/>
    <s v="Needs Improvement"/>
    <x v="1"/>
    <n v="35"/>
    <x v="1"/>
    <x v="1"/>
    <x v="1"/>
    <s v="Work on communication and personality development"/>
  </r>
  <r>
    <n v="43"/>
    <x v="1"/>
    <n v="2"/>
    <n v="11"/>
    <n v="2"/>
    <n v="15.089867519824599"/>
    <x v="99"/>
    <n v="18"/>
    <n v="62"/>
    <n v="1"/>
    <n v="1"/>
    <s v="C1111"/>
    <x v="1"/>
    <x v="0"/>
    <x v="1"/>
    <x v="0"/>
    <x v="2"/>
    <s v="Good"/>
    <x v="0"/>
    <n v="45"/>
    <x v="1"/>
    <x v="0"/>
    <x v="2"/>
    <s v="Strengthen technical skills and practical knowledge"/>
  </r>
  <r>
    <n v="36"/>
    <x v="0"/>
    <n v="1"/>
    <n v="6"/>
    <n v="4"/>
    <n v="14.3763515124171"/>
    <x v="76"/>
    <n v="15"/>
    <n v="33"/>
    <n v="3"/>
    <n v="0"/>
    <s v="C1112"/>
    <x v="0"/>
    <x v="2"/>
    <x v="2"/>
    <x v="0"/>
    <x v="2"/>
    <s v="Needs Improvement"/>
    <x v="1"/>
    <n v="28"/>
    <x v="1"/>
    <x v="0"/>
    <x v="2"/>
    <s v="Strengthen technical skills and practical knowledge"/>
  </r>
  <r>
    <n v="29"/>
    <x v="1"/>
    <n v="2"/>
    <n v="8"/>
    <n v="3"/>
    <n v="26.960348730172999"/>
    <x v="55"/>
    <n v="53"/>
    <n v="80"/>
    <n v="3"/>
    <n v="1"/>
    <s v="C1113"/>
    <x v="1"/>
    <x v="0"/>
    <x v="1"/>
    <x v="2"/>
    <x v="1"/>
    <s v="Strong"/>
    <x v="0"/>
    <n v="67"/>
    <x v="0"/>
    <x v="2"/>
    <x v="2"/>
    <s v="Strengthen technical skills and practical knowledge"/>
  </r>
  <r>
    <n v="36"/>
    <x v="0"/>
    <n v="4"/>
    <n v="2"/>
    <n v="5"/>
    <n v="12.7185045338937"/>
    <x v="19"/>
    <n v="24"/>
    <n v="90"/>
    <n v="2"/>
    <n v="0"/>
    <s v="C1114"/>
    <x v="0"/>
    <x v="1"/>
    <x v="0"/>
    <x v="2"/>
    <x v="2"/>
    <s v="Strong"/>
    <x v="1"/>
    <n v="62"/>
    <x v="0"/>
    <x v="2"/>
    <x v="2"/>
    <s v="Strengthen technical skills and practical knowledge"/>
  </r>
  <r>
    <n v="47"/>
    <x v="0"/>
    <n v="2"/>
    <n v="15"/>
    <n v="1"/>
    <n v="7.1783243700788004"/>
    <x v="35"/>
    <n v="17"/>
    <n v="28"/>
    <n v="3"/>
    <n v="0"/>
    <s v="C1115"/>
    <x v="0"/>
    <x v="0"/>
    <x v="1"/>
    <x v="0"/>
    <x v="2"/>
    <s v="Needs Improvement"/>
    <x v="1"/>
    <n v="37"/>
    <x v="1"/>
    <x v="2"/>
    <x v="2"/>
    <s v="Strengthen technical skills and practical knowledge"/>
  </r>
  <r>
    <n v="39"/>
    <x v="1"/>
    <n v="2"/>
    <n v="1"/>
    <n v="2"/>
    <n v="7.1845425306880299"/>
    <x v="58"/>
    <n v="22"/>
    <n v="36"/>
    <n v="2"/>
    <n v="0"/>
    <s v="C1116"/>
    <x v="1"/>
    <x v="0"/>
    <x v="0"/>
    <x v="0"/>
    <x v="2"/>
    <s v="Needs Improvement"/>
    <x v="1"/>
    <n v="22"/>
    <x v="1"/>
    <x v="0"/>
    <x v="0"/>
    <s v="Improve interview preparation and communication"/>
  </r>
  <r>
    <n v="43"/>
    <x v="1"/>
    <n v="2"/>
    <n v="15"/>
    <n v="5"/>
    <n v="30.163809856954799"/>
    <x v="18"/>
    <n v="84"/>
    <n v="42"/>
    <n v="2"/>
    <n v="0"/>
    <s v="C1117"/>
    <x v="1"/>
    <x v="0"/>
    <x v="1"/>
    <x v="1"/>
    <x v="0"/>
    <s v="Needs Improvement"/>
    <x v="1"/>
    <n v="71"/>
    <x v="0"/>
    <x v="1"/>
    <x v="1"/>
    <s v="Work on communication and personality development"/>
  </r>
  <r>
    <n v="24"/>
    <x v="1"/>
    <n v="4"/>
    <n v="6"/>
    <n v="4"/>
    <n v="37.7379644424689"/>
    <x v="39"/>
    <n v="10"/>
    <n v="85"/>
    <n v="2"/>
    <n v="0"/>
    <s v="C1118"/>
    <x v="1"/>
    <x v="1"/>
    <x v="2"/>
    <x v="0"/>
    <x v="2"/>
    <s v="Strong"/>
    <x v="1"/>
    <n v="44"/>
    <x v="1"/>
    <x v="0"/>
    <x v="2"/>
    <s v="Strengthen technical skills and practical knowledge"/>
  </r>
  <r>
    <n v="21"/>
    <x v="0"/>
    <n v="1"/>
    <n v="6"/>
    <n v="1"/>
    <n v="17.076650441917"/>
    <x v="44"/>
    <n v="38"/>
    <n v="63"/>
    <n v="2"/>
    <n v="0"/>
    <s v="C1119"/>
    <x v="0"/>
    <x v="2"/>
    <x v="2"/>
    <x v="1"/>
    <x v="2"/>
    <s v="Good"/>
    <x v="1"/>
    <n v="51"/>
    <x v="0"/>
    <x v="0"/>
    <x v="2"/>
    <s v="Strengthen technical skills and practical knowledge"/>
  </r>
  <r>
    <n v="25"/>
    <x v="0"/>
    <n v="2"/>
    <n v="3"/>
    <n v="5"/>
    <n v="2.7325354907008501"/>
    <x v="9"/>
    <n v="67"/>
    <n v="23"/>
    <n v="1"/>
    <n v="1"/>
    <s v="C1120"/>
    <x v="0"/>
    <x v="0"/>
    <x v="2"/>
    <x v="2"/>
    <x v="1"/>
    <s v="Needs Improvement"/>
    <x v="0"/>
    <n v="58"/>
    <x v="0"/>
    <x v="2"/>
    <x v="1"/>
    <s v="Work on communication and personality development"/>
  </r>
  <r>
    <n v="40"/>
    <x v="1"/>
    <n v="2"/>
    <n v="10"/>
    <n v="1"/>
    <n v="7.3612443468505298"/>
    <x v="18"/>
    <n v="24"/>
    <n v="70"/>
    <n v="3"/>
    <n v="0"/>
    <s v="C1121"/>
    <x v="1"/>
    <x v="0"/>
    <x v="1"/>
    <x v="1"/>
    <x v="2"/>
    <s v="Good"/>
    <x v="1"/>
    <n v="54"/>
    <x v="0"/>
    <x v="0"/>
    <x v="2"/>
    <s v="Strengthen technical skills and practical knowledge"/>
  </r>
  <r>
    <n v="21"/>
    <x v="1"/>
    <n v="3"/>
    <n v="8"/>
    <n v="2"/>
    <n v="46.734728016852799"/>
    <x v="70"/>
    <n v="62"/>
    <n v="33"/>
    <n v="3"/>
    <n v="1"/>
    <s v="C1122"/>
    <x v="1"/>
    <x v="3"/>
    <x v="1"/>
    <x v="1"/>
    <x v="1"/>
    <s v="Needs Improvement"/>
    <x v="0"/>
    <n v="59"/>
    <x v="0"/>
    <x v="2"/>
    <x v="1"/>
    <s v="Work on communication and personality development"/>
  </r>
  <r>
    <n v="32"/>
    <x v="1"/>
    <n v="2"/>
    <n v="15"/>
    <n v="4"/>
    <n v="25.677182979472601"/>
    <x v="6"/>
    <n v="95"/>
    <n v="47"/>
    <n v="2"/>
    <n v="0"/>
    <s v="C1123"/>
    <x v="1"/>
    <x v="0"/>
    <x v="1"/>
    <x v="0"/>
    <x v="0"/>
    <s v="Needs Improvement"/>
    <x v="1"/>
    <n v="63"/>
    <x v="0"/>
    <x v="1"/>
    <x v="0"/>
    <s v="Improve interview preparation and communication"/>
  </r>
  <r>
    <n v="49"/>
    <x v="1"/>
    <n v="1"/>
    <n v="13"/>
    <n v="1"/>
    <n v="23.678640480758698"/>
    <x v="94"/>
    <n v="29"/>
    <n v="11"/>
    <n v="2"/>
    <n v="0"/>
    <s v="C1124"/>
    <x v="1"/>
    <x v="2"/>
    <x v="1"/>
    <x v="2"/>
    <x v="2"/>
    <s v="Needs Improvement"/>
    <x v="1"/>
    <n v="55"/>
    <x v="0"/>
    <x v="2"/>
    <x v="1"/>
    <s v="Work on communication and personality development"/>
  </r>
  <r>
    <n v="30"/>
    <x v="0"/>
    <n v="2"/>
    <n v="7"/>
    <n v="5"/>
    <n v="2.9024589155045399"/>
    <x v="54"/>
    <n v="44"/>
    <n v="22"/>
    <n v="1"/>
    <n v="0"/>
    <s v="C1125"/>
    <x v="0"/>
    <x v="0"/>
    <x v="1"/>
    <x v="1"/>
    <x v="2"/>
    <s v="Needs Improvement"/>
    <x v="1"/>
    <n v="47"/>
    <x v="1"/>
    <x v="2"/>
    <x v="1"/>
    <s v="Work on communication and personality development"/>
  </r>
  <r>
    <n v="30"/>
    <x v="1"/>
    <n v="3"/>
    <n v="12"/>
    <n v="2"/>
    <n v="37.4318511158449"/>
    <x v="33"/>
    <n v="89"/>
    <n v="78"/>
    <n v="1"/>
    <n v="1"/>
    <s v="C1126"/>
    <x v="1"/>
    <x v="3"/>
    <x v="1"/>
    <x v="0"/>
    <x v="0"/>
    <s v="Strong"/>
    <x v="0"/>
    <n v="58"/>
    <x v="0"/>
    <x v="1"/>
    <x v="0"/>
    <s v="Improve interview preparation and communication"/>
  </r>
  <r>
    <n v="35"/>
    <x v="1"/>
    <n v="1"/>
    <n v="12"/>
    <n v="2"/>
    <n v="27.4034040466039"/>
    <x v="63"/>
    <n v="60"/>
    <n v="96"/>
    <n v="1"/>
    <n v="1"/>
    <s v="C1127"/>
    <x v="1"/>
    <x v="2"/>
    <x v="1"/>
    <x v="2"/>
    <x v="1"/>
    <s v="Strong"/>
    <x v="0"/>
    <n v="78"/>
    <x v="2"/>
    <x v="0"/>
    <x v="2"/>
    <s v="Strengthen technical skills and practical knowledge"/>
  </r>
  <r>
    <n v="30"/>
    <x v="1"/>
    <n v="3"/>
    <n v="0"/>
    <n v="5"/>
    <n v="11.104046804326"/>
    <x v="0"/>
    <n v="99"/>
    <n v="12"/>
    <n v="2"/>
    <n v="0"/>
    <s v="C1128"/>
    <x v="1"/>
    <x v="3"/>
    <x v="0"/>
    <x v="0"/>
    <x v="0"/>
    <s v="Needs Improvement"/>
    <x v="1"/>
    <n v="50"/>
    <x v="0"/>
    <x v="1"/>
    <x v="1"/>
    <s v="Work on communication and personality development"/>
  </r>
  <r>
    <n v="38"/>
    <x v="1"/>
    <n v="1"/>
    <n v="0"/>
    <n v="5"/>
    <n v="6.5036880090528504"/>
    <x v="43"/>
    <n v="50"/>
    <n v="86"/>
    <n v="3"/>
    <n v="0"/>
    <s v="C1129"/>
    <x v="1"/>
    <x v="2"/>
    <x v="0"/>
    <x v="1"/>
    <x v="1"/>
    <s v="Strong"/>
    <x v="1"/>
    <n v="55"/>
    <x v="0"/>
    <x v="0"/>
    <x v="2"/>
    <s v="Strengthen technical skills and practical knowledge"/>
  </r>
  <r>
    <n v="34"/>
    <x v="0"/>
    <n v="2"/>
    <n v="4"/>
    <n v="1"/>
    <n v="20.169393181599901"/>
    <x v="45"/>
    <n v="97"/>
    <n v="95"/>
    <n v="1"/>
    <n v="1"/>
    <s v="C1130"/>
    <x v="0"/>
    <x v="0"/>
    <x v="2"/>
    <x v="0"/>
    <x v="0"/>
    <s v="Strong"/>
    <x v="0"/>
    <n v="62"/>
    <x v="0"/>
    <x v="1"/>
    <x v="0"/>
    <s v="Improve interview preparation and communication"/>
  </r>
  <r>
    <n v="44"/>
    <x v="1"/>
    <n v="2"/>
    <n v="5"/>
    <n v="3"/>
    <n v="42.858098209751198"/>
    <x v="85"/>
    <n v="8"/>
    <n v="44"/>
    <n v="1"/>
    <n v="0"/>
    <s v="C1131"/>
    <x v="1"/>
    <x v="0"/>
    <x v="2"/>
    <x v="1"/>
    <x v="2"/>
    <s v="Needs Improvement"/>
    <x v="1"/>
    <n v="40"/>
    <x v="1"/>
    <x v="2"/>
    <x v="2"/>
    <s v="Strengthen technical skills and practical knowledge"/>
  </r>
  <r>
    <n v="42"/>
    <x v="0"/>
    <n v="3"/>
    <n v="2"/>
    <n v="2"/>
    <n v="44.264727960051196"/>
    <x v="74"/>
    <n v="75"/>
    <n v="98"/>
    <n v="2"/>
    <n v="1"/>
    <s v="C1132"/>
    <x v="0"/>
    <x v="3"/>
    <x v="0"/>
    <x v="2"/>
    <x v="0"/>
    <s v="Strong"/>
    <x v="0"/>
    <n v="77"/>
    <x v="2"/>
    <x v="2"/>
    <x v="2"/>
    <s v="Strengthen technical skills and practical knowledge"/>
  </r>
  <r>
    <n v="42"/>
    <x v="1"/>
    <n v="2"/>
    <n v="12"/>
    <n v="1"/>
    <n v="31.142319019781802"/>
    <x v="73"/>
    <n v="1"/>
    <n v="64"/>
    <n v="1"/>
    <n v="1"/>
    <s v="C1133"/>
    <x v="1"/>
    <x v="0"/>
    <x v="1"/>
    <x v="0"/>
    <x v="2"/>
    <s v="Good"/>
    <x v="0"/>
    <n v="35"/>
    <x v="1"/>
    <x v="0"/>
    <x v="2"/>
    <s v="Strengthen technical skills and practical knowledge"/>
  </r>
  <r>
    <n v="35"/>
    <x v="1"/>
    <n v="3"/>
    <n v="8"/>
    <n v="5"/>
    <n v="37.376821361507098"/>
    <x v="63"/>
    <n v="4"/>
    <n v="46"/>
    <n v="3"/>
    <n v="0"/>
    <s v="C1134"/>
    <x v="1"/>
    <x v="3"/>
    <x v="1"/>
    <x v="2"/>
    <x v="2"/>
    <s v="Needs Improvement"/>
    <x v="1"/>
    <n v="49"/>
    <x v="1"/>
    <x v="2"/>
    <x v="2"/>
    <s v="Strengthen technical skills and practical knowledge"/>
  </r>
  <r>
    <n v="50"/>
    <x v="0"/>
    <n v="3"/>
    <n v="11"/>
    <n v="1"/>
    <n v="6.7577893701435103"/>
    <x v="50"/>
    <n v="61"/>
    <n v="57"/>
    <n v="2"/>
    <n v="0"/>
    <s v="C1135"/>
    <x v="0"/>
    <x v="3"/>
    <x v="1"/>
    <x v="0"/>
    <x v="1"/>
    <s v="Good"/>
    <x v="1"/>
    <n v="50"/>
    <x v="0"/>
    <x v="1"/>
    <x v="0"/>
    <s v="Improve interview preparation and communication"/>
  </r>
  <r>
    <n v="30"/>
    <x v="1"/>
    <n v="2"/>
    <n v="9"/>
    <n v="5"/>
    <n v="30.406303273392702"/>
    <x v="95"/>
    <n v="68"/>
    <n v="4"/>
    <n v="1"/>
    <n v="1"/>
    <s v="C1136"/>
    <x v="1"/>
    <x v="0"/>
    <x v="1"/>
    <x v="1"/>
    <x v="1"/>
    <s v="Needs Improvement"/>
    <x v="0"/>
    <n v="49"/>
    <x v="1"/>
    <x v="1"/>
    <x v="1"/>
    <s v="Work on communication and personality development"/>
  </r>
  <r>
    <n v="41"/>
    <x v="0"/>
    <n v="3"/>
    <n v="13"/>
    <n v="4"/>
    <n v="34.348285174358999"/>
    <x v="91"/>
    <n v="51"/>
    <n v="76"/>
    <n v="1"/>
    <n v="1"/>
    <s v="C1137"/>
    <x v="0"/>
    <x v="3"/>
    <x v="1"/>
    <x v="0"/>
    <x v="1"/>
    <s v="Strong"/>
    <x v="0"/>
    <n v="47"/>
    <x v="1"/>
    <x v="0"/>
    <x v="0"/>
    <s v="Improve interview preparation and communication"/>
  </r>
  <r>
    <n v="35"/>
    <x v="0"/>
    <n v="3"/>
    <n v="14"/>
    <n v="5"/>
    <n v="11.0356421456896"/>
    <x v="44"/>
    <n v="85"/>
    <n v="4"/>
    <n v="1"/>
    <n v="1"/>
    <s v="C1138"/>
    <x v="0"/>
    <x v="3"/>
    <x v="1"/>
    <x v="1"/>
    <x v="0"/>
    <s v="Needs Improvement"/>
    <x v="0"/>
    <n v="62"/>
    <x v="0"/>
    <x v="1"/>
    <x v="1"/>
    <s v="Work on communication and personality development"/>
  </r>
  <r>
    <n v="27"/>
    <x v="1"/>
    <n v="1"/>
    <n v="5"/>
    <n v="5"/>
    <n v="45.0077366455129"/>
    <x v="68"/>
    <n v="4"/>
    <n v="59"/>
    <n v="2"/>
    <n v="0"/>
    <s v="C1139"/>
    <x v="1"/>
    <x v="2"/>
    <x v="2"/>
    <x v="0"/>
    <x v="2"/>
    <s v="Good"/>
    <x v="1"/>
    <n v="21"/>
    <x v="1"/>
    <x v="0"/>
    <x v="0"/>
    <s v="Improve interview preparation and communication"/>
  </r>
  <r>
    <n v="23"/>
    <x v="0"/>
    <n v="2"/>
    <n v="3"/>
    <n v="5"/>
    <n v="10.7498368760509"/>
    <x v="18"/>
    <n v="58"/>
    <n v="95"/>
    <n v="1"/>
    <n v="1"/>
    <s v="C1140"/>
    <x v="0"/>
    <x v="0"/>
    <x v="2"/>
    <x v="1"/>
    <x v="1"/>
    <s v="Strong"/>
    <x v="0"/>
    <n v="62"/>
    <x v="0"/>
    <x v="0"/>
    <x v="2"/>
    <s v="Strengthen technical skills and practical knowledge"/>
  </r>
  <r>
    <n v="27"/>
    <x v="0"/>
    <n v="4"/>
    <n v="11"/>
    <n v="3"/>
    <n v="16.673867992322499"/>
    <x v="42"/>
    <n v="67"/>
    <n v="20"/>
    <n v="2"/>
    <n v="0"/>
    <s v="C1141"/>
    <x v="0"/>
    <x v="1"/>
    <x v="1"/>
    <x v="0"/>
    <x v="1"/>
    <s v="Needs Improvement"/>
    <x v="1"/>
    <n v="52"/>
    <x v="0"/>
    <x v="1"/>
    <x v="1"/>
    <s v="Work on communication and personality development"/>
  </r>
  <r>
    <n v="23"/>
    <x v="0"/>
    <n v="1"/>
    <n v="6"/>
    <n v="5"/>
    <n v="32.0278423511729"/>
    <x v="3"/>
    <n v="8"/>
    <n v="23"/>
    <n v="2"/>
    <n v="0"/>
    <s v="C1142"/>
    <x v="0"/>
    <x v="2"/>
    <x v="2"/>
    <x v="0"/>
    <x v="2"/>
    <s v="Needs Improvement"/>
    <x v="1"/>
    <n v="26"/>
    <x v="1"/>
    <x v="2"/>
    <x v="2"/>
    <s v="Strengthen technical skills and practical knowledge"/>
  </r>
  <r>
    <n v="43"/>
    <x v="0"/>
    <n v="3"/>
    <n v="7"/>
    <n v="2"/>
    <n v="32.917503256536499"/>
    <x v="86"/>
    <n v="92"/>
    <n v="17"/>
    <n v="1"/>
    <n v="1"/>
    <s v="C1143"/>
    <x v="0"/>
    <x v="3"/>
    <x v="1"/>
    <x v="1"/>
    <x v="0"/>
    <s v="Needs Improvement"/>
    <x v="0"/>
    <n v="57"/>
    <x v="0"/>
    <x v="1"/>
    <x v="1"/>
    <s v="Work on communication and personality development"/>
  </r>
  <r>
    <n v="44"/>
    <x v="0"/>
    <n v="4"/>
    <n v="8"/>
    <n v="2"/>
    <n v="35.969237049368303"/>
    <x v="34"/>
    <n v="21"/>
    <n v="20"/>
    <n v="1"/>
    <n v="1"/>
    <s v="C1144"/>
    <x v="0"/>
    <x v="1"/>
    <x v="1"/>
    <x v="0"/>
    <x v="2"/>
    <s v="Needs Improvement"/>
    <x v="0"/>
    <n v="28"/>
    <x v="1"/>
    <x v="1"/>
    <x v="0"/>
    <s v="Improve interview preparation and communication"/>
  </r>
  <r>
    <n v="22"/>
    <x v="0"/>
    <n v="1"/>
    <n v="12"/>
    <n v="1"/>
    <n v="6.6005856534102803"/>
    <x v="41"/>
    <n v="26"/>
    <n v="53"/>
    <n v="2"/>
    <n v="0"/>
    <s v="C1145"/>
    <x v="0"/>
    <x v="2"/>
    <x v="1"/>
    <x v="0"/>
    <x v="2"/>
    <s v="Good"/>
    <x v="1"/>
    <n v="35"/>
    <x v="1"/>
    <x v="0"/>
    <x v="0"/>
    <s v="Improve interview preparation and communication"/>
  </r>
  <r>
    <n v="22"/>
    <x v="0"/>
    <n v="2"/>
    <n v="15"/>
    <n v="3"/>
    <n v="43.473221496427698"/>
    <x v="88"/>
    <n v="9"/>
    <n v="9"/>
    <n v="2"/>
    <n v="0"/>
    <s v="C1146"/>
    <x v="0"/>
    <x v="0"/>
    <x v="1"/>
    <x v="0"/>
    <x v="2"/>
    <s v="Needs Improvement"/>
    <x v="1"/>
    <n v="33"/>
    <x v="1"/>
    <x v="2"/>
    <x v="2"/>
    <s v="Strengthen technical skills and practical knowledge"/>
  </r>
  <r>
    <n v="46"/>
    <x v="0"/>
    <n v="2"/>
    <n v="10"/>
    <n v="1"/>
    <n v="27.6423566141629"/>
    <x v="24"/>
    <n v="79"/>
    <n v="23"/>
    <n v="3"/>
    <n v="0"/>
    <s v="C1147"/>
    <x v="0"/>
    <x v="0"/>
    <x v="1"/>
    <x v="2"/>
    <x v="0"/>
    <s v="Needs Improvement"/>
    <x v="1"/>
    <n v="65"/>
    <x v="0"/>
    <x v="2"/>
    <x v="1"/>
    <s v="Work on communication and personality development"/>
  </r>
  <r>
    <n v="48"/>
    <x v="1"/>
    <n v="2"/>
    <n v="5"/>
    <n v="2"/>
    <n v="24.5660897052534"/>
    <x v="66"/>
    <n v="60"/>
    <n v="84"/>
    <n v="1"/>
    <n v="1"/>
    <s v="C1148"/>
    <x v="1"/>
    <x v="0"/>
    <x v="2"/>
    <x v="1"/>
    <x v="1"/>
    <s v="Strong"/>
    <x v="0"/>
    <n v="59"/>
    <x v="0"/>
    <x v="0"/>
    <x v="0"/>
    <s v="Improve interview preparation and communication"/>
  </r>
  <r>
    <n v="37"/>
    <x v="1"/>
    <n v="1"/>
    <n v="14"/>
    <n v="2"/>
    <n v="50.054881225675402"/>
    <x v="90"/>
    <n v="50"/>
    <n v="88"/>
    <n v="1"/>
    <n v="1"/>
    <s v="C1149"/>
    <x v="1"/>
    <x v="2"/>
    <x v="1"/>
    <x v="0"/>
    <x v="1"/>
    <s v="Strong"/>
    <x v="0"/>
    <n v="63"/>
    <x v="0"/>
    <x v="0"/>
    <x v="0"/>
    <s v="Improve interview preparation and communication"/>
  </r>
  <r>
    <n v="48"/>
    <x v="0"/>
    <n v="1"/>
    <n v="5"/>
    <n v="4"/>
    <n v="38.018914847050901"/>
    <x v="72"/>
    <n v="9"/>
    <n v="59"/>
    <n v="1"/>
    <n v="0"/>
    <s v="C1150"/>
    <x v="0"/>
    <x v="2"/>
    <x v="2"/>
    <x v="2"/>
    <x v="2"/>
    <s v="Good"/>
    <x v="1"/>
    <n v="49"/>
    <x v="1"/>
    <x v="2"/>
    <x v="2"/>
    <s v="Strengthen technical skills and practical knowledge"/>
  </r>
  <r>
    <n v="45"/>
    <x v="1"/>
    <n v="2"/>
    <n v="7"/>
    <n v="5"/>
    <n v="6.9003013309687402"/>
    <x v="51"/>
    <n v="5"/>
    <n v="56"/>
    <n v="2"/>
    <n v="0"/>
    <s v="C1151"/>
    <x v="1"/>
    <x v="0"/>
    <x v="1"/>
    <x v="0"/>
    <x v="2"/>
    <s v="Good"/>
    <x v="1"/>
    <n v="25"/>
    <x v="1"/>
    <x v="0"/>
    <x v="2"/>
    <s v="Strengthen technical skills and practical knowledge"/>
  </r>
  <r>
    <n v="38"/>
    <x v="0"/>
    <n v="3"/>
    <n v="11"/>
    <n v="2"/>
    <n v="38.826958361312002"/>
    <x v="56"/>
    <n v="61"/>
    <n v="22"/>
    <n v="2"/>
    <n v="1"/>
    <s v="C1152"/>
    <x v="0"/>
    <x v="3"/>
    <x v="1"/>
    <x v="2"/>
    <x v="1"/>
    <s v="Needs Improvement"/>
    <x v="0"/>
    <n v="61"/>
    <x v="0"/>
    <x v="2"/>
    <x v="1"/>
    <s v="Work on communication and personality development"/>
  </r>
  <r>
    <n v="38"/>
    <x v="0"/>
    <n v="3"/>
    <n v="4"/>
    <n v="1"/>
    <n v="5.7624466986434699"/>
    <x v="0"/>
    <n v="4"/>
    <n v="21"/>
    <n v="3"/>
    <n v="0"/>
    <s v="C1153"/>
    <x v="0"/>
    <x v="3"/>
    <x v="2"/>
    <x v="0"/>
    <x v="2"/>
    <s v="Needs Improvement"/>
    <x v="1"/>
    <n v="28"/>
    <x v="1"/>
    <x v="2"/>
    <x v="2"/>
    <s v="Strengthen technical skills and practical knowledge"/>
  </r>
  <r>
    <n v="40"/>
    <x v="1"/>
    <n v="2"/>
    <n v="13"/>
    <n v="1"/>
    <n v="2.3735281256492402"/>
    <x v="42"/>
    <n v="69"/>
    <n v="67"/>
    <n v="2"/>
    <n v="0"/>
    <s v="C1154"/>
    <x v="1"/>
    <x v="0"/>
    <x v="1"/>
    <x v="0"/>
    <x v="1"/>
    <s v="Good"/>
    <x v="1"/>
    <n v="62"/>
    <x v="0"/>
    <x v="1"/>
    <x v="0"/>
    <s v="Improve interview preparation and communication"/>
  </r>
  <r>
    <n v="24"/>
    <x v="0"/>
    <n v="1"/>
    <n v="2"/>
    <n v="5"/>
    <n v="21.181294763494801"/>
    <x v="24"/>
    <n v="62"/>
    <n v="33"/>
    <n v="1"/>
    <n v="1"/>
    <s v="C1155"/>
    <x v="0"/>
    <x v="2"/>
    <x v="0"/>
    <x v="2"/>
    <x v="1"/>
    <s v="Needs Improvement"/>
    <x v="0"/>
    <n v="54"/>
    <x v="0"/>
    <x v="2"/>
    <x v="1"/>
    <s v="Work on communication and personality development"/>
  </r>
  <r>
    <n v="37"/>
    <x v="0"/>
    <n v="2"/>
    <n v="11"/>
    <n v="5"/>
    <n v="50.678908640960898"/>
    <x v="47"/>
    <n v="55"/>
    <n v="69"/>
    <n v="2"/>
    <n v="0"/>
    <s v="C1156"/>
    <x v="0"/>
    <x v="0"/>
    <x v="1"/>
    <x v="0"/>
    <x v="1"/>
    <s v="Good"/>
    <x v="1"/>
    <n v="53"/>
    <x v="0"/>
    <x v="0"/>
    <x v="0"/>
    <s v="Improve interview preparation and communication"/>
  </r>
  <r>
    <n v="47"/>
    <x v="0"/>
    <n v="2"/>
    <n v="2"/>
    <n v="4"/>
    <n v="9.74419680974313"/>
    <x v="61"/>
    <n v="58"/>
    <n v="27"/>
    <n v="3"/>
    <n v="0"/>
    <s v="C1157"/>
    <x v="0"/>
    <x v="0"/>
    <x v="0"/>
    <x v="0"/>
    <x v="1"/>
    <s v="Needs Improvement"/>
    <x v="1"/>
    <n v="29"/>
    <x v="1"/>
    <x v="1"/>
    <x v="0"/>
    <s v="Improve interview preparation and communication"/>
  </r>
  <r>
    <n v="29"/>
    <x v="0"/>
    <n v="4"/>
    <n v="12"/>
    <n v="3"/>
    <n v="34.632217176339502"/>
    <x v="94"/>
    <n v="62"/>
    <n v="94"/>
    <n v="2"/>
    <n v="1"/>
    <s v="C1158"/>
    <x v="0"/>
    <x v="1"/>
    <x v="1"/>
    <x v="2"/>
    <x v="1"/>
    <s v="Strong"/>
    <x v="0"/>
    <n v="83"/>
    <x v="2"/>
    <x v="2"/>
    <x v="2"/>
    <s v="Strengthen technical skills and practical knowledge"/>
  </r>
  <r>
    <n v="48"/>
    <x v="1"/>
    <n v="3"/>
    <n v="5"/>
    <n v="1"/>
    <n v="9.6698033103059604"/>
    <x v="11"/>
    <n v="88"/>
    <n v="98"/>
    <n v="2"/>
    <n v="0"/>
    <s v="C1159"/>
    <x v="1"/>
    <x v="3"/>
    <x v="2"/>
    <x v="1"/>
    <x v="0"/>
    <s v="Strong"/>
    <x v="1"/>
    <n v="76"/>
    <x v="2"/>
    <x v="0"/>
    <x v="0"/>
    <s v="Improve interview preparation and communication"/>
  </r>
  <r>
    <n v="41"/>
    <x v="0"/>
    <n v="3"/>
    <n v="1"/>
    <n v="5"/>
    <n v="37.239348747919301"/>
    <x v="24"/>
    <n v="58"/>
    <n v="38"/>
    <n v="3"/>
    <n v="0"/>
    <s v="C1160"/>
    <x v="0"/>
    <x v="3"/>
    <x v="0"/>
    <x v="2"/>
    <x v="1"/>
    <s v="Needs Improvement"/>
    <x v="1"/>
    <n v="54"/>
    <x v="0"/>
    <x v="2"/>
    <x v="1"/>
    <s v="Work on communication and personality development"/>
  </r>
  <r>
    <n v="40"/>
    <x v="0"/>
    <n v="4"/>
    <n v="15"/>
    <n v="1"/>
    <n v="26.267683411891301"/>
    <x v="31"/>
    <n v="50"/>
    <n v="41"/>
    <n v="2"/>
    <n v="0"/>
    <s v="C1161"/>
    <x v="0"/>
    <x v="1"/>
    <x v="1"/>
    <x v="0"/>
    <x v="1"/>
    <s v="Needs Improvement"/>
    <x v="1"/>
    <n v="52"/>
    <x v="0"/>
    <x v="1"/>
    <x v="0"/>
    <s v="Improve interview preparation and communication"/>
  </r>
  <r>
    <n v="25"/>
    <x v="0"/>
    <n v="1"/>
    <n v="5"/>
    <n v="5"/>
    <n v="34.998585504468799"/>
    <x v="53"/>
    <n v="49"/>
    <n v="22"/>
    <n v="2"/>
    <n v="0"/>
    <s v="C1162"/>
    <x v="0"/>
    <x v="2"/>
    <x v="2"/>
    <x v="1"/>
    <x v="2"/>
    <s v="Needs Improvement"/>
    <x v="1"/>
    <n v="42"/>
    <x v="1"/>
    <x v="2"/>
    <x v="1"/>
    <s v="Work on communication and personality development"/>
  </r>
  <r>
    <n v="20"/>
    <x v="1"/>
    <n v="3"/>
    <n v="15"/>
    <n v="2"/>
    <n v="11.143658795711699"/>
    <x v="27"/>
    <n v="3"/>
    <n v="69"/>
    <n v="1"/>
    <n v="1"/>
    <s v="C1163"/>
    <x v="1"/>
    <x v="3"/>
    <x v="1"/>
    <x v="2"/>
    <x v="2"/>
    <s v="Good"/>
    <x v="0"/>
    <n v="60"/>
    <x v="0"/>
    <x v="2"/>
    <x v="2"/>
    <s v="Strengthen technical skills and practical knowledge"/>
  </r>
  <r>
    <n v="24"/>
    <x v="0"/>
    <n v="2"/>
    <n v="12"/>
    <n v="1"/>
    <n v="38.281416626025099"/>
    <x v="82"/>
    <n v="47"/>
    <n v="79"/>
    <n v="2"/>
    <n v="0"/>
    <s v="C1164"/>
    <x v="0"/>
    <x v="0"/>
    <x v="1"/>
    <x v="2"/>
    <x v="2"/>
    <s v="Strong"/>
    <x v="1"/>
    <n v="74"/>
    <x v="0"/>
    <x v="2"/>
    <x v="2"/>
    <s v="Strengthen technical skills and practical knowledge"/>
  </r>
  <r>
    <n v="28"/>
    <x v="1"/>
    <n v="4"/>
    <n v="5"/>
    <n v="2"/>
    <n v="50.7809529811353"/>
    <x v="23"/>
    <n v="31"/>
    <n v="1"/>
    <n v="1"/>
    <n v="0"/>
    <s v="C1165"/>
    <x v="1"/>
    <x v="1"/>
    <x v="2"/>
    <x v="0"/>
    <x v="2"/>
    <s v="Needs Improvement"/>
    <x v="1"/>
    <n v="26"/>
    <x v="1"/>
    <x v="1"/>
    <x v="1"/>
    <s v="Work on communication and personality development"/>
  </r>
  <r>
    <n v="31"/>
    <x v="1"/>
    <n v="2"/>
    <n v="7"/>
    <n v="1"/>
    <n v="34.282525031297901"/>
    <x v="75"/>
    <n v="50"/>
    <n v="23"/>
    <n v="2"/>
    <n v="0"/>
    <s v="C1166"/>
    <x v="1"/>
    <x v="0"/>
    <x v="1"/>
    <x v="0"/>
    <x v="1"/>
    <s v="Needs Improvement"/>
    <x v="1"/>
    <n v="43"/>
    <x v="1"/>
    <x v="1"/>
    <x v="1"/>
    <s v="Work on communication and personality development"/>
  </r>
  <r>
    <n v="45"/>
    <x v="0"/>
    <n v="3"/>
    <n v="6"/>
    <n v="3"/>
    <n v="25.6739999036438"/>
    <x v="78"/>
    <n v="51"/>
    <n v="16"/>
    <n v="1"/>
    <n v="1"/>
    <s v="C1167"/>
    <x v="0"/>
    <x v="3"/>
    <x v="2"/>
    <x v="0"/>
    <x v="1"/>
    <s v="Needs Improvement"/>
    <x v="0"/>
    <n v="40"/>
    <x v="1"/>
    <x v="1"/>
    <x v="1"/>
    <s v="Work on communication and personality development"/>
  </r>
  <r>
    <n v="33"/>
    <x v="0"/>
    <n v="3"/>
    <n v="7"/>
    <n v="4"/>
    <n v="47.158699430963203"/>
    <x v="49"/>
    <n v="98"/>
    <n v="64"/>
    <n v="3"/>
    <n v="1"/>
    <s v="C1168"/>
    <x v="0"/>
    <x v="3"/>
    <x v="1"/>
    <x v="0"/>
    <x v="0"/>
    <s v="Good"/>
    <x v="0"/>
    <n v="54"/>
    <x v="0"/>
    <x v="1"/>
    <x v="0"/>
    <s v="Improve interview preparation and communication"/>
  </r>
  <r>
    <n v="21"/>
    <x v="1"/>
    <n v="1"/>
    <n v="13"/>
    <n v="2"/>
    <n v="1.7925921115938099"/>
    <x v="88"/>
    <n v="73"/>
    <n v="69"/>
    <n v="3"/>
    <n v="0"/>
    <s v="C1169"/>
    <x v="1"/>
    <x v="2"/>
    <x v="1"/>
    <x v="0"/>
    <x v="1"/>
    <s v="Good"/>
    <x v="1"/>
    <n v="62"/>
    <x v="0"/>
    <x v="1"/>
    <x v="0"/>
    <s v="Improve interview preparation and communication"/>
  </r>
  <r>
    <n v="36"/>
    <x v="0"/>
    <n v="2"/>
    <n v="8"/>
    <n v="5"/>
    <n v="37.496175964290998"/>
    <x v="42"/>
    <n v="33"/>
    <n v="68"/>
    <n v="2"/>
    <n v="0"/>
    <s v="C1170"/>
    <x v="0"/>
    <x v="0"/>
    <x v="1"/>
    <x v="0"/>
    <x v="2"/>
    <s v="Good"/>
    <x v="1"/>
    <n v="46"/>
    <x v="1"/>
    <x v="0"/>
    <x v="2"/>
    <s v="Strengthen technical skills and practical knowledge"/>
  </r>
  <r>
    <n v="33"/>
    <x v="1"/>
    <n v="3"/>
    <n v="5"/>
    <n v="3"/>
    <n v="45.437325840690598"/>
    <x v="19"/>
    <n v="35"/>
    <n v="59"/>
    <n v="1"/>
    <n v="1"/>
    <s v="C1171"/>
    <x v="1"/>
    <x v="3"/>
    <x v="2"/>
    <x v="2"/>
    <x v="2"/>
    <s v="Good"/>
    <x v="0"/>
    <n v="61"/>
    <x v="0"/>
    <x v="2"/>
    <x v="2"/>
    <s v="Strengthen technical skills and practical knowledge"/>
  </r>
  <r>
    <n v="45"/>
    <x v="1"/>
    <n v="2"/>
    <n v="13"/>
    <n v="1"/>
    <n v="4.08372918104787"/>
    <x v="73"/>
    <n v="69"/>
    <n v="49"/>
    <n v="1"/>
    <n v="1"/>
    <s v="C1172"/>
    <x v="1"/>
    <x v="0"/>
    <x v="1"/>
    <x v="0"/>
    <x v="1"/>
    <s v="Needs Improvement"/>
    <x v="0"/>
    <n v="54"/>
    <x v="0"/>
    <x v="1"/>
    <x v="0"/>
    <s v="Improve interview preparation and communication"/>
  </r>
  <r>
    <n v="32"/>
    <x v="0"/>
    <n v="2"/>
    <n v="15"/>
    <n v="2"/>
    <n v="23.503208520787901"/>
    <x v="30"/>
    <n v="42"/>
    <n v="92"/>
    <n v="2"/>
    <n v="0"/>
    <s v="C1173"/>
    <x v="0"/>
    <x v="0"/>
    <x v="1"/>
    <x v="1"/>
    <x v="2"/>
    <s v="Strong"/>
    <x v="1"/>
    <n v="71"/>
    <x v="0"/>
    <x v="0"/>
    <x v="2"/>
    <s v="Strengthen technical skills and practical knowledge"/>
  </r>
  <r>
    <n v="46"/>
    <x v="0"/>
    <n v="2"/>
    <n v="2"/>
    <n v="1"/>
    <n v="11.2359726974999"/>
    <x v="93"/>
    <n v="15"/>
    <n v="11"/>
    <n v="2"/>
    <n v="0"/>
    <s v="C1174"/>
    <x v="0"/>
    <x v="0"/>
    <x v="0"/>
    <x v="1"/>
    <x v="2"/>
    <s v="Needs Improvement"/>
    <x v="1"/>
    <n v="32"/>
    <x v="1"/>
    <x v="2"/>
    <x v="1"/>
    <s v="Work on communication and personality development"/>
  </r>
  <r>
    <n v="28"/>
    <x v="1"/>
    <n v="1"/>
    <n v="9"/>
    <n v="1"/>
    <n v="29.325908279391498"/>
    <x v="21"/>
    <n v="58"/>
    <n v="46"/>
    <n v="2"/>
    <n v="0"/>
    <s v="C1175"/>
    <x v="1"/>
    <x v="2"/>
    <x v="1"/>
    <x v="1"/>
    <x v="1"/>
    <s v="Needs Improvement"/>
    <x v="1"/>
    <n v="55"/>
    <x v="0"/>
    <x v="1"/>
    <x v="1"/>
    <s v="Work on communication and personality development"/>
  </r>
  <r>
    <n v="45"/>
    <x v="1"/>
    <n v="3"/>
    <n v="2"/>
    <n v="1"/>
    <n v="33.477147930183001"/>
    <x v="58"/>
    <n v="52"/>
    <n v="66"/>
    <n v="2"/>
    <n v="0"/>
    <s v="C1176"/>
    <x v="1"/>
    <x v="3"/>
    <x v="0"/>
    <x v="0"/>
    <x v="1"/>
    <s v="Good"/>
    <x v="1"/>
    <n v="39"/>
    <x v="1"/>
    <x v="0"/>
    <x v="0"/>
    <s v="Improve interview preparation and communication"/>
  </r>
  <r>
    <n v="44"/>
    <x v="1"/>
    <n v="2"/>
    <n v="15"/>
    <n v="4"/>
    <n v="16.1311591464377"/>
    <x v="11"/>
    <n v="18"/>
    <n v="64"/>
    <n v="2"/>
    <n v="0"/>
    <s v="C1177"/>
    <x v="1"/>
    <x v="0"/>
    <x v="1"/>
    <x v="1"/>
    <x v="2"/>
    <s v="Good"/>
    <x v="1"/>
    <n v="57"/>
    <x v="0"/>
    <x v="2"/>
    <x v="2"/>
    <s v="Strengthen technical skills and practical knowledge"/>
  </r>
  <r>
    <n v="34"/>
    <x v="1"/>
    <n v="1"/>
    <n v="10"/>
    <n v="4"/>
    <n v="23.999083483905"/>
    <x v="57"/>
    <n v="97"/>
    <n v="26"/>
    <n v="2"/>
    <n v="0"/>
    <s v="C1178"/>
    <x v="1"/>
    <x v="2"/>
    <x v="1"/>
    <x v="2"/>
    <x v="0"/>
    <s v="Needs Improvement"/>
    <x v="1"/>
    <n v="74"/>
    <x v="0"/>
    <x v="1"/>
    <x v="1"/>
    <s v="Work on communication and personality development"/>
  </r>
  <r>
    <n v="44"/>
    <x v="0"/>
    <n v="2"/>
    <n v="11"/>
    <n v="5"/>
    <n v="14.9669742638279"/>
    <x v="90"/>
    <n v="88"/>
    <n v="47"/>
    <n v="2"/>
    <n v="0"/>
    <s v="C1179"/>
    <x v="0"/>
    <x v="0"/>
    <x v="1"/>
    <x v="0"/>
    <x v="0"/>
    <s v="Needs Improvement"/>
    <x v="1"/>
    <n v="63"/>
    <x v="0"/>
    <x v="1"/>
    <x v="0"/>
    <s v="Improve interview preparation and communication"/>
  </r>
  <r>
    <n v="41"/>
    <x v="0"/>
    <n v="2"/>
    <n v="0"/>
    <n v="2"/>
    <n v="19.469558222755602"/>
    <x v="69"/>
    <n v="94"/>
    <n v="87"/>
    <n v="2"/>
    <n v="0"/>
    <s v="C1180"/>
    <x v="0"/>
    <x v="0"/>
    <x v="0"/>
    <x v="2"/>
    <x v="0"/>
    <s v="Strong"/>
    <x v="1"/>
    <n v="72"/>
    <x v="0"/>
    <x v="1"/>
    <x v="0"/>
    <s v="Improve interview preparation and communication"/>
  </r>
  <r>
    <n v="34"/>
    <x v="0"/>
    <n v="1"/>
    <n v="10"/>
    <n v="3"/>
    <n v="8.97699783442118"/>
    <x v="22"/>
    <n v="40"/>
    <n v="61"/>
    <n v="2"/>
    <n v="0"/>
    <s v="C1181"/>
    <x v="0"/>
    <x v="2"/>
    <x v="1"/>
    <x v="0"/>
    <x v="2"/>
    <s v="Good"/>
    <x v="1"/>
    <n v="40"/>
    <x v="1"/>
    <x v="0"/>
    <x v="0"/>
    <s v="Improve interview preparation and communication"/>
  </r>
  <r>
    <n v="43"/>
    <x v="0"/>
    <n v="2"/>
    <n v="14"/>
    <n v="3"/>
    <n v="45.277972179281498"/>
    <x v="13"/>
    <n v="80"/>
    <n v="43"/>
    <n v="1"/>
    <n v="1"/>
    <s v="C1182"/>
    <x v="0"/>
    <x v="0"/>
    <x v="1"/>
    <x v="0"/>
    <x v="0"/>
    <s v="Needs Improvement"/>
    <x v="0"/>
    <n v="52"/>
    <x v="0"/>
    <x v="1"/>
    <x v="0"/>
    <s v="Improve interview preparation and communication"/>
  </r>
  <r>
    <n v="49"/>
    <x v="0"/>
    <n v="2"/>
    <n v="12"/>
    <n v="3"/>
    <n v="1.5005205279568199"/>
    <x v="72"/>
    <n v="46"/>
    <n v="18"/>
    <n v="1"/>
    <n v="1"/>
    <s v="C1183"/>
    <x v="0"/>
    <x v="0"/>
    <x v="1"/>
    <x v="2"/>
    <x v="2"/>
    <s v="Needs Improvement"/>
    <x v="0"/>
    <n v="59"/>
    <x v="0"/>
    <x v="2"/>
    <x v="1"/>
    <s v="Work on communication and personality development"/>
  </r>
  <r>
    <n v="30"/>
    <x v="1"/>
    <n v="2"/>
    <n v="14"/>
    <n v="1"/>
    <n v="45.120459322189397"/>
    <x v="60"/>
    <n v="93"/>
    <n v="58"/>
    <n v="2"/>
    <n v="0"/>
    <s v="C1184"/>
    <x v="1"/>
    <x v="0"/>
    <x v="1"/>
    <x v="2"/>
    <x v="0"/>
    <s v="Good"/>
    <x v="1"/>
    <n v="82"/>
    <x v="2"/>
    <x v="1"/>
    <x v="1"/>
    <s v="Work on communication and personality development"/>
  </r>
  <r>
    <n v="50"/>
    <x v="0"/>
    <n v="3"/>
    <n v="4"/>
    <n v="4"/>
    <n v="29.583943917486899"/>
    <x v="20"/>
    <n v="53"/>
    <n v="7"/>
    <n v="1"/>
    <n v="1"/>
    <s v="C1185"/>
    <x v="0"/>
    <x v="3"/>
    <x v="2"/>
    <x v="2"/>
    <x v="1"/>
    <s v="Needs Improvement"/>
    <x v="0"/>
    <n v="52"/>
    <x v="0"/>
    <x v="2"/>
    <x v="1"/>
    <s v="Work on communication and personality development"/>
  </r>
  <r>
    <n v="35"/>
    <x v="0"/>
    <n v="2"/>
    <n v="13"/>
    <n v="2"/>
    <n v="17.582892208850801"/>
    <x v="4"/>
    <n v="54"/>
    <n v="54"/>
    <n v="2"/>
    <n v="0"/>
    <s v="C1186"/>
    <x v="0"/>
    <x v="0"/>
    <x v="1"/>
    <x v="0"/>
    <x v="1"/>
    <s v="Good"/>
    <x v="1"/>
    <n v="49"/>
    <x v="1"/>
    <x v="1"/>
    <x v="0"/>
    <s v="Improve interview preparation and communication"/>
  </r>
  <r>
    <n v="48"/>
    <x v="0"/>
    <n v="2"/>
    <n v="3"/>
    <n v="1"/>
    <n v="37.152856273016397"/>
    <x v="9"/>
    <n v="94"/>
    <n v="46"/>
    <n v="2"/>
    <n v="0"/>
    <s v="C1187"/>
    <x v="0"/>
    <x v="0"/>
    <x v="2"/>
    <x v="2"/>
    <x v="0"/>
    <s v="Needs Improvement"/>
    <x v="1"/>
    <n v="71"/>
    <x v="0"/>
    <x v="1"/>
    <x v="1"/>
    <s v="Work on communication and personality development"/>
  </r>
  <r>
    <n v="36"/>
    <x v="0"/>
    <n v="2"/>
    <n v="8"/>
    <n v="4"/>
    <n v="26.3876075931332"/>
    <x v="14"/>
    <n v="18"/>
    <n v="1"/>
    <n v="3"/>
    <n v="0"/>
    <s v="C1188"/>
    <x v="0"/>
    <x v="0"/>
    <x v="1"/>
    <x v="1"/>
    <x v="2"/>
    <s v="Needs Improvement"/>
    <x v="1"/>
    <n v="38"/>
    <x v="1"/>
    <x v="2"/>
    <x v="1"/>
    <s v="Work on communication and personality development"/>
  </r>
  <r>
    <n v="45"/>
    <x v="0"/>
    <n v="2"/>
    <n v="14"/>
    <n v="4"/>
    <n v="25.955432905380299"/>
    <x v="62"/>
    <n v="61"/>
    <n v="93"/>
    <n v="2"/>
    <n v="0"/>
    <s v="C1189"/>
    <x v="0"/>
    <x v="0"/>
    <x v="1"/>
    <x v="0"/>
    <x v="1"/>
    <s v="Strong"/>
    <x v="1"/>
    <n v="54"/>
    <x v="0"/>
    <x v="0"/>
    <x v="0"/>
    <s v="Improve interview preparation and communication"/>
  </r>
  <r>
    <n v="23"/>
    <x v="1"/>
    <n v="2"/>
    <n v="8"/>
    <n v="2"/>
    <n v="6.5071141459483197"/>
    <x v="67"/>
    <n v="98"/>
    <n v="93"/>
    <n v="1"/>
    <n v="1"/>
    <s v="C1190"/>
    <x v="1"/>
    <x v="0"/>
    <x v="1"/>
    <x v="0"/>
    <x v="0"/>
    <s v="Strong"/>
    <x v="0"/>
    <n v="72"/>
    <x v="0"/>
    <x v="1"/>
    <x v="0"/>
    <s v="Improve interview preparation and communication"/>
  </r>
  <r>
    <n v="20"/>
    <x v="1"/>
    <n v="2"/>
    <n v="14"/>
    <n v="2"/>
    <n v="20.475801297270401"/>
    <x v="50"/>
    <n v="92"/>
    <n v="38"/>
    <n v="1"/>
    <n v="1"/>
    <s v="C1191"/>
    <x v="1"/>
    <x v="0"/>
    <x v="1"/>
    <x v="0"/>
    <x v="0"/>
    <s v="Needs Improvement"/>
    <x v="0"/>
    <n v="57"/>
    <x v="0"/>
    <x v="1"/>
    <x v="0"/>
    <s v="Improve interview preparation and communication"/>
  </r>
  <r>
    <n v="27"/>
    <x v="1"/>
    <n v="3"/>
    <n v="13"/>
    <n v="2"/>
    <n v="13.0532172928368"/>
    <x v="77"/>
    <n v="58"/>
    <n v="44"/>
    <n v="3"/>
    <n v="0"/>
    <s v="C1192"/>
    <x v="1"/>
    <x v="3"/>
    <x v="1"/>
    <x v="0"/>
    <x v="1"/>
    <s v="Needs Improvement"/>
    <x v="1"/>
    <n v="56"/>
    <x v="0"/>
    <x v="1"/>
    <x v="0"/>
    <s v="Improve interview preparation and communication"/>
  </r>
  <r>
    <n v="36"/>
    <x v="0"/>
    <n v="2"/>
    <n v="4"/>
    <n v="1"/>
    <n v="1.7847952798139799"/>
    <x v="28"/>
    <n v="64"/>
    <n v="31"/>
    <n v="1"/>
    <n v="1"/>
    <s v="C1193"/>
    <x v="0"/>
    <x v="0"/>
    <x v="2"/>
    <x v="2"/>
    <x v="1"/>
    <s v="Needs Improvement"/>
    <x v="0"/>
    <n v="56"/>
    <x v="0"/>
    <x v="2"/>
    <x v="1"/>
    <s v="Work on communication and personality development"/>
  </r>
  <r>
    <n v="22"/>
    <x v="1"/>
    <n v="2"/>
    <n v="9"/>
    <n v="5"/>
    <n v="19.0049815391056"/>
    <x v="64"/>
    <n v="67"/>
    <n v="64"/>
    <n v="2"/>
    <n v="0"/>
    <s v="C1194"/>
    <x v="1"/>
    <x v="0"/>
    <x v="1"/>
    <x v="0"/>
    <x v="1"/>
    <s v="Good"/>
    <x v="1"/>
    <n v="54"/>
    <x v="0"/>
    <x v="1"/>
    <x v="0"/>
    <s v="Improve interview preparation and communication"/>
  </r>
  <r>
    <n v="48"/>
    <x v="1"/>
    <n v="3"/>
    <n v="3"/>
    <n v="2"/>
    <n v="5.4911064712802302"/>
    <x v="9"/>
    <n v="27"/>
    <n v="37"/>
    <n v="2"/>
    <n v="0"/>
    <s v="C1195"/>
    <x v="1"/>
    <x v="3"/>
    <x v="2"/>
    <x v="2"/>
    <x v="2"/>
    <s v="Needs Improvement"/>
    <x v="1"/>
    <n v="50"/>
    <x v="0"/>
    <x v="2"/>
    <x v="2"/>
    <s v="Strengthen technical skills and practical knowledge"/>
  </r>
  <r>
    <n v="39"/>
    <x v="0"/>
    <n v="2"/>
    <n v="6"/>
    <n v="5"/>
    <n v="13.8415018862592"/>
    <x v="51"/>
    <n v="17"/>
    <n v="76"/>
    <n v="2"/>
    <n v="0"/>
    <s v="C1196"/>
    <x v="0"/>
    <x v="0"/>
    <x v="2"/>
    <x v="0"/>
    <x v="2"/>
    <s v="Strong"/>
    <x v="1"/>
    <n v="32"/>
    <x v="1"/>
    <x v="0"/>
    <x v="0"/>
    <s v="Improve interview preparation and communication"/>
  </r>
  <r>
    <n v="34"/>
    <x v="0"/>
    <n v="2"/>
    <n v="14"/>
    <n v="1"/>
    <n v="5.62583105915472"/>
    <x v="14"/>
    <n v="25"/>
    <n v="10"/>
    <n v="2"/>
    <n v="0"/>
    <s v="C1197"/>
    <x v="0"/>
    <x v="0"/>
    <x v="1"/>
    <x v="1"/>
    <x v="2"/>
    <s v="Needs Improvement"/>
    <x v="1"/>
    <n v="48"/>
    <x v="1"/>
    <x v="2"/>
    <x v="1"/>
    <s v="Work on communication and personality development"/>
  </r>
  <r>
    <n v="34"/>
    <x v="0"/>
    <n v="2"/>
    <n v="5"/>
    <n v="5"/>
    <n v="6.0470812778199399"/>
    <x v="96"/>
    <n v="18"/>
    <n v="9"/>
    <n v="2"/>
    <n v="0"/>
    <s v="C1198"/>
    <x v="0"/>
    <x v="0"/>
    <x v="2"/>
    <x v="1"/>
    <x v="2"/>
    <s v="Needs Improvement"/>
    <x v="1"/>
    <n v="32"/>
    <x v="1"/>
    <x v="2"/>
    <x v="1"/>
    <s v="Work on communication and personality development"/>
  </r>
  <r>
    <n v="50"/>
    <x v="1"/>
    <n v="1"/>
    <n v="3"/>
    <n v="3"/>
    <n v="10.950564720759401"/>
    <x v="31"/>
    <n v="54"/>
    <n v="58"/>
    <n v="3"/>
    <n v="0"/>
    <s v="C1199"/>
    <x v="1"/>
    <x v="2"/>
    <x v="2"/>
    <x v="0"/>
    <x v="1"/>
    <s v="Good"/>
    <x v="1"/>
    <n v="42"/>
    <x v="1"/>
    <x v="0"/>
    <x v="0"/>
    <s v="Improve interview preparation and communication"/>
  </r>
  <r>
    <n v="43"/>
    <x v="1"/>
    <n v="3"/>
    <n v="12"/>
    <n v="5"/>
    <n v="50.992462224320001"/>
    <x v="76"/>
    <n v="56"/>
    <n v="89"/>
    <n v="1"/>
    <n v="1"/>
    <s v="C1200"/>
    <x v="1"/>
    <x v="3"/>
    <x v="1"/>
    <x v="0"/>
    <x v="1"/>
    <s v="Strong"/>
    <x v="0"/>
    <n v="58"/>
    <x v="0"/>
    <x v="0"/>
    <x v="0"/>
    <s v="Improve interview preparation and communication"/>
  </r>
  <r>
    <n v="41"/>
    <x v="0"/>
    <n v="3"/>
    <n v="12"/>
    <n v="2"/>
    <n v="1.1092071428624299"/>
    <x v="87"/>
    <n v="5"/>
    <n v="54"/>
    <n v="3"/>
    <n v="0"/>
    <s v="C1201"/>
    <x v="0"/>
    <x v="3"/>
    <x v="1"/>
    <x v="1"/>
    <x v="2"/>
    <s v="Good"/>
    <x v="1"/>
    <n v="46"/>
    <x v="1"/>
    <x v="2"/>
    <x v="2"/>
    <s v="Strengthen technical skills and practical knowledge"/>
  </r>
  <r>
    <n v="33"/>
    <x v="0"/>
    <n v="4"/>
    <n v="14"/>
    <n v="1"/>
    <n v="32.933631806020202"/>
    <x v="68"/>
    <n v="0"/>
    <n v="19"/>
    <n v="2"/>
    <n v="0"/>
    <s v="C1202"/>
    <x v="0"/>
    <x v="1"/>
    <x v="1"/>
    <x v="0"/>
    <x v="2"/>
    <s v="Needs Improvement"/>
    <x v="1"/>
    <n v="23"/>
    <x v="1"/>
    <x v="0"/>
    <x v="2"/>
    <s v="Strengthen technical skills and practical knowledge"/>
  </r>
  <r>
    <n v="45"/>
    <x v="1"/>
    <n v="2"/>
    <n v="9"/>
    <n v="2"/>
    <n v="8.0621849013278606"/>
    <x v="5"/>
    <n v="7"/>
    <n v="80"/>
    <n v="3"/>
    <n v="0"/>
    <s v="C1203"/>
    <x v="1"/>
    <x v="0"/>
    <x v="1"/>
    <x v="1"/>
    <x v="2"/>
    <s v="Strong"/>
    <x v="1"/>
    <n v="46"/>
    <x v="1"/>
    <x v="0"/>
    <x v="2"/>
    <s v="Strengthen technical skills and practical knowledge"/>
  </r>
  <r>
    <n v="47"/>
    <x v="1"/>
    <n v="2"/>
    <n v="1"/>
    <n v="3"/>
    <n v="47.031406835538696"/>
    <x v="65"/>
    <n v="96"/>
    <n v="16"/>
    <n v="1"/>
    <n v="0"/>
    <s v="C1204"/>
    <x v="1"/>
    <x v="0"/>
    <x v="0"/>
    <x v="0"/>
    <x v="0"/>
    <s v="Needs Improvement"/>
    <x v="1"/>
    <n v="39"/>
    <x v="1"/>
    <x v="1"/>
    <x v="0"/>
    <s v="Improve interview preparation and communication"/>
  </r>
  <r>
    <n v="42"/>
    <x v="0"/>
    <n v="1"/>
    <n v="0"/>
    <n v="2"/>
    <n v="5.6816446666814597"/>
    <x v="46"/>
    <n v="50"/>
    <n v="67"/>
    <n v="1"/>
    <n v="0"/>
    <s v="C1205"/>
    <x v="0"/>
    <x v="2"/>
    <x v="0"/>
    <x v="1"/>
    <x v="1"/>
    <s v="Good"/>
    <x v="1"/>
    <n v="48"/>
    <x v="1"/>
    <x v="0"/>
    <x v="2"/>
    <s v="Strengthen technical skills and practical knowledge"/>
  </r>
  <r>
    <n v="33"/>
    <x v="0"/>
    <n v="2"/>
    <n v="3"/>
    <n v="2"/>
    <n v="48.753159356311798"/>
    <x v="63"/>
    <n v="84"/>
    <n v="4"/>
    <n v="3"/>
    <n v="0"/>
    <s v="C1206"/>
    <x v="0"/>
    <x v="0"/>
    <x v="2"/>
    <x v="2"/>
    <x v="0"/>
    <s v="Needs Improvement"/>
    <x v="1"/>
    <n v="58"/>
    <x v="0"/>
    <x v="2"/>
    <x v="1"/>
    <s v="Work on communication and personality development"/>
  </r>
  <r>
    <n v="43"/>
    <x v="1"/>
    <n v="2"/>
    <n v="3"/>
    <n v="2"/>
    <n v="31.546319374173802"/>
    <x v="34"/>
    <n v="87"/>
    <n v="59"/>
    <n v="3"/>
    <n v="0"/>
    <s v="C1207"/>
    <x v="1"/>
    <x v="0"/>
    <x v="2"/>
    <x v="0"/>
    <x v="0"/>
    <s v="Good"/>
    <x v="1"/>
    <n v="48"/>
    <x v="1"/>
    <x v="1"/>
    <x v="0"/>
    <s v="Improve interview preparation and communication"/>
  </r>
  <r>
    <n v="21"/>
    <x v="0"/>
    <n v="4"/>
    <n v="12"/>
    <n v="4"/>
    <n v="1.0634038457745101"/>
    <x v="33"/>
    <n v="24"/>
    <n v="22"/>
    <n v="2"/>
    <n v="0"/>
    <s v="C1208"/>
    <x v="0"/>
    <x v="1"/>
    <x v="1"/>
    <x v="0"/>
    <x v="2"/>
    <s v="Needs Improvement"/>
    <x v="1"/>
    <n v="29"/>
    <x v="1"/>
    <x v="1"/>
    <x v="0"/>
    <s v="Improve interview preparation and communication"/>
  </r>
  <r>
    <n v="32"/>
    <x v="1"/>
    <n v="2"/>
    <n v="0"/>
    <n v="3"/>
    <n v="45.7003598958403"/>
    <x v="4"/>
    <n v="46"/>
    <n v="45"/>
    <n v="2"/>
    <n v="0"/>
    <s v="C1209"/>
    <x v="1"/>
    <x v="0"/>
    <x v="0"/>
    <x v="0"/>
    <x v="2"/>
    <s v="Needs Improvement"/>
    <x v="1"/>
    <n v="32"/>
    <x v="1"/>
    <x v="1"/>
    <x v="0"/>
    <s v="Improve interview preparation and communication"/>
  </r>
  <r>
    <n v="45"/>
    <x v="1"/>
    <n v="2"/>
    <n v="5"/>
    <n v="2"/>
    <n v="27.085590068345901"/>
    <x v="56"/>
    <n v="54"/>
    <n v="51"/>
    <n v="3"/>
    <n v="0"/>
    <s v="C1210"/>
    <x v="1"/>
    <x v="0"/>
    <x v="2"/>
    <x v="2"/>
    <x v="1"/>
    <s v="Good"/>
    <x v="1"/>
    <n v="57"/>
    <x v="0"/>
    <x v="2"/>
    <x v="1"/>
    <s v="Work on communication and personality development"/>
  </r>
  <r>
    <n v="33"/>
    <x v="1"/>
    <n v="2"/>
    <n v="3"/>
    <n v="2"/>
    <n v="14.1334867665242"/>
    <x v="81"/>
    <n v="63"/>
    <n v="9"/>
    <n v="1"/>
    <n v="0"/>
    <s v="C1211"/>
    <x v="1"/>
    <x v="0"/>
    <x v="2"/>
    <x v="1"/>
    <x v="1"/>
    <s v="Needs Improvement"/>
    <x v="1"/>
    <n v="45"/>
    <x v="1"/>
    <x v="2"/>
    <x v="1"/>
    <s v="Work on communication and personality development"/>
  </r>
  <r>
    <n v="46"/>
    <x v="1"/>
    <n v="2"/>
    <n v="0"/>
    <n v="2"/>
    <n v="39.363958875781499"/>
    <x v="11"/>
    <n v="82"/>
    <n v="45"/>
    <n v="2"/>
    <n v="0"/>
    <s v="C1212"/>
    <x v="1"/>
    <x v="0"/>
    <x v="0"/>
    <x v="1"/>
    <x v="0"/>
    <s v="Needs Improvement"/>
    <x v="1"/>
    <n v="57"/>
    <x v="0"/>
    <x v="1"/>
    <x v="1"/>
    <s v="Work on communication and personality development"/>
  </r>
  <r>
    <n v="43"/>
    <x v="0"/>
    <n v="2"/>
    <n v="0"/>
    <n v="1"/>
    <n v="47.333277694343501"/>
    <x v="19"/>
    <n v="92"/>
    <n v="27"/>
    <n v="3"/>
    <n v="0"/>
    <s v="C1213"/>
    <x v="0"/>
    <x v="0"/>
    <x v="0"/>
    <x v="2"/>
    <x v="0"/>
    <s v="Needs Improvement"/>
    <x v="1"/>
    <n v="65"/>
    <x v="0"/>
    <x v="2"/>
    <x v="1"/>
    <s v="Work on communication and personality development"/>
  </r>
  <r>
    <n v="38"/>
    <x v="0"/>
    <n v="3"/>
    <n v="14"/>
    <n v="4"/>
    <n v="25.184541157339599"/>
    <x v="4"/>
    <n v="9"/>
    <n v="96"/>
    <n v="2"/>
    <n v="0"/>
    <s v="C1214"/>
    <x v="0"/>
    <x v="3"/>
    <x v="1"/>
    <x v="0"/>
    <x v="2"/>
    <s v="Strong"/>
    <x v="1"/>
    <n v="47"/>
    <x v="1"/>
    <x v="0"/>
    <x v="2"/>
    <s v="Strengthen technical skills and practical knowledge"/>
  </r>
  <r>
    <n v="26"/>
    <x v="1"/>
    <n v="2"/>
    <n v="12"/>
    <n v="1"/>
    <n v="16.777673722155502"/>
    <x v="73"/>
    <n v="55"/>
    <n v="42"/>
    <n v="2"/>
    <n v="0"/>
    <s v="C1215"/>
    <x v="1"/>
    <x v="0"/>
    <x v="1"/>
    <x v="0"/>
    <x v="1"/>
    <s v="Needs Improvement"/>
    <x v="1"/>
    <n v="47"/>
    <x v="1"/>
    <x v="1"/>
    <x v="0"/>
    <s v="Improve interview preparation and communication"/>
  </r>
  <r>
    <n v="22"/>
    <x v="1"/>
    <n v="3"/>
    <n v="0"/>
    <n v="4"/>
    <n v="40.447256196746302"/>
    <x v="3"/>
    <n v="11"/>
    <n v="25"/>
    <n v="2"/>
    <n v="0"/>
    <s v="C1216"/>
    <x v="1"/>
    <x v="3"/>
    <x v="0"/>
    <x v="0"/>
    <x v="2"/>
    <s v="Needs Improvement"/>
    <x v="1"/>
    <n v="23"/>
    <x v="1"/>
    <x v="2"/>
    <x v="2"/>
    <s v="Strengthen technical skills and practical knowledge"/>
  </r>
  <r>
    <n v="34"/>
    <x v="1"/>
    <n v="2"/>
    <n v="7"/>
    <n v="2"/>
    <n v="35.089274889422697"/>
    <x v="10"/>
    <n v="32"/>
    <n v="54"/>
    <n v="2"/>
    <n v="0"/>
    <s v="C1217"/>
    <x v="1"/>
    <x v="0"/>
    <x v="1"/>
    <x v="2"/>
    <x v="2"/>
    <s v="Good"/>
    <x v="1"/>
    <n v="58"/>
    <x v="0"/>
    <x v="2"/>
    <x v="2"/>
    <s v="Strengthen technical skills and practical knowledge"/>
  </r>
  <r>
    <n v="42"/>
    <x v="1"/>
    <n v="3"/>
    <n v="9"/>
    <n v="3"/>
    <n v="45.437624187513599"/>
    <x v="57"/>
    <n v="70"/>
    <n v="47"/>
    <n v="1"/>
    <n v="1"/>
    <s v="C1218"/>
    <x v="1"/>
    <x v="3"/>
    <x v="1"/>
    <x v="2"/>
    <x v="1"/>
    <s v="Needs Improvement"/>
    <x v="0"/>
    <n v="70"/>
    <x v="0"/>
    <x v="2"/>
    <x v="1"/>
    <s v="Work on communication and personality development"/>
  </r>
  <r>
    <n v="33"/>
    <x v="1"/>
    <n v="3"/>
    <n v="7"/>
    <n v="5"/>
    <n v="35.625700638059598"/>
    <x v="26"/>
    <n v="16"/>
    <n v="28"/>
    <n v="3"/>
    <n v="0"/>
    <s v="C1219"/>
    <x v="1"/>
    <x v="3"/>
    <x v="1"/>
    <x v="0"/>
    <x v="2"/>
    <s v="Needs Improvement"/>
    <x v="1"/>
    <n v="33"/>
    <x v="1"/>
    <x v="2"/>
    <x v="2"/>
    <s v="Strengthen technical skills and practical knowledge"/>
  </r>
  <r>
    <n v="30"/>
    <x v="0"/>
    <n v="2"/>
    <n v="1"/>
    <n v="5"/>
    <n v="13.1764169449768"/>
    <x v="17"/>
    <n v="60"/>
    <n v="26"/>
    <n v="2"/>
    <n v="0"/>
    <s v="C1220"/>
    <x v="0"/>
    <x v="0"/>
    <x v="0"/>
    <x v="1"/>
    <x v="1"/>
    <s v="Needs Improvement"/>
    <x v="1"/>
    <n v="45"/>
    <x v="1"/>
    <x v="2"/>
    <x v="1"/>
    <s v="Work on communication and personality development"/>
  </r>
  <r>
    <n v="34"/>
    <x v="0"/>
    <n v="2"/>
    <n v="10"/>
    <n v="2"/>
    <n v="47.582962487950901"/>
    <x v="69"/>
    <n v="9"/>
    <n v="17"/>
    <n v="3"/>
    <n v="0"/>
    <s v="C1221"/>
    <x v="0"/>
    <x v="0"/>
    <x v="1"/>
    <x v="2"/>
    <x v="2"/>
    <s v="Needs Improvement"/>
    <x v="1"/>
    <n v="42"/>
    <x v="1"/>
    <x v="2"/>
    <x v="2"/>
    <s v="Strengthen technical skills and practical knowledge"/>
  </r>
  <r>
    <n v="47"/>
    <x v="0"/>
    <n v="4"/>
    <n v="12"/>
    <n v="1"/>
    <n v="6.2417873602995604"/>
    <x v="45"/>
    <n v="30"/>
    <n v="59"/>
    <n v="3"/>
    <n v="0"/>
    <s v="C1222"/>
    <x v="0"/>
    <x v="1"/>
    <x v="1"/>
    <x v="0"/>
    <x v="2"/>
    <s v="Good"/>
    <x v="1"/>
    <n v="45"/>
    <x v="1"/>
    <x v="0"/>
    <x v="0"/>
    <s v="Improve interview preparation and communication"/>
  </r>
  <r>
    <n v="32"/>
    <x v="0"/>
    <n v="2"/>
    <n v="6"/>
    <n v="3"/>
    <n v="14.3971375053423"/>
    <x v="48"/>
    <n v="59"/>
    <n v="73"/>
    <n v="1"/>
    <n v="1"/>
    <s v="C1223"/>
    <x v="0"/>
    <x v="0"/>
    <x v="2"/>
    <x v="1"/>
    <x v="1"/>
    <s v="Good"/>
    <x v="0"/>
    <n v="60"/>
    <x v="0"/>
    <x v="0"/>
    <x v="2"/>
    <s v="Strengthen technical skills and practical knowledge"/>
  </r>
  <r>
    <n v="37"/>
    <x v="1"/>
    <n v="4"/>
    <n v="13"/>
    <n v="4"/>
    <n v="27.0097303861942"/>
    <x v="62"/>
    <n v="69"/>
    <n v="68"/>
    <n v="1"/>
    <n v="1"/>
    <s v="C1224"/>
    <x v="1"/>
    <x v="1"/>
    <x v="1"/>
    <x v="0"/>
    <x v="1"/>
    <s v="Good"/>
    <x v="0"/>
    <n v="53"/>
    <x v="0"/>
    <x v="1"/>
    <x v="0"/>
    <s v="Improve interview preparation and communication"/>
  </r>
  <r>
    <n v="45"/>
    <x v="1"/>
    <n v="1"/>
    <n v="7"/>
    <n v="2"/>
    <n v="29.287101303545001"/>
    <x v="35"/>
    <n v="16"/>
    <n v="73"/>
    <n v="2"/>
    <n v="0"/>
    <s v="C1225"/>
    <x v="1"/>
    <x v="2"/>
    <x v="1"/>
    <x v="0"/>
    <x v="2"/>
    <s v="Good"/>
    <x v="1"/>
    <n v="37"/>
    <x v="1"/>
    <x v="0"/>
    <x v="2"/>
    <s v="Strengthen technical skills and practical knowledge"/>
  </r>
  <r>
    <n v="25"/>
    <x v="1"/>
    <n v="2"/>
    <n v="7"/>
    <n v="3"/>
    <n v="1.76552933134527"/>
    <x v="91"/>
    <n v="49"/>
    <n v="20"/>
    <n v="2"/>
    <n v="0"/>
    <s v="C1226"/>
    <x v="1"/>
    <x v="0"/>
    <x v="1"/>
    <x v="0"/>
    <x v="2"/>
    <s v="Needs Improvement"/>
    <x v="1"/>
    <n v="28"/>
    <x v="1"/>
    <x v="1"/>
    <x v="0"/>
    <s v="Improve interview preparation and communication"/>
  </r>
  <r>
    <n v="22"/>
    <x v="1"/>
    <n v="3"/>
    <n v="10"/>
    <n v="3"/>
    <n v="40.028636291047"/>
    <x v="84"/>
    <n v="36"/>
    <n v="23"/>
    <n v="2"/>
    <n v="0"/>
    <s v="C1227"/>
    <x v="1"/>
    <x v="3"/>
    <x v="1"/>
    <x v="0"/>
    <x v="2"/>
    <s v="Needs Improvement"/>
    <x v="1"/>
    <n v="44"/>
    <x v="1"/>
    <x v="2"/>
    <x v="1"/>
    <s v="Work on communication and personality development"/>
  </r>
  <r>
    <n v="38"/>
    <x v="1"/>
    <n v="4"/>
    <n v="9"/>
    <n v="4"/>
    <n v="19.080365921269401"/>
    <x v="60"/>
    <n v="81"/>
    <n v="2"/>
    <n v="2"/>
    <n v="1"/>
    <s v="C1228"/>
    <x v="1"/>
    <x v="1"/>
    <x v="1"/>
    <x v="2"/>
    <x v="0"/>
    <s v="Needs Improvement"/>
    <x v="0"/>
    <n v="64"/>
    <x v="0"/>
    <x v="2"/>
    <x v="1"/>
    <s v="Work on communication and personality development"/>
  </r>
  <r>
    <n v="34"/>
    <x v="0"/>
    <n v="2"/>
    <n v="14"/>
    <n v="3"/>
    <n v="21.3209270501068"/>
    <x v="13"/>
    <n v="61"/>
    <n v="94"/>
    <n v="2"/>
    <n v="0"/>
    <s v="C1229"/>
    <x v="0"/>
    <x v="0"/>
    <x v="1"/>
    <x v="0"/>
    <x v="1"/>
    <s v="Strong"/>
    <x v="1"/>
    <n v="57"/>
    <x v="0"/>
    <x v="0"/>
    <x v="0"/>
    <s v="Improve interview preparation and communication"/>
  </r>
  <r>
    <n v="44"/>
    <x v="1"/>
    <n v="3"/>
    <n v="10"/>
    <n v="1"/>
    <n v="41.468477221847202"/>
    <x v="70"/>
    <n v="89"/>
    <n v="61"/>
    <n v="1"/>
    <n v="1"/>
    <s v="C1230"/>
    <x v="1"/>
    <x v="3"/>
    <x v="1"/>
    <x v="1"/>
    <x v="0"/>
    <s v="Good"/>
    <x v="0"/>
    <n v="75"/>
    <x v="2"/>
    <x v="1"/>
    <x v="1"/>
    <s v="Work on communication and personality development"/>
  </r>
  <r>
    <n v="42"/>
    <x v="0"/>
    <n v="2"/>
    <n v="12"/>
    <n v="1"/>
    <n v="19.964169586377199"/>
    <x v="96"/>
    <n v="79"/>
    <n v="100"/>
    <n v="2"/>
    <n v="0"/>
    <s v="C1231"/>
    <x v="0"/>
    <x v="0"/>
    <x v="1"/>
    <x v="1"/>
    <x v="0"/>
    <s v="Strong"/>
    <x v="1"/>
    <n v="76"/>
    <x v="2"/>
    <x v="0"/>
    <x v="0"/>
    <s v="Improve interview preparation and communication"/>
  </r>
  <r>
    <n v="24"/>
    <x v="0"/>
    <n v="1"/>
    <n v="6"/>
    <n v="1"/>
    <n v="3.3612438247377399"/>
    <x v="32"/>
    <n v="71"/>
    <n v="1"/>
    <n v="2"/>
    <n v="0"/>
    <s v="C1232"/>
    <x v="0"/>
    <x v="2"/>
    <x v="2"/>
    <x v="1"/>
    <x v="1"/>
    <s v="Needs Improvement"/>
    <x v="1"/>
    <n v="48"/>
    <x v="1"/>
    <x v="1"/>
    <x v="1"/>
    <s v="Work on communication and personality development"/>
  </r>
  <r>
    <n v="47"/>
    <x v="0"/>
    <n v="2"/>
    <n v="4"/>
    <n v="3"/>
    <n v="9.8219885235175095"/>
    <x v="8"/>
    <n v="87"/>
    <n v="65"/>
    <n v="2"/>
    <n v="0"/>
    <s v="C1233"/>
    <x v="0"/>
    <x v="0"/>
    <x v="2"/>
    <x v="2"/>
    <x v="0"/>
    <s v="Good"/>
    <x v="1"/>
    <n v="70"/>
    <x v="0"/>
    <x v="1"/>
    <x v="1"/>
    <s v="Work on communication and personality development"/>
  </r>
  <r>
    <n v="29"/>
    <x v="0"/>
    <n v="2"/>
    <n v="0"/>
    <n v="1"/>
    <n v="48.795158619409101"/>
    <x v="1"/>
    <n v="76"/>
    <n v="41"/>
    <n v="1"/>
    <n v="0"/>
    <s v="C1234"/>
    <x v="0"/>
    <x v="0"/>
    <x v="0"/>
    <x v="0"/>
    <x v="0"/>
    <s v="Needs Improvement"/>
    <x v="1"/>
    <n v="44"/>
    <x v="1"/>
    <x v="1"/>
    <x v="0"/>
    <s v="Improve interview preparation and communication"/>
  </r>
  <r>
    <n v="26"/>
    <x v="1"/>
    <n v="4"/>
    <n v="11"/>
    <n v="4"/>
    <n v="4.5202681201257002"/>
    <x v="66"/>
    <n v="28"/>
    <n v="33"/>
    <n v="2"/>
    <n v="0"/>
    <s v="C1235"/>
    <x v="1"/>
    <x v="1"/>
    <x v="1"/>
    <x v="1"/>
    <x v="2"/>
    <s v="Needs Improvement"/>
    <x v="1"/>
    <n v="48"/>
    <x v="1"/>
    <x v="2"/>
    <x v="2"/>
    <s v="Strengthen technical skills and practical knowledge"/>
  </r>
  <r>
    <n v="44"/>
    <x v="0"/>
    <n v="2"/>
    <n v="8"/>
    <n v="3"/>
    <n v="18.746560048400799"/>
    <x v="72"/>
    <n v="31"/>
    <n v="41"/>
    <n v="1"/>
    <n v="1"/>
    <s v="C1236"/>
    <x v="0"/>
    <x v="0"/>
    <x v="1"/>
    <x v="2"/>
    <x v="2"/>
    <s v="Needs Improvement"/>
    <x v="0"/>
    <n v="55"/>
    <x v="0"/>
    <x v="2"/>
    <x v="2"/>
    <s v="Strengthen technical skills and practical knowledge"/>
  </r>
  <r>
    <n v="36"/>
    <x v="0"/>
    <n v="2"/>
    <n v="12"/>
    <n v="5"/>
    <n v="26.1589583525672"/>
    <x v="2"/>
    <n v="87"/>
    <n v="19"/>
    <n v="2"/>
    <n v="0"/>
    <s v="C1237"/>
    <x v="0"/>
    <x v="0"/>
    <x v="1"/>
    <x v="0"/>
    <x v="0"/>
    <s v="Needs Improvement"/>
    <x v="1"/>
    <n v="50"/>
    <x v="0"/>
    <x v="1"/>
    <x v="1"/>
    <s v="Work on communication and personality development"/>
  </r>
  <r>
    <n v="26"/>
    <x v="0"/>
    <n v="1"/>
    <n v="15"/>
    <n v="3"/>
    <n v="25.664041366928"/>
    <x v="22"/>
    <n v="79"/>
    <n v="96"/>
    <n v="2"/>
    <n v="0"/>
    <s v="C1238"/>
    <x v="0"/>
    <x v="2"/>
    <x v="1"/>
    <x v="0"/>
    <x v="0"/>
    <s v="Strong"/>
    <x v="1"/>
    <n v="64"/>
    <x v="0"/>
    <x v="0"/>
    <x v="0"/>
    <s v="Improve interview preparation and communication"/>
  </r>
  <r>
    <n v="41"/>
    <x v="1"/>
    <n v="2"/>
    <n v="6"/>
    <n v="4"/>
    <n v="1.1979971506071301"/>
    <x v="98"/>
    <n v="10"/>
    <n v="67"/>
    <n v="1"/>
    <n v="1"/>
    <s v="C1239"/>
    <x v="1"/>
    <x v="0"/>
    <x v="2"/>
    <x v="0"/>
    <x v="2"/>
    <s v="Good"/>
    <x v="0"/>
    <n v="27"/>
    <x v="1"/>
    <x v="0"/>
    <x v="0"/>
    <s v="Improve interview preparation and communication"/>
  </r>
  <r>
    <n v="45"/>
    <x v="1"/>
    <n v="2"/>
    <n v="1"/>
    <n v="5"/>
    <n v="26.058136572874499"/>
    <x v="13"/>
    <n v="95"/>
    <n v="44"/>
    <n v="2"/>
    <n v="0"/>
    <s v="C1240"/>
    <x v="1"/>
    <x v="0"/>
    <x v="0"/>
    <x v="0"/>
    <x v="0"/>
    <s v="Needs Improvement"/>
    <x v="1"/>
    <n v="44"/>
    <x v="1"/>
    <x v="1"/>
    <x v="0"/>
    <s v="Improve interview preparation and communication"/>
  </r>
  <r>
    <n v="49"/>
    <x v="1"/>
    <n v="3"/>
    <n v="5"/>
    <n v="3"/>
    <n v="20.188622898870399"/>
    <x v="30"/>
    <n v="5"/>
    <n v="74"/>
    <n v="2"/>
    <n v="0"/>
    <s v="C1241"/>
    <x v="1"/>
    <x v="3"/>
    <x v="2"/>
    <x v="1"/>
    <x v="2"/>
    <s v="Good"/>
    <x v="1"/>
    <n v="47"/>
    <x v="1"/>
    <x v="2"/>
    <x v="2"/>
    <s v="Strengthen technical skills and practical knowledge"/>
  </r>
  <r>
    <n v="31"/>
    <x v="0"/>
    <n v="2"/>
    <n v="1"/>
    <n v="1"/>
    <n v="49.603966773727798"/>
    <x v="43"/>
    <n v="34"/>
    <n v="41"/>
    <n v="1"/>
    <n v="0"/>
    <s v="C1242"/>
    <x v="0"/>
    <x v="0"/>
    <x v="0"/>
    <x v="1"/>
    <x v="2"/>
    <s v="Needs Improvement"/>
    <x v="1"/>
    <n v="43"/>
    <x v="1"/>
    <x v="2"/>
    <x v="2"/>
    <s v="Strengthen technical skills and practical knowledge"/>
  </r>
  <r>
    <n v="44"/>
    <x v="0"/>
    <n v="4"/>
    <n v="14"/>
    <n v="2"/>
    <n v="8.9579541996914909"/>
    <x v="91"/>
    <n v="32"/>
    <n v="46"/>
    <n v="1"/>
    <n v="1"/>
    <s v="C1243"/>
    <x v="0"/>
    <x v="1"/>
    <x v="1"/>
    <x v="0"/>
    <x v="2"/>
    <s v="Needs Improvement"/>
    <x v="0"/>
    <n v="38"/>
    <x v="1"/>
    <x v="0"/>
    <x v="0"/>
    <s v="Improve interview preparation and communication"/>
  </r>
  <r>
    <n v="36"/>
    <x v="1"/>
    <n v="4"/>
    <n v="0"/>
    <n v="2"/>
    <n v="18.707709837974701"/>
    <x v="43"/>
    <n v="17"/>
    <n v="4"/>
    <n v="3"/>
    <n v="0"/>
    <s v="C1244"/>
    <x v="1"/>
    <x v="1"/>
    <x v="0"/>
    <x v="1"/>
    <x v="2"/>
    <s v="Needs Improvement"/>
    <x v="1"/>
    <n v="32"/>
    <x v="1"/>
    <x v="2"/>
    <x v="1"/>
    <s v="Work on communication and personality development"/>
  </r>
  <r>
    <n v="32"/>
    <x v="0"/>
    <n v="2"/>
    <n v="13"/>
    <n v="1"/>
    <n v="21.974074254490901"/>
    <x v="38"/>
    <n v="36"/>
    <n v="88"/>
    <n v="2"/>
    <n v="0"/>
    <s v="C1245"/>
    <x v="0"/>
    <x v="0"/>
    <x v="1"/>
    <x v="2"/>
    <x v="2"/>
    <s v="Strong"/>
    <x v="1"/>
    <n v="67"/>
    <x v="0"/>
    <x v="0"/>
    <x v="2"/>
    <s v="Strengthen technical skills and practical knowledge"/>
  </r>
  <r>
    <n v="39"/>
    <x v="1"/>
    <n v="4"/>
    <n v="6"/>
    <n v="2"/>
    <n v="20.534676855047401"/>
    <x v="60"/>
    <n v="12"/>
    <n v="48"/>
    <n v="3"/>
    <n v="0"/>
    <s v="C1246"/>
    <x v="1"/>
    <x v="1"/>
    <x v="2"/>
    <x v="2"/>
    <x v="2"/>
    <s v="Needs Improvement"/>
    <x v="1"/>
    <n v="50"/>
    <x v="0"/>
    <x v="2"/>
    <x v="2"/>
    <s v="Strengthen technical skills and practical knowledge"/>
  </r>
  <r>
    <n v="44"/>
    <x v="1"/>
    <n v="3"/>
    <n v="12"/>
    <n v="2"/>
    <n v="34.291541382593103"/>
    <x v="66"/>
    <n v="73"/>
    <n v="36"/>
    <n v="2"/>
    <n v="0"/>
    <s v="C1247"/>
    <x v="1"/>
    <x v="3"/>
    <x v="1"/>
    <x v="1"/>
    <x v="1"/>
    <s v="Needs Improvement"/>
    <x v="1"/>
    <n v="61"/>
    <x v="0"/>
    <x v="1"/>
    <x v="1"/>
    <s v="Work on communication and personality development"/>
  </r>
  <r>
    <n v="23"/>
    <x v="0"/>
    <n v="2"/>
    <n v="15"/>
    <n v="1"/>
    <n v="11.7756428773884"/>
    <x v="31"/>
    <n v="100"/>
    <n v="33"/>
    <n v="2"/>
    <n v="0"/>
    <s v="C1248"/>
    <x v="0"/>
    <x v="0"/>
    <x v="1"/>
    <x v="0"/>
    <x v="0"/>
    <s v="Needs Improvement"/>
    <x v="1"/>
    <n v="63"/>
    <x v="0"/>
    <x v="1"/>
    <x v="0"/>
    <s v="Improve interview preparation and communication"/>
  </r>
  <r>
    <n v="29"/>
    <x v="0"/>
    <n v="1"/>
    <n v="1"/>
    <n v="1"/>
    <n v="12.053577640699499"/>
    <x v="60"/>
    <n v="89"/>
    <n v="72"/>
    <n v="2"/>
    <n v="0"/>
    <s v="C1249"/>
    <x v="0"/>
    <x v="2"/>
    <x v="0"/>
    <x v="2"/>
    <x v="0"/>
    <s v="Good"/>
    <x v="1"/>
    <n v="70"/>
    <x v="0"/>
    <x v="1"/>
    <x v="1"/>
    <s v="Work on communication and personality development"/>
  </r>
  <r>
    <n v="22"/>
    <x v="0"/>
    <n v="2"/>
    <n v="12"/>
    <n v="3"/>
    <n v="37.460547425042598"/>
    <x v="3"/>
    <n v="80"/>
    <n v="69"/>
    <n v="2"/>
    <n v="0"/>
    <s v="C1250"/>
    <x v="0"/>
    <x v="0"/>
    <x v="1"/>
    <x v="0"/>
    <x v="0"/>
    <s v="Good"/>
    <x v="1"/>
    <n v="63"/>
    <x v="0"/>
    <x v="1"/>
    <x v="0"/>
    <s v="Improve interview preparation and communication"/>
  </r>
  <r>
    <n v="28"/>
    <x v="0"/>
    <n v="2"/>
    <n v="13"/>
    <n v="3"/>
    <n v="26.014525933908899"/>
    <x v="90"/>
    <n v="63"/>
    <n v="17"/>
    <n v="1"/>
    <n v="1"/>
    <s v="C1251"/>
    <x v="0"/>
    <x v="0"/>
    <x v="1"/>
    <x v="0"/>
    <x v="1"/>
    <s v="Needs Improvement"/>
    <x v="0"/>
    <n v="52"/>
    <x v="0"/>
    <x v="1"/>
    <x v="1"/>
    <s v="Work on communication and personality development"/>
  </r>
  <r>
    <n v="32"/>
    <x v="1"/>
    <n v="3"/>
    <n v="13"/>
    <n v="1"/>
    <n v="21.7577838028655"/>
    <x v="57"/>
    <n v="0"/>
    <n v="77"/>
    <n v="2"/>
    <n v="1"/>
    <s v="C1252"/>
    <x v="1"/>
    <x v="3"/>
    <x v="1"/>
    <x v="2"/>
    <x v="2"/>
    <s v="Strong"/>
    <x v="0"/>
    <n v="59"/>
    <x v="0"/>
    <x v="2"/>
    <x v="2"/>
    <s v="Strengthen technical skills and practical knowledge"/>
  </r>
  <r>
    <n v="37"/>
    <x v="1"/>
    <n v="2"/>
    <n v="1"/>
    <n v="4"/>
    <n v="9.4601525838625893"/>
    <x v="56"/>
    <n v="62"/>
    <n v="18"/>
    <n v="2"/>
    <n v="0"/>
    <s v="C1253"/>
    <x v="1"/>
    <x v="0"/>
    <x v="0"/>
    <x v="2"/>
    <x v="1"/>
    <s v="Needs Improvement"/>
    <x v="1"/>
    <n v="49"/>
    <x v="1"/>
    <x v="2"/>
    <x v="1"/>
    <s v="Work on communication and personality development"/>
  </r>
  <r>
    <n v="34"/>
    <x v="1"/>
    <n v="3"/>
    <n v="12"/>
    <n v="2"/>
    <n v="10.3763611456083"/>
    <x v="90"/>
    <n v="88"/>
    <n v="77"/>
    <n v="1"/>
    <n v="1"/>
    <s v="C1254"/>
    <x v="1"/>
    <x v="3"/>
    <x v="1"/>
    <x v="0"/>
    <x v="0"/>
    <s v="Strong"/>
    <x v="0"/>
    <n v="71"/>
    <x v="0"/>
    <x v="1"/>
    <x v="0"/>
    <s v="Improve interview preparation and communication"/>
  </r>
  <r>
    <n v="23"/>
    <x v="1"/>
    <n v="2"/>
    <n v="10"/>
    <n v="3"/>
    <n v="1.5275818407950199"/>
    <x v="93"/>
    <n v="33"/>
    <n v="39"/>
    <n v="1"/>
    <n v="0"/>
    <s v="C1255"/>
    <x v="1"/>
    <x v="0"/>
    <x v="1"/>
    <x v="1"/>
    <x v="2"/>
    <s v="Needs Improvement"/>
    <x v="1"/>
    <n v="51"/>
    <x v="0"/>
    <x v="2"/>
    <x v="2"/>
    <s v="Strengthen technical skills and practical knowledge"/>
  </r>
  <r>
    <n v="34"/>
    <x v="1"/>
    <n v="1"/>
    <n v="4"/>
    <n v="2"/>
    <n v="5.5713134430854598"/>
    <x v="46"/>
    <n v="9"/>
    <n v="16"/>
    <n v="1"/>
    <n v="0"/>
    <s v="C1256"/>
    <x v="1"/>
    <x v="2"/>
    <x v="2"/>
    <x v="1"/>
    <x v="2"/>
    <s v="Needs Improvement"/>
    <x v="1"/>
    <n v="30"/>
    <x v="1"/>
    <x v="2"/>
    <x v="2"/>
    <s v="Strengthen technical skills and practical knowledge"/>
  </r>
  <r>
    <n v="41"/>
    <x v="0"/>
    <n v="4"/>
    <n v="13"/>
    <n v="5"/>
    <n v="28.841934734512002"/>
    <x v="1"/>
    <n v="83"/>
    <n v="59"/>
    <n v="2"/>
    <n v="0"/>
    <s v="C1257"/>
    <x v="0"/>
    <x v="1"/>
    <x v="1"/>
    <x v="0"/>
    <x v="0"/>
    <s v="Good"/>
    <x v="1"/>
    <n v="65"/>
    <x v="0"/>
    <x v="1"/>
    <x v="0"/>
    <s v="Improve interview preparation and communication"/>
  </r>
  <r>
    <n v="21"/>
    <x v="1"/>
    <n v="2"/>
    <n v="4"/>
    <n v="1"/>
    <n v="45.593656500420401"/>
    <x v="97"/>
    <n v="6"/>
    <n v="98"/>
    <n v="2"/>
    <n v="0"/>
    <s v="C1258"/>
    <x v="1"/>
    <x v="0"/>
    <x v="2"/>
    <x v="0"/>
    <x v="2"/>
    <s v="Strong"/>
    <x v="1"/>
    <n v="37"/>
    <x v="1"/>
    <x v="0"/>
    <x v="2"/>
    <s v="Strengthen technical skills and practical knowledge"/>
  </r>
  <r>
    <n v="34"/>
    <x v="1"/>
    <n v="2"/>
    <n v="15"/>
    <n v="4"/>
    <n v="15.3582382565278"/>
    <x v="82"/>
    <n v="55"/>
    <n v="92"/>
    <n v="3"/>
    <n v="1"/>
    <s v="C1259"/>
    <x v="1"/>
    <x v="0"/>
    <x v="1"/>
    <x v="2"/>
    <x v="1"/>
    <s v="Strong"/>
    <x v="0"/>
    <n v="82"/>
    <x v="2"/>
    <x v="2"/>
    <x v="2"/>
    <s v="Strengthen technical skills and practical knowledge"/>
  </r>
  <r>
    <n v="27"/>
    <x v="1"/>
    <n v="2"/>
    <n v="6"/>
    <n v="5"/>
    <n v="17.3873612948064"/>
    <x v="81"/>
    <n v="79"/>
    <n v="41"/>
    <n v="1"/>
    <n v="1"/>
    <s v="C1260"/>
    <x v="1"/>
    <x v="0"/>
    <x v="2"/>
    <x v="1"/>
    <x v="0"/>
    <s v="Needs Improvement"/>
    <x v="0"/>
    <n v="59"/>
    <x v="0"/>
    <x v="1"/>
    <x v="1"/>
    <s v="Work on communication and personality development"/>
  </r>
  <r>
    <n v="27"/>
    <x v="0"/>
    <n v="1"/>
    <n v="0"/>
    <n v="5"/>
    <n v="6.7802805305755998"/>
    <x v="11"/>
    <n v="36"/>
    <n v="80"/>
    <n v="1"/>
    <n v="0"/>
    <s v="C1261"/>
    <x v="0"/>
    <x v="2"/>
    <x v="0"/>
    <x v="1"/>
    <x v="2"/>
    <s v="Strong"/>
    <x v="1"/>
    <n v="50"/>
    <x v="0"/>
    <x v="0"/>
    <x v="2"/>
    <s v="Strengthen technical skills and practical knowledge"/>
  </r>
  <r>
    <n v="36"/>
    <x v="0"/>
    <n v="2"/>
    <n v="7"/>
    <n v="5"/>
    <n v="20.431547280355101"/>
    <x v="89"/>
    <n v="28"/>
    <n v="71"/>
    <n v="2"/>
    <n v="0"/>
    <s v="C1262"/>
    <x v="0"/>
    <x v="0"/>
    <x v="1"/>
    <x v="0"/>
    <x v="2"/>
    <s v="Good"/>
    <x v="1"/>
    <n v="44"/>
    <x v="1"/>
    <x v="0"/>
    <x v="2"/>
    <s v="Strengthen technical skills and practical knowledge"/>
  </r>
  <r>
    <n v="31"/>
    <x v="0"/>
    <n v="2"/>
    <n v="2"/>
    <n v="1"/>
    <n v="2.8610852284664499"/>
    <x v="75"/>
    <n v="11"/>
    <n v="64"/>
    <n v="3"/>
    <n v="0"/>
    <s v="C1263"/>
    <x v="0"/>
    <x v="0"/>
    <x v="0"/>
    <x v="0"/>
    <x v="2"/>
    <s v="Good"/>
    <x v="1"/>
    <n v="35"/>
    <x v="1"/>
    <x v="0"/>
    <x v="2"/>
    <s v="Strengthen technical skills and practical knowledge"/>
  </r>
  <r>
    <n v="38"/>
    <x v="0"/>
    <n v="2"/>
    <n v="3"/>
    <n v="3"/>
    <n v="46.880034813095001"/>
    <x v="70"/>
    <n v="16"/>
    <n v="52"/>
    <n v="1"/>
    <n v="0"/>
    <s v="C1264"/>
    <x v="0"/>
    <x v="0"/>
    <x v="2"/>
    <x v="1"/>
    <x v="2"/>
    <s v="Good"/>
    <x v="1"/>
    <n v="43"/>
    <x v="1"/>
    <x v="2"/>
    <x v="2"/>
    <s v="Strengthen technical skills and practical knowledge"/>
  </r>
  <r>
    <n v="29"/>
    <x v="1"/>
    <n v="4"/>
    <n v="14"/>
    <n v="1"/>
    <n v="34.655567406226403"/>
    <x v="8"/>
    <n v="47"/>
    <n v="99"/>
    <n v="2"/>
    <n v="1"/>
    <s v="C1265"/>
    <x v="1"/>
    <x v="1"/>
    <x v="1"/>
    <x v="2"/>
    <x v="2"/>
    <s v="Strong"/>
    <x v="0"/>
    <n v="77"/>
    <x v="2"/>
    <x v="0"/>
    <x v="2"/>
    <s v="Strengthen technical skills and practical knowledge"/>
  </r>
  <r>
    <n v="28"/>
    <x v="1"/>
    <n v="2"/>
    <n v="8"/>
    <n v="3"/>
    <n v="50.537440469660901"/>
    <x v="47"/>
    <n v="83"/>
    <n v="6"/>
    <n v="2"/>
    <n v="0"/>
    <s v="C1266"/>
    <x v="1"/>
    <x v="0"/>
    <x v="1"/>
    <x v="0"/>
    <x v="0"/>
    <s v="Needs Improvement"/>
    <x v="1"/>
    <n v="45"/>
    <x v="1"/>
    <x v="1"/>
    <x v="1"/>
    <s v="Work on communication and personality development"/>
  </r>
  <r>
    <n v="24"/>
    <x v="0"/>
    <n v="2"/>
    <n v="3"/>
    <n v="5"/>
    <n v="45.141158133924598"/>
    <x v="2"/>
    <n v="25"/>
    <n v="4"/>
    <n v="1"/>
    <n v="0"/>
    <s v="C1267"/>
    <x v="0"/>
    <x v="0"/>
    <x v="2"/>
    <x v="0"/>
    <x v="2"/>
    <s v="Needs Improvement"/>
    <x v="1"/>
    <n v="20"/>
    <x v="1"/>
    <x v="1"/>
    <x v="1"/>
    <s v="Work on communication and personality development"/>
  </r>
  <r>
    <n v="25"/>
    <x v="0"/>
    <n v="2"/>
    <n v="9"/>
    <n v="5"/>
    <n v="24.649529684907598"/>
    <x v="87"/>
    <n v="82"/>
    <n v="23"/>
    <n v="2"/>
    <n v="0"/>
    <s v="C1268"/>
    <x v="0"/>
    <x v="0"/>
    <x v="1"/>
    <x v="1"/>
    <x v="0"/>
    <s v="Needs Improvement"/>
    <x v="1"/>
    <n v="58"/>
    <x v="0"/>
    <x v="1"/>
    <x v="1"/>
    <s v="Work on communication and personality development"/>
  </r>
  <r>
    <n v="39"/>
    <x v="1"/>
    <n v="4"/>
    <n v="11"/>
    <n v="4"/>
    <n v="26.9842515575188"/>
    <x v="22"/>
    <n v="11"/>
    <n v="27"/>
    <n v="1"/>
    <n v="1"/>
    <s v="C1269"/>
    <x v="1"/>
    <x v="1"/>
    <x v="1"/>
    <x v="0"/>
    <x v="2"/>
    <s v="Needs Improvement"/>
    <x v="0"/>
    <n v="28"/>
    <x v="1"/>
    <x v="0"/>
    <x v="2"/>
    <s v="Strengthen technical skills and practical knowledge"/>
  </r>
  <r>
    <n v="45"/>
    <x v="1"/>
    <n v="1"/>
    <n v="14"/>
    <n v="3"/>
    <n v="10.5288023258596"/>
    <x v="91"/>
    <n v="20"/>
    <n v="61"/>
    <n v="3"/>
    <n v="0"/>
    <s v="C1270"/>
    <x v="1"/>
    <x v="2"/>
    <x v="1"/>
    <x v="0"/>
    <x v="2"/>
    <s v="Good"/>
    <x v="1"/>
    <n v="35"/>
    <x v="1"/>
    <x v="0"/>
    <x v="0"/>
    <s v="Improve interview preparation and communication"/>
  </r>
  <r>
    <n v="21"/>
    <x v="0"/>
    <n v="2"/>
    <n v="4"/>
    <n v="5"/>
    <n v="24.101967141977699"/>
    <x v="48"/>
    <n v="41"/>
    <n v="16"/>
    <n v="2"/>
    <n v="0"/>
    <s v="C1271"/>
    <x v="0"/>
    <x v="0"/>
    <x v="2"/>
    <x v="1"/>
    <x v="2"/>
    <s v="Needs Improvement"/>
    <x v="1"/>
    <n v="41"/>
    <x v="1"/>
    <x v="2"/>
    <x v="1"/>
    <s v="Work on communication and personality development"/>
  </r>
  <r>
    <n v="46"/>
    <x v="0"/>
    <n v="1"/>
    <n v="6"/>
    <n v="2"/>
    <n v="46.151393674640502"/>
    <x v="64"/>
    <n v="60"/>
    <n v="100"/>
    <n v="2"/>
    <n v="0"/>
    <s v="C1272"/>
    <x v="0"/>
    <x v="2"/>
    <x v="2"/>
    <x v="0"/>
    <x v="1"/>
    <s v="Strong"/>
    <x v="1"/>
    <n v="56"/>
    <x v="0"/>
    <x v="0"/>
    <x v="0"/>
    <s v="Improve interview preparation and communication"/>
  </r>
  <r>
    <n v="43"/>
    <x v="0"/>
    <n v="1"/>
    <n v="15"/>
    <n v="4"/>
    <n v="3.5426711817910501"/>
    <x v="88"/>
    <n v="57"/>
    <n v="19"/>
    <n v="2"/>
    <n v="0"/>
    <s v="C1273"/>
    <x v="0"/>
    <x v="2"/>
    <x v="1"/>
    <x v="0"/>
    <x v="1"/>
    <s v="Needs Improvement"/>
    <x v="1"/>
    <n v="50"/>
    <x v="0"/>
    <x v="1"/>
    <x v="1"/>
    <s v="Work on communication and personality development"/>
  </r>
  <r>
    <n v="46"/>
    <x v="0"/>
    <n v="3"/>
    <n v="3"/>
    <n v="1"/>
    <n v="44.177840149915397"/>
    <x v="6"/>
    <n v="53"/>
    <n v="2"/>
    <n v="2"/>
    <n v="0"/>
    <s v="C1274"/>
    <x v="0"/>
    <x v="3"/>
    <x v="2"/>
    <x v="0"/>
    <x v="1"/>
    <s v="Needs Improvement"/>
    <x v="1"/>
    <n v="30"/>
    <x v="1"/>
    <x v="1"/>
    <x v="1"/>
    <s v="Work on communication and personality development"/>
  </r>
  <r>
    <n v="32"/>
    <x v="1"/>
    <n v="3"/>
    <n v="13"/>
    <n v="4"/>
    <n v="18.047390082130399"/>
    <x v="45"/>
    <n v="33"/>
    <n v="36"/>
    <n v="2"/>
    <n v="0"/>
    <s v="C1275"/>
    <x v="1"/>
    <x v="3"/>
    <x v="1"/>
    <x v="0"/>
    <x v="2"/>
    <s v="Needs Improvement"/>
    <x v="1"/>
    <n v="41"/>
    <x v="1"/>
    <x v="0"/>
    <x v="0"/>
    <s v="Improve interview preparation and communication"/>
  </r>
  <r>
    <n v="25"/>
    <x v="1"/>
    <n v="2"/>
    <n v="0"/>
    <n v="2"/>
    <n v="45.975638254815401"/>
    <x v="38"/>
    <n v="6"/>
    <n v="89"/>
    <n v="1"/>
    <n v="1"/>
    <s v="C1276"/>
    <x v="1"/>
    <x v="0"/>
    <x v="0"/>
    <x v="2"/>
    <x v="2"/>
    <s v="Strong"/>
    <x v="0"/>
    <n v="45"/>
    <x v="1"/>
    <x v="0"/>
    <x v="2"/>
    <s v="Strengthen technical skills and practical knowledge"/>
  </r>
  <r>
    <n v="24"/>
    <x v="1"/>
    <n v="2"/>
    <n v="8"/>
    <n v="3"/>
    <n v="48.043995317074199"/>
    <x v="96"/>
    <n v="34"/>
    <n v="14"/>
    <n v="2"/>
    <n v="0"/>
    <s v="C1277"/>
    <x v="1"/>
    <x v="0"/>
    <x v="1"/>
    <x v="1"/>
    <x v="2"/>
    <s v="Needs Improvement"/>
    <x v="1"/>
    <n v="41"/>
    <x v="1"/>
    <x v="2"/>
    <x v="1"/>
    <s v="Work on communication and personality development"/>
  </r>
  <r>
    <n v="44"/>
    <x v="0"/>
    <n v="2"/>
    <n v="3"/>
    <n v="1"/>
    <n v="34.5432443500953"/>
    <x v="20"/>
    <n v="14"/>
    <n v="50"/>
    <n v="1"/>
    <n v="0"/>
    <s v="C1278"/>
    <x v="0"/>
    <x v="0"/>
    <x v="2"/>
    <x v="2"/>
    <x v="2"/>
    <s v="Good"/>
    <x v="1"/>
    <n v="47"/>
    <x v="1"/>
    <x v="2"/>
    <x v="2"/>
    <s v="Strengthen technical skills and practical knowledge"/>
  </r>
  <r>
    <n v="20"/>
    <x v="0"/>
    <n v="4"/>
    <n v="8"/>
    <n v="1"/>
    <n v="34.221189329633802"/>
    <x v="64"/>
    <n v="64"/>
    <n v="47"/>
    <n v="2"/>
    <n v="0"/>
    <s v="C1279"/>
    <x v="0"/>
    <x v="1"/>
    <x v="1"/>
    <x v="0"/>
    <x v="1"/>
    <s v="Needs Improvement"/>
    <x v="1"/>
    <n v="51"/>
    <x v="0"/>
    <x v="1"/>
    <x v="0"/>
    <s v="Improve interview preparation and communication"/>
  </r>
  <r>
    <n v="40"/>
    <x v="1"/>
    <n v="4"/>
    <n v="5"/>
    <n v="3"/>
    <n v="23.637716885437001"/>
    <x v="25"/>
    <n v="89"/>
    <n v="7"/>
    <n v="1"/>
    <n v="1"/>
    <s v="C1280"/>
    <x v="1"/>
    <x v="1"/>
    <x v="2"/>
    <x v="2"/>
    <x v="0"/>
    <s v="Needs Improvement"/>
    <x v="0"/>
    <n v="68"/>
    <x v="0"/>
    <x v="2"/>
    <x v="1"/>
    <s v="Work on communication and personality development"/>
  </r>
  <r>
    <n v="41"/>
    <x v="1"/>
    <n v="2"/>
    <n v="14"/>
    <n v="4"/>
    <n v="42.777011227185298"/>
    <x v="42"/>
    <n v="98"/>
    <n v="12"/>
    <n v="2"/>
    <n v="0"/>
    <s v="C1281"/>
    <x v="1"/>
    <x v="0"/>
    <x v="1"/>
    <x v="0"/>
    <x v="0"/>
    <s v="Needs Improvement"/>
    <x v="1"/>
    <n v="60"/>
    <x v="0"/>
    <x v="1"/>
    <x v="1"/>
    <s v="Work on communication and personality development"/>
  </r>
  <r>
    <n v="40"/>
    <x v="1"/>
    <n v="3"/>
    <n v="0"/>
    <n v="5"/>
    <n v="49.080637921664099"/>
    <x v="47"/>
    <n v="24"/>
    <n v="47"/>
    <n v="1"/>
    <n v="0"/>
    <s v="C1282"/>
    <x v="1"/>
    <x v="3"/>
    <x v="0"/>
    <x v="0"/>
    <x v="2"/>
    <s v="Needs Improvement"/>
    <x v="1"/>
    <n v="29"/>
    <x v="1"/>
    <x v="0"/>
    <x v="2"/>
    <s v="Strengthen technical skills and practical knowledge"/>
  </r>
  <r>
    <n v="25"/>
    <x v="1"/>
    <n v="3"/>
    <n v="11"/>
    <n v="4"/>
    <n v="39.7540900169559"/>
    <x v="21"/>
    <n v="58"/>
    <n v="2"/>
    <n v="3"/>
    <n v="0"/>
    <s v="C1283"/>
    <x v="1"/>
    <x v="3"/>
    <x v="1"/>
    <x v="1"/>
    <x v="1"/>
    <s v="Needs Improvement"/>
    <x v="1"/>
    <n v="49"/>
    <x v="1"/>
    <x v="1"/>
    <x v="1"/>
    <s v="Work on communication and personality development"/>
  </r>
  <r>
    <n v="25"/>
    <x v="0"/>
    <n v="2"/>
    <n v="2"/>
    <n v="2"/>
    <n v="32.096836687835399"/>
    <x v="0"/>
    <n v="78"/>
    <n v="64"/>
    <n v="2"/>
    <n v="0"/>
    <s v="C1284"/>
    <x v="0"/>
    <x v="0"/>
    <x v="0"/>
    <x v="0"/>
    <x v="0"/>
    <s v="Good"/>
    <x v="1"/>
    <n v="55"/>
    <x v="0"/>
    <x v="1"/>
    <x v="0"/>
    <s v="Improve interview preparation and communication"/>
  </r>
  <r>
    <n v="42"/>
    <x v="1"/>
    <n v="2"/>
    <n v="10"/>
    <n v="5"/>
    <n v="31.339644791066799"/>
    <x v="75"/>
    <n v="85"/>
    <n v="72"/>
    <n v="2"/>
    <n v="0"/>
    <s v="C1285"/>
    <x v="1"/>
    <x v="0"/>
    <x v="1"/>
    <x v="0"/>
    <x v="0"/>
    <s v="Good"/>
    <x v="1"/>
    <n v="67"/>
    <x v="0"/>
    <x v="1"/>
    <x v="0"/>
    <s v="Improve interview preparation and communication"/>
  </r>
  <r>
    <n v="35"/>
    <x v="1"/>
    <n v="2"/>
    <n v="1"/>
    <n v="4"/>
    <n v="43.473495079183103"/>
    <x v="85"/>
    <n v="5"/>
    <n v="30"/>
    <n v="3"/>
    <n v="0"/>
    <s v="C1286"/>
    <x v="1"/>
    <x v="0"/>
    <x v="0"/>
    <x v="1"/>
    <x v="2"/>
    <s v="Needs Improvement"/>
    <x v="1"/>
    <n v="32"/>
    <x v="1"/>
    <x v="2"/>
    <x v="2"/>
    <s v="Strengthen technical skills and practical knowledge"/>
  </r>
  <r>
    <n v="23"/>
    <x v="1"/>
    <n v="3"/>
    <n v="15"/>
    <n v="3"/>
    <n v="28.060188288564898"/>
    <x v="0"/>
    <n v="51"/>
    <n v="25"/>
    <n v="2"/>
    <n v="0"/>
    <s v="C1287"/>
    <x v="1"/>
    <x v="3"/>
    <x v="1"/>
    <x v="0"/>
    <x v="1"/>
    <s v="Needs Improvement"/>
    <x v="1"/>
    <n v="53"/>
    <x v="0"/>
    <x v="1"/>
    <x v="1"/>
    <s v="Work on communication and personality development"/>
  </r>
  <r>
    <n v="49"/>
    <x v="1"/>
    <n v="4"/>
    <n v="8"/>
    <n v="2"/>
    <n v="41.192994312441101"/>
    <x v="90"/>
    <n v="78"/>
    <n v="80"/>
    <n v="3"/>
    <n v="1"/>
    <s v="C1288"/>
    <x v="1"/>
    <x v="1"/>
    <x v="1"/>
    <x v="0"/>
    <x v="0"/>
    <s v="Strong"/>
    <x v="0"/>
    <n v="66"/>
    <x v="0"/>
    <x v="0"/>
    <x v="0"/>
    <s v="Improve interview preparation and communication"/>
  </r>
  <r>
    <n v="30"/>
    <x v="1"/>
    <n v="3"/>
    <n v="15"/>
    <n v="2"/>
    <n v="26.444262758712199"/>
    <x v="66"/>
    <n v="87"/>
    <n v="55"/>
    <n v="1"/>
    <n v="1"/>
    <s v="C1289"/>
    <x v="1"/>
    <x v="3"/>
    <x v="1"/>
    <x v="1"/>
    <x v="0"/>
    <s v="Good"/>
    <x v="0"/>
    <n v="72"/>
    <x v="0"/>
    <x v="1"/>
    <x v="0"/>
    <s v="Improve interview preparation and communication"/>
  </r>
  <r>
    <n v="49"/>
    <x v="1"/>
    <n v="3"/>
    <n v="14"/>
    <n v="2"/>
    <n v="4.1222137486961996"/>
    <x v="48"/>
    <n v="20"/>
    <n v="33"/>
    <n v="2"/>
    <n v="0"/>
    <s v="C1290"/>
    <x v="1"/>
    <x v="3"/>
    <x v="1"/>
    <x v="1"/>
    <x v="2"/>
    <s v="Needs Improvement"/>
    <x v="1"/>
    <n v="50"/>
    <x v="0"/>
    <x v="2"/>
    <x v="2"/>
    <s v="Strengthen technical skills and practical knowledge"/>
  </r>
  <r>
    <n v="49"/>
    <x v="1"/>
    <n v="2"/>
    <n v="11"/>
    <n v="5"/>
    <n v="20.1973504452077"/>
    <x v="15"/>
    <n v="70"/>
    <n v="8"/>
    <n v="2"/>
    <n v="0"/>
    <s v="C1291"/>
    <x v="1"/>
    <x v="0"/>
    <x v="1"/>
    <x v="0"/>
    <x v="1"/>
    <s v="Needs Improvement"/>
    <x v="1"/>
    <n v="39"/>
    <x v="1"/>
    <x v="1"/>
    <x v="1"/>
    <s v="Work on communication and personality development"/>
  </r>
  <r>
    <n v="49"/>
    <x v="0"/>
    <n v="3"/>
    <n v="0"/>
    <n v="1"/>
    <n v="23.222047883574898"/>
    <x v="93"/>
    <n v="92"/>
    <n v="61"/>
    <n v="3"/>
    <n v="0"/>
    <s v="C1292"/>
    <x v="0"/>
    <x v="3"/>
    <x v="0"/>
    <x v="1"/>
    <x v="0"/>
    <s v="Good"/>
    <x v="1"/>
    <n v="64"/>
    <x v="0"/>
    <x v="1"/>
    <x v="1"/>
    <s v="Work on communication and personality development"/>
  </r>
  <r>
    <n v="50"/>
    <x v="0"/>
    <n v="3"/>
    <n v="12"/>
    <n v="5"/>
    <n v="8.0808622493308597"/>
    <x v="27"/>
    <n v="95"/>
    <n v="12"/>
    <n v="1"/>
    <n v="1"/>
    <s v="C1293"/>
    <x v="0"/>
    <x v="3"/>
    <x v="1"/>
    <x v="2"/>
    <x v="0"/>
    <s v="Needs Improvement"/>
    <x v="0"/>
    <n v="73"/>
    <x v="0"/>
    <x v="1"/>
    <x v="1"/>
    <s v="Work on communication and personality development"/>
  </r>
  <r>
    <n v="43"/>
    <x v="0"/>
    <n v="2"/>
    <n v="13"/>
    <n v="4"/>
    <n v="6.1248164594606402"/>
    <x v="49"/>
    <n v="31"/>
    <n v="68"/>
    <n v="3"/>
    <n v="0"/>
    <s v="C1294"/>
    <x v="0"/>
    <x v="0"/>
    <x v="1"/>
    <x v="0"/>
    <x v="2"/>
    <s v="Good"/>
    <x v="1"/>
    <n v="40"/>
    <x v="1"/>
    <x v="0"/>
    <x v="0"/>
    <s v="Improve interview preparation and communication"/>
  </r>
  <r>
    <n v="42"/>
    <x v="0"/>
    <n v="2"/>
    <n v="8"/>
    <n v="1"/>
    <n v="27.773247482847701"/>
    <x v="63"/>
    <n v="52"/>
    <n v="40"/>
    <n v="2"/>
    <n v="0"/>
    <s v="C1295"/>
    <x v="0"/>
    <x v="0"/>
    <x v="1"/>
    <x v="2"/>
    <x v="1"/>
    <s v="Needs Improvement"/>
    <x v="1"/>
    <n v="61"/>
    <x v="0"/>
    <x v="2"/>
    <x v="1"/>
    <s v="Work on communication and personality development"/>
  </r>
  <r>
    <n v="28"/>
    <x v="1"/>
    <n v="3"/>
    <n v="8"/>
    <n v="4"/>
    <n v="5.2571818278041"/>
    <x v="48"/>
    <n v="58"/>
    <n v="76"/>
    <n v="3"/>
    <n v="1"/>
    <s v="C1296"/>
    <x v="1"/>
    <x v="3"/>
    <x v="1"/>
    <x v="1"/>
    <x v="1"/>
    <s v="Strong"/>
    <x v="0"/>
    <n v="64"/>
    <x v="0"/>
    <x v="0"/>
    <x v="2"/>
    <s v="Strengthen technical skills and practical knowledge"/>
  </r>
  <r>
    <n v="42"/>
    <x v="0"/>
    <n v="1"/>
    <n v="7"/>
    <n v="1"/>
    <n v="16.147258394504199"/>
    <x v="6"/>
    <n v="68"/>
    <n v="0"/>
    <n v="2"/>
    <n v="0"/>
    <s v="C1297"/>
    <x v="0"/>
    <x v="2"/>
    <x v="1"/>
    <x v="0"/>
    <x v="1"/>
    <s v="Needs Improvement"/>
    <x v="1"/>
    <n v="37"/>
    <x v="1"/>
    <x v="1"/>
    <x v="1"/>
    <s v="Work on communication and personality development"/>
  </r>
  <r>
    <n v="22"/>
    <x v="0"/>
    <n v="3"/>
    <n v="7"/>
    <n v="5"/>
    <n v="38.229848798153697"/>
    <x v="91"/>
    <n v="61"/>
    <n v="88"/>
    <n v="1"/>
    <n v="1"/>
    <s v="C1298"/>
    <x v="0"/>
    <x v="3"/>
    <x v="1"/>
    <x v="0"/>
    <x v="1"/>
    <s v="Strong"/>
    <x v="0"/>
    <n v="47"/>
    <x v="1"/>
    <x v="0"/>
    <x v="0"/>
    <s v="Improve interview preparation and communication"/>
  </r>
  <r>
    <n v="38"/>
    <x v="1"/>
    <n v="1"/>
    <n v="10"/>
    <n v="2"/>
    <n v="49.221608978398997"/>
    <x v="97"/>
    <n v="3"/>
    <n v="46"/>
    <n v="3"/>
    <n v="0"/>
    <s v="C1299"/>
    <x v="1"/>
    <x v="2"/>
    <x v="1"/>
    <x v="0"/>
    <x v="2"/>
    <s v="Needs Improvement"/>
    <x v="1"/>
    <n v="32"/>
    <x v="1"/>
    <x v="0"/>
    <x v="2"/>
    <s v="Strengthen technical skills and practical knowledge"/>
  </r>
  <r>
    <n v="50"/>
    <x v="1"/>
    <n v="2"/>
    <n v="13"/>
    <n v="3"/>
    <n v="36.893529027596401"/>
    <x v="68"/>
    <n v="85"/>
    <n v="3"/>
    <n v="3"/>
    <n v="0"/>
    <s v="C1300"/>
    <x v="1"/>
    <x v="0"/>
    <x v="1"/>
    <x v="0"/>
    <x v="0"/>
    <s v="Needs Improvement"/>
    <x v="1"/>
    <n v="42"/>
    <x v="1"/>
    <x v="1"/>
    <x v="0"/>
    <s v="Improve interview preparation and communication"/>
  </r>
  <r>
    <n v="27"/>
    <x v="0"/>
    <n v="3"/>
    <n v="11"/>
    <n v="2"/>
    <n v="50.6312774226435"/>
    <x v="0"/>
    <n v="17"/>
    <n v="99"/>
    <n v="2"/>
    <n v="0"/>
    <s v="C1301"/>
    <x v="0"/>
    <x v="3"/>
    <x v="1"/>
    <x v="0"/>
    <x v="2"/>
    <s v="Strong"/>
    <x v="1"/>
    <n v="54"/>
    <x v="0"/>
    <x v="0"/>
    <x v="2"/>
    <s v="Strengthen technical skills and practical knowledge"/>
  </r>
  <r>
    <n v="24"/>
    <x v="0"/>
    <n v="2"/>
    <n v="0"/>
    <n v="5"/>
    <n v="35.916898563970101"/>
    <x v="40"/>
    <n v="98"/>
    <n v="62"/>
    <n v="1"/>
    <n v="1"/>
    <s v="C1302"/>
    <x v="0"/>
    <x v="0"/>
    <x v="0"/>
    <x v="0"/>
    <x v="0"/>
    <s v="Good"/>
    <x v="0"/>
    <n v="50"/>
    <x v="0"/>
    <x v="1"/>
    <x v="0"/>
    <s v="Improve interview preparation and communication"/>
  </r>
  <r>
    <n v="23"/>
    <x v="1"/>
    <n v="2"/>
    <n v="10"/>
    <n v="1"/>
    <n v="15.6897235327163"/>
    <x v="87"/>
    <n v="80"/>
    <n v="51"/>
    <n v="1"/>
    <n v="1"/>
    <s v="C1303"/>
    <x v="1"/>
    <x v="0"/>
    <x v="1"/>
    <x v="1"/>
    <x v="0"/>
    <s v="Good"/>
    <x v="0"/>
    <n v="64"/>
    <x v="0"/>
    <x v="1"/>
    <x v="1"/>
    <s v="Work on communication and personality development"/>
  </r>
  <r>
    <n v="43"/>
    <x v="0"/>
    <n v="2"/>
    <n v="7"/>
    <n v="2"/>
    <n v="34.602627025267999"/>
    <x v="35"/>
    <n v="55"/>
    <n v="9"/>
    <n v="2"/>
    <n v="0"/>
    <s v="C1304"/>
    <x v="0"/>
    <x v="0"/>
    <x v="1"/>
    <x v="0"/>
    <x v="1"/>
    <s v="Needs Improvement"/>
    <x v="1"/>
    <n v="36"/>
    <x v="1"/>
    <x v="1"/>
    <x v="1"/>
    <s v="Work on communication and personality development"/>
  </r>
  <r>
    <n v="50"/>
    <x v="1"/>
    <n v="3"/>
    <n v="9"/>
    <n v="5"/>
    <n v="36.107838259845103"/>
    <x v="84"/>
    <n v="23"/>
    <n v="27"/>
    <n v="1"/>
    <n v="1"/>
    <s v="C1305"/>
    <x v="1"/>
    <x v="3"/>
    <x v="1"/>
    <x v="0"/>
    <x v="2"/>
    <s v="Needs Improvement"/>
    <x v="0"/>
    <n v="40"/>
    <x v="1"/>
    <x v="2"/>
    <x v="2"/>
    <s v="Strengthen technical skills and practical knowledge"/>
  </r>
  <r>
    <n v="25"/>
    <x v="1"/>
    <n v="1"/>
    <n v="13"/>
    <n v="4"/>
    <n v="19.586349230823"/>
    <x v="33"/>
    <n v="65"/>
    <n v="5"/>
    <n v="2"/>
    <n v="0"/>
    <s v="C1306"/>
    <x v="1"/>
    <x v="2"/>
    <x v="1"/>
    <x v="0"/>
    <x v="1"/>
    <s v="Needs Improvement"/>
    <x v="1"/>
    <n v="36"/>
    <x v="1"/>
    <x v="1"/>
    <x v="0"/>
    <s v="Improve interview preparation and communication"/>
  </r>
  <r>
    <n v="21"/>
    <x v="1"/>
    <n v="4"/>
    <n v="2"/>
    <n v="3"/>
    <n v="1.8856925304694501"/>
    <x v="14"/>
    <n v="12"/>
    <n v="26"/>
    <n v="2"/>
    <n v="0"/>
    <s v="C1307"/>
    <x v="1"/>
    <x v="1"/>
    <x v="0"/>
    <x v="1"/>
    <x v="2"/>
    <s v="Needs Improvement"/>
    <x v="1"/>
    <n v="37"/>
    <x v="1"/>
    <x v="2"/>
    <x v="2"/>
    <s v="Strengthen technical skills and practical knowledge"/>
  </r>
  <r>
    <n v="39"/>
    <x v="1"/>
    <n v="1"/>
    <n v="10"/>
    <n v="2"/>
    <n v="36.159989238774301"/>
    <x v="66"/>
    <n v="61"/>
    <n v="11"/>
    <n v="2"/>
    <n v="0"/>
    <s v="C1308"/>
    <x v="1"/>
    <x v="2"/>
    <x v="1"/>
    <x v="1"/>
    <x v="1"/>
    <s v="Needs Improvement"/>
    <x v="1"/>
    <n v="50"/>
    <x v="0"/>
    <x v="1"/>
    <x v="1"/>
    <s v="Work on communication and personality development"/>
  </r>
  <r>
    <n v="47"/>
    <x v="0"/>
    <n v="4"/>
    <n v="6"/>
    <n v="1"/>
    <n v="2.0850047637770799"/>
    <x v="58"/>
    <n v="53"/>
    <n v="61"/>
    <n v="1"/>
    <n v="1"/>
    <s v="C1309"/>
    <x v="0"/>
    <x v="1"/>
    <x v="2"/>
    <x v="0"/>
    <x v="1"/>
    <s v="Good"/>
    <x v="0"/>
    <n v="44"/>
    <x v="1"/>
    <x v="0"/>
    <x v="0"/>
    <s v="Improve interview preparation and communication"/>
  </r>
  <r>
    <n v="30"/>
    <x v="1"/>
    <n v="4"/>
    <n v="10"/>
    <n v="4"/>
    <n v="32.559403903003499"/>
    <x v="87"/>
    <n v="14"/>
    <n v="51"/>
    <n v="2"/>
    <n v="0"/>
    <s v="C1310"/>
    <x v="1"/>
    <x v="1"/>
    <x v="1"/>
    <x v="1"/>
    <x v="2"/>
    <s v="Good"/>
    <x v="1"/>
    <n v="47"/>
    <x v="1"/>
    <x v="2"/>
    <x v="2"/>
    <s v="Strengthen technical skills and practical knowledge"/>
  </r>
  <r>
    <n v="23"/>
    <x v="1"/>
    <n v="2"/>
    <n v="14"/>
    <n v="5"/>
    <n v="9.1808244371277503"/>
    <x v="1"/>
    <n v="68"/>
    <n v="47"/>
    <n v="2"/>
    <n v="0"/>
    <s v="C1311"/>
    <x v="1"/>
    <x v="0"/>
    <x v="1"/>
    <x v="0"/>
    <x v="1"/>
    <s v="Needs Improvement"/>
    <x v="1"/>
    <n v="57"/>
    <x v="0"/>
    <x v="1"/>
    <x v="0"/>
    <s v="Improve interview preparation and communication"/>
  </r>
  <r>
    <n v="34"/>
    <x v="0"/>
    <n v="2"/>
    <n v="0"/>
    <n v="3"/>
    <n v="29.280176387402101"/>
    <x v="44"/>
    <n v="2"/>
    <n v="66"/>
    <n v="2"/>
    <n v="0"/>
    <s v="C1312"/>
    <x v="0"/>
    <x v="0"/>
    <x v="0"/>
    <x v="1"/>
    <x v="2"/>
    <s v="Good"/>
    <x v="1"/>
    <n v="34"/>
    <x v="1"/>
    <x v="0"/>
    <x v="2"/>
    <s v="Strengthen technical skills and practical knowledge"/>
  </r>
  <r>
    <n v="25"/>
    <x v="1"/>
    <n v="2"/>
    <n v="0"/>
    <n v="1"/>
    <n v="26.195651269030002"/>
    <x v="58"/>
    <n v="36"/>
    <n v="45"/>
    <n v="2"/>
    <n v="0"/>
    <s v="C1313"/>
    <x v="1"/>
    <x v="0"/>
    <x v="0"/>
    <x v="0"/>
    <x v="2"/>
    <s v="Needs Improvement"/>
    <x v="1"/>
    <n v="27"/>
    <x v="1"/>
    <x v="0"/>
    <x v="0"/>
    <s v="Improve interview preparation and communication"/>
  </r>
  <r>
    <n v="41"/>
    <x v="0"/>
    <n v="2"/>
    <n v="15"/>
    <n v="5"/>
    <n v="1.6756821153091199"/>
    <x v="0"/>
    <n v="36"/>
    <n v="96"/>
    <n v="2"/>
    <n v="0"/>
    <s v="C1314"/>
    <x v="0"/>
    <x v="0"/>
    <x v="1"/>
    <x v="0"/>
    <x v="2"/>
    <s v="Strong"/>
    <x v="1"/>
    <n v="62"/>
    <x v="0"/>
    <x v="0"/>
    <x v="2"/>
    <s v="Strengthen technical skills and practical knowledge"/>
  </r>
  <r>
    <n v="36"/>
    <x v="0"/>
    <n v="1"/>
    <n v="9"/>
    <n v="5"/>
    <n v="19.1432908497551"/>
    <x v="83"/>
    <n v="100"/>
    <n v="73"/>
    <n v="2"/>
    <n v="1"/>
    <s v="C1315"/>
    <x v="0"/>
    <x v="2"/>
    <x v="1"/>
    <x v="2"/>
    <x v="0"/>
    <s v="Good"/>
    <x v="0"/>
    <n v="79"/>
    <x v="2"/>
    <x v="1"/>
    <x v="1"/>
    <s v="Work on communication and personality development"/>
  </r>
  <r>
    <n v="49"/>
    <x v="0"/>
    <n v="1"/>
    <n v="12"/>
    <n v="2"/>
    <n v="31.054558369815101"/>
    <x v="87"/>
    <n v="2"/>
    <n v="94"/>
    <n v="3"/>
    <n v="0"/>
    <s v="C1316"/>
    <x v="0"/>
    <x v="2"/>
    <x v="1"/>
    <x v="1"/>
    <x v="2"/>
    <s v="Strong"/>
    <x v="1"/>
    <n v="52"/>
    <x v="0"/>
    <x v="0"/>
    <x v="2"/>
    <s v="Strengthen technical skills and practical knowledge"/>
  </r>
  <r>
    <n v="43"/>
    <x v="1"/>
    <n v="1"/>
    <n v="4"/>
    <n v="2"/>
    <n v="43.430327594938902"/>
    <x v="92"/>
    <n v="62"/>
    <n v="14"/>
    <n v="2"/>
    <n v="0"/>
    <s v="C1317"/>
    <x v="1"/>
    <x v="2"/>
    <x v="2"/>
    <x v="0"/>
    <x v="1"/>
    <s v="Needs Improvement"/>
    <x v="1"/>
    <n v="34"/>
    <x v="1"/>
    <x v="1"/>
    <x v="1"/>
    <s v="Work on communication and personality development"/>
  </r>
  <r>
    <n v="25"/>
    <x v="0"/>
    <n v="2"/>
    <n v="4"/>
    <n v="1"/>
    <n v="45.432105691825797"/>
    <x v="84"/>
    <n v="34"/>
    <n v="70"/>
    <n v="3"/>
    <n v="0"/>
    <s v="C1318"/>
    <x v="0"/>
    <x v="0"/>
    <x v="2"/>
    <x v="0"/>
    <x v="2"/>
    <s v="Good"/>
    <x v="1"/>
    <n v="45"/>
    <x v="1"/>
    <x v="0"/>
    <x v="2"/>
    <s v="Strengthen technical skills and practical knowledge"/>
  </r>
  <r>
    <n v="38"/>
    <x v="0"/>
    <n v="2"/>
    <n v="7"/>
    <n v="5"/>
    <n v="25.192498501661099"/>
    <x v="68"/>
    <n v="51"/>
    <n v="35"/>
    <n v="2"/>
    <n v="0"/>
    <s v="C1319"/>
    <x v="0"/>
    <x v="0"/>
    <x v="1"/>
    <x v="0"/>
    <x v="1"/>
    <s v="Needs Improvement"/>
    <x v="1"/>
    <n v="32"/>
    <x v="1"/>
    <x v="1"/>
    <x v="0"/>
    <s v="Improve interview preparation and communication"/>
  </r>
  <r>
    <n v="49"/>
    <x v="1"/>
    <n v="2"/>
    <n v="6"/>
    <n v="2"/>
    <n v="37.421124364971902"/>
    <x v="77"/>
    <n v="86"/>
    <n v="13"/>
    <n v="2"/>
    <n v="0"/>
    <s v="C1320"/>
    <x v="1"/>
    <x v="0"/>
    <x v="2"/>
    <x v="0"/>
    <x v="0"/>
    <s v="Needs Improvement"/>
    <x v="1"/>
    <n v="50"/>
    <x v="0"/>
    <x v="1"/>
    <x v="1"/>
    <s v="Work on communication and personality development"/>
  </r>
  <r>
    <n v="44"/>
    <x v="0"/>
    <n v="4"/>
    <n v="7"/>
    <n v="3"/>
    <n v="16.822728826672801"/>
    <x v="21"/>
    <n v="27"/>
    <n v="77"/>
    <n v="1"/>
    <n v="1"/>
    <s v="C1321"/>
    <x v="0"/>
    <x v="1"/>
    <x v="1"/>
    <x v="1"/>
    <x v="2"/>
    <s v="Strong"/>
    <x v="0"/>
    <n v="52"/>
    <x v="0"/>
    <x v="0"/>
    <x v="2"/>
    <s v="Strengthen technical skills and practical knowledge"/>
  </r>
  <r>
    <n v="21"/>
    <x v="0"/>
    <n v="2"/>
    <n v="5"/>
    <n v="3"/>
    <n v="18.1093202879328"/>
    <x v="84"/>
    <n v="93"/>
    <n v="2"/>
    <n v="2"/>
    <n v="0"/>
    <s v="C1322"/>
    <x v="0"/>
    <x v="0"/>
    <x v="2"/>
    <x v="0"/>
    <x v="0"/>
    <s v="Needs Improvement"/>
    <x v="1"/>
    <n v="51"/>
    <x v="0"/>
    <x v="1"/>
    <x v="1"/>
    <s v="Work on communication and personality development"/>
  </r>
  <r>
    <n v="34"/>
    <x v="0"/>
    <n v="2"/>
    <n v="5"/>
    <n v="5"/>
    <n v="10.723175959115601"/>
    <x v="18"/>
    <n v="17"/>
    <n v="66"/>
    <n v="2"/>
    <n v="0"/>
    <s v="C1323"/>
    <x v="0"/>
    <x v="0"/>
    <x v="2"/>
    <x v="1"/>
    <x v="2"/>
    <s v="Good"/>
    <x v="1"/>
    <n v="46"/>
    <x v="1"/>
    <x v="2"/>
    <x v="2"/>
    <s v="Strengthen technical skills and practical knowledge"/>
  </r>
  <r>
    <n v="30"/>
    <x v="0"/>
    <n v="2"/>
    <n v="1"/>
    <n v="2"/>
    <n v="29.0974054996619"/>
    <x v="8"/>
    <n v="35"/>
    <n v="85"/>
    <n v="1"/>
    <n v="1"/>
    <s v="C1324"/>
    <x v="0"/>
    <x v="0"/>
    <x v="0"/>
    <x v="2"/>
    <x v="2"/>
    <s v="Strong"/>
    <x v="0"/>
    <n v="55"/>
    <x v="0"/>
    <x v="0"/>
    <x v="2"/>
    <s v="Strengthen technical skills and practical knowledge"/>
  </r>
  <r>
    <n v="27"/>
    <x v="0"/>
    <n v="3"/>
    <n v="5"/>
    <n v="1"/>
    <n v="16.7282075463682"/>
    <x v="84"/>
    <n v="32"/>
    <n v="18"/>
    <n v="2"/>
    <n v="0"/>
    <s v="C1325"/>
    <x v="0"/>
    <x v="3"/>
    <x v="2"/>
    <x v="0"/>
    <x v="2"/>
    <s v="Needs Improvement"/>
    <x v="1"/>
    <n v="37"/>
    <x v="1"/>
    <x v="2"/>
    <x v="1"/>
    <s v="Work on communication and personality development"/>
  </r>
  <r>
    <n v="45"/>
    <x v="1"/>
    <n v="4"/>
    <n v="4"/>
    <n v="1"/>
    <n v="5.2185448219252502"/>
    <x v="3"/>
    <n v="63"/>
    <n v="98"/>
    <n v="1"/>
    <n v="1"/>
    <s v="C1326"/>
    <x v="1"/>
    <x v="1"/>
    <x v="2"/>
    <x v="0"/>
    <x v="1"/>
    <s v="Strong"/>
    <x v="0"/>
    <n v="58"/>
    <x v="0"/>
    <x v="0"/>
    <x v="0"/>
    <s v="Improve interview preparation and communication"/>
  </r>
  <r>
    <n v="38"/>
    <x v="0"/>
    <n v="3"/>
    <n v="12"/>
    <n v="1"/>
    <n v="35.250304333158901"/>
    <x v="67"/>
    <n v="25"/>
    <n v="75"/>
    <n v="2"/>
    <n v="0"/>
    <s v="C1327"/>
    <x v="0"/>
    <x v="3"/>
    <x v="1"/>
    <x v="0"/>
    <x v="2"/>
    <s v="Strong"/>
    <x v="1"/>
    <n v="52"/>
    <x v="0"/>
    <x v="0"/>
    <x v="2"/>
    <s v="Strengthen technical skills and practical knowledge"/>
  </r>
  <r>
    <n v="32"/>
    <x v="0"/>
    <n v="4"/>
    <n v="15"/>
    <n v="3"/>
    <n v="36.387660380269899"/>
    <x v="89"/>
    <n v="47"/>
    <n v="53"/>
    <n v="2"/>
    <n v="0"/>
    <s v="C1328"/>
    <x v="0"/>
    <x v="1"/>
    <x v="1"/>
    <x v="0"/>
    <x v="2"/>
    <s v="Good"/>
    <x v="1"/>
    <n v="57"/>
    <x v="0"/>
    <x v="0"/>
    <x v="0"/>
    <s v="Improve interview preparation and communication"/>
  </r>
  <r>
    <n v="31"/>
    <x v="1"/>
    <n v="1"/>
    <n v="2"/>
    <n v="2"/>
    <n v="18.999620938952798"/>
    <x v="34"/>
    <n v="39"/>
    <n v="68"/>
    <n v="2"/>
    <n v="0"/>
    <s v="C1329"/>
    <x v="1"/>
    <x v="2"/>
    <x v="0"/>
    <x v="0"/>
    <x v="2"/>
    <s v="Good"/>
    <x v="1"/>
    <n v="34"/>
    <x v="1"/>
    <x v="0"/>
    <x v="0"/>
    <s v="Improve interview preparation and communication"/>
  </r>
  <r>
    <n v="24"/>
    <x v="1"/>
    <n v="3"/>
    <n v="5"/>
    <n v="2"/>
    <n v="4.83616997280114"/>
    <x v="64"/>
    <n v="16"/>
    <n v="9"/>
    <n v="3"/>
    <n v="0"/>
    <s v="C1330"/>
    <x v="1"/>
    <x v="3"/>
    <x v="2"/>
    <x v="0"/>
    <x v="2"/>
    <s v="Needs Improvement"/>
    <x v="1"/>
    <n v="25"/>
    <x v="1"/>
    <x v="2"/>
    <x v="1"/>
    <s v="Work on communication and personality development"/>
  </r>
  <r>
    <n v="25"/>
    <x v="1"/>
    <n v="3"/>
    <n v="7"/>
    <n v="3"/>
    <n v="22.314885870171199"/>
    <x v="28"/>
    <n v="39"/>
    <n v="32"/>
    <n v="2"/>
    <n v="0"/>
    <s v="C1331"/>
    <x v="1"/>
    <x v="3"/>
    <x v="1"/>
    <x v="2"/>
    <x v="2"/>
    <s v="Needs Improvement"/>
    <x v="1"/>
    <n v="53"/>
    <x v="0"/>
    <x v="2"/>
    <x v="1"/>
    <s v="Work on communication and personality development"/>
  </r>
  <r>
    <n v="45"/>
    <x v="0"/>
    <n v="2"/>
    <n v="8"/>
    <n v="1"/>
    <n v="23.1167729025107"/>
    <x v="13"/>
    <n v="6"/>
    <n v="12"/>
    <n v="2"/>
    <n v="0"/>
    <s v="C1332"/>
    <x v="0"/>
    <x v="0"/>
    <x v="1"/>
    <x v="0"/>
    <x v="2"/>
    <s v="Needs Improvement"/>
    <x v="1"/>
    <n v="18"/>
    <x v="1"/>
    <x v="0"/>
    <x v="2"/>
    <s v="Strengthen technical skills and practical knowledge"/>
  </r>
  <r>
    <n v="41"/>
    <x v="1"/>
    <n v="4"/>
    <n v="0"/>
    <n v="1"/>
    <n v="34.433544244894598"/>
    <x v="92"/>
    <n v="56"/>
    <n v="98"/>
    <n v="2"/>
    <n v="0"/>
    <s v="C1333"/>
    <x v="1"/>
    <x v="1"/>
    <x v="0"/>
    <x v="0"/>
    <x v="1"/>
    <s v="Strong"/>
    <x v="1"/>
    <n v="47"/>
    <x v="1"/>
    <x v="0"/>
    <x v="0"/>
    <s v="Improve interview preparation and communication"/>
  </r>
  <r>
    <n v="23"/>
    <x v="0"/>
    <n v="1"/>
    <n v="2"/>
    <n v="5"/>
    <n v="16.770819562934101"/>
    <x v="4"/>
    <n v="7"/>
    <n v="50"/>
    <n v="3"/>
    <n v="0"/>
    <s v="C1334"/>
    <x v="0"/>
    <x v="2"/>
    <x v="0"/>
    <x v="0"/>
    <x v="2"/>
    <s v="Good"/>
    <x v="1"/>
    <n v="24"/>
    <x v="1"/>
    <x v="0"/>
    <x v="2"/>
    <s v="Strengthen technical skills and practical knowledge"/>
  </r>
  <r>
    <n v="38"/>
    <x v="0"/>
    <n v="2"/>
    <n v="2"/>
    <n v="4"/>
    <n v="35.129963989065203"/>
    <x v="81"/>
    <n v="55"/>
    <n v="31"/>
    <n v="2"/>
    <n v="0"/>
    <s v="C1335"/>
    <x v="0"/>
    <x v="0"/>
    <x v="0"/>
    <x v="1"/>
    <x v="1"/>
    <s v="Needs Improvement"/>
    <x v="1"/>
    <n v="46"/>
    <x v="1"/>
    <x v="2"/>
    <x v="1"/>
    <s v="Work on communication and personality development"/>
  </r>
  <r>
    <n v="39"/>
    <x v="1"/>
    <n v="2"/>
    <n v="10"/>
    <n v="2"/>
    <n v="44.574427087869402"/>
    <x v="28"/>
    <n v="30"/>
    <n v="74"/>
    <n v="2"/>
    <n v="0"/>
    <s v="C1336"/>
    <x v="1"/>
    <x v="0"/>
    <x v="1"/>
    <x v="2"/>
    <x v="2"/>
    <s v="Good"/>
    <x v="1"/>
    <n v="60"/>
    <x v="0"/>
    <x v="2"/>
    <x v="2"/>
    <s v="Strengthen technical skills and practical knowledge"/>
  </r>
  <r>
    <n v="20"/>
    <x v="1"/>
    <n v="2"/>
    <n v="7"/>
    <n v="2"/>
    <n v="12.874302118109901"/>
    <x v="10"/>
    <n v="58"/>
    <n v="23"/>
    <n v="1"/>
    <n v="1"/>
    <s v="C1337"/>
    <x v="1"/>
    <x v="0"/>
    <x v="1"/>
    <x v="2"/>
    <x v="1"/>
    <s v="Needs Improvement"/>
    <x v="0"/>
    <n v="59"/>
    <x v="0"/>
    <x v="2"/>
    <x v="1"/>
    <s v="Work on communication and personality development"/>
  </r>
  <r>
    <n v="39"/>
    <x v="0"/>
    <n v="3"/>
    <n v="0"/>
    <n v="2"/>
    <n v="49.9459778059949"/>
    <x v="82"/>
    <n v="57"/>
    <n v="34"/>
    <n v="2"/>
    <n v="0"/>
    <s v="C1338"/>
    <x v="0"/>
    <x v="3"/>
    <x v="0"/>
    <x v="2"/>
    <x v="1"/>
    <s v="Needs Improvement"/>
    <x v="1"/>
    <n v="57"/>
    <x v="0"/>
    <x v="2"/>
    <x v="1"/>
    <s v="Work on communication and personality development"/>
  </r>
  <r>
    <n v="36"/>
    <x v="1"/>
    <n v="2"/>
    <n v="4"/>
    <n v="4"/>
    <n v="20.318406856840301"/>
    <x v="48"/>
    <n v="11"/>
    <n v="82"/>
    <n v="1"/>
    <n v="0"/>
    <s v="C1339"/>
    <x v="1"/>
    <x v="0"/>
    <x v="2"/>
    <x v="1"/>
    <x v="2"/>
    <s v="Strong"/>
    <x v="1"/>
    <n v="45"/>
    <x v="1"/>
    <x v="0"/>
    <x v="2"/>
    <s v="Strengthen technical skills and practical knowledge"/>
  </r>
  <r>
    <n v="31"/>
    <x v="0"/>
    <n v="2"/>
    <n v="2"/>
    <n v="5"/>
    <n v="14.362934257353"/>
    <x v="27"/>
    <n v="47"/>
    <n v="69"/>
    <n v="2"/>
    <n v="0"/>
    <s v="C1340"/>
    <x v="0"/>
    <x v="0"/>
    <x v="0"/>
    <x v="2"/>
    <x v="2"/>
    <s v="Good"/>
    <x v="1"/>
    <n v="59"/>
    <x v="0"/>
    <x v="2"/>
    <x v="2"/>
    <s v="Strengthen technical skills and practical knowledge"/>
  </r>
  <r>
    <n v="34"/>
    <x v="1"/>
    <n v="2"/>
    <n v="1"/>
    <n v="4"/>
    <n v="22.075559125514499"/>
    <x v="27"/>
    <n v="30"/>
    <n v="39"/>
    <n v="3"/>
    <n v="0"/>
    <s v="C1341"/>
    <x v="1"/>
    <x v="0"/>
    <x v="0"/>
    <x v="2"/>
    <x v="2"/>
    <s v="Needs Improvement"/>
    <x v="1"/>
    <n v="46"/>
    <x v="1"/>
    <x v="2"/>
    <x v="2"/>
    <s v="Strengthen technical skills and practical knowledge"/>
  </r>
  <r>
    <n v="20"/>
    <x v="1"/>
    <n v="3"/>
    <n v="14"/>
    <n v="1"/>
    <n v="5.7198737951929504"/>
    <x v="14"/>
    <n v="82"/>
    <n v="53"/>
    <n v="2"/>
    <n v="1"/>
    <s v="C1342"/>
    <x v="1"/>
    <x v="3"/>
    <x v="1"/>
    <x v="1"/>
    <x v="0"/>
    <s v="Good"/>
    <x v="0"/>
    <n v="75"/>
    <x v="2"/>
    <x v="1"/>
    <x v="1"/>
    <s v="Work on communication and personality development"/>
  </r>
  <r>
    <n v="45"/>
    <x v="1"/>
    <n v="1"/>
    <n v="7"/>
    <n v="1"/>
    <n v="7.2852953256057802"/>
    <x v="60"/>
    <n v="62"/>
    <n v="43"/>
    <n v="2"/>
    <n v="0"/>
    <s v="C1343"/>
    <x v="1"/>
    <x v="2"/>
    <x v="1"/>
    <x v="2"/>
    <x v="1"/>
    <s v="Needs Improvement"/>
    <x v="1"/>
    <n v="62"/>
    <x v="0"/>
    <x v="2"/>
    <x v="1"/>
    <s v="Work on communication and personality development"/>
  </r>
  <r>
    <n v="33"/>
    <x v="0"/>
    <n v="2"/>
    <n v="2"/>
    <n v="2"/>
    <n v="21.7217023484165"/>
    <x v="83"/>
    <n v="73"/>
    <n v="61"/>
    <n v="2"/>
    <n v="0"/>
    <s v="C1344"/>
    <x v="0"/>
    <x v="0"/>
    <x v="0"/>
    <x v="2"/>
    <x v="1"/>
    <s v="Good"/>
    <x v="1"/>
    <n v="61"/>
    <x v="0"/>
    <x v="2"/>
    <x v="1"/>
    <s v="Work on communication and personality development"/>
  </r>
  <r>
    <n v="25"/>
    <x v="1"/>
    <n v="4"/>
    <n v="6"/>
    <n v="3"/>
    <n v="39.122226096955004"/>
    <x v="58"/>
    <n v="38"/>
    <n v="98"/>
    <n v="2"/>
    <n v="0"/>
    <s v="C1345"/>
    <x v="1"/>
    <x v="1"/>
    <x v="2"/>
    <x v="0"/>
    <x v="2"/>
    <s v="Strong"/>
    <x v="1"/>
    <n v="47"/>
    <x v="1"/>
    <x v="0"/>
    <x v="0"/>
    <s v="Improve interview preparation and communication"/>
  </r>
  <r>
    <n v="24"/>
    <x v="0"/>
    <n v="3"/>
    <n v="11"/>
    <n v="2"/>
    <n v="46.0156119787245"/>
    <x v="63"/>
    <n v="75"/>
    <n v="67"/>
    <n v="2"/>
    <n v="1"/>
    <s v="C1346"/>
    <x v="0"/>
    <x v="3"/>
    <x v="1"/>
    <x v="2"/>
    <x v="0"/>
    <s v="Good"/>
    <x v="0"/>
    <n v="77"/>
    <x v="2"/>
    <x v="2"/>
    <x v="1"/>
    <s v="Work on communication and personality development"/>
  </r>
  <r>
    <n v="49"/>
    <x v="0"/>
    <n v="2"/>
    <n v="10"/>
    <n v="3"/>
    <n v="34.240899535813497"/>
    <x v="20"/>
    <n v="19"/>
    <n v="32"/>
    <n v="2"/>
    <n v="0"/>
    <s v="C1347"/>
    <x v="0"/>
    <x v="0"/>
    <x v="1"/>
    <x v="2"/>
    <x v="2"/>
    <s v="Needs Improvement"/>
    <x v="1"/>
    <n v="52"/>
    <x v="0"/>
    <x v="2"/>
    <x v="2"/>
    <s v="Strengthen technical skills and practical knowledge"/>
  </r>
  <r>
    <n v="30"/>
    <x v="0"/>
    <n v="3"/>
    <n v="0"/>
    <n v="4"/>
    <n v="6.2609777619084799"/>
    <x v="44"/>
    <n v="100"/>
    <n v="76"/>
    <n v="1"/>
    <n v="1"/>
    <s v="C1348"/>
    <x v="0"/>
    <x v="3"/>
    <x v="0"/>
    <x v="1"/>
    <x v="0"/>
    <s v="Strong"/>
    <x v="0"/>
    <n v="67"/>
    <x v="0"/>
    <x v="1"/>
    <x v="0"/>
    <s v="Improve interview preparation and communication"/>
  </r>
  <r>
    <n v="50"/>
    <x v="0"/>
    <n v="3"/>
    <n v="5"/>
    <n v="1"/>
    <n v="34.600988109026702"/>
    <x v="34"/>
    <n v="47"/>
    <n v="55"/>
    <n v="1"/>
    <n v="0"/>
    <s v="C1349"/>
    <x v="0"/>
    <x v="3"/>
    <x v="2"/>
    <x v="0"/>
    <x v="2"/>
    <s v="Good"/>
    <x v="1"/>
    <n v="38"/>
    <x v="1"/>
    <x v="0"/>
    <x v="0"/>
    <s v="Improve interview preparation and communication"/>
  </r>
  <r>
    <n v="23"/>
    <x v="1"/>
    <n v="3"/>
    <n v="2"/>
    <n v="3"/>
    <n v="32.771396035148598"/>
    <x v="10"/>
    <n v="70"/>
    <n v="35"/>
    <n v="2"/>
    <n v="0"/>
    <s v="C1350"/>
    <x v="1"/>
    <x v="3"/>
    <x v="0"/>
    <x v="2"/>
    <x v="1"/>
    <s v="Needs Improvement"/>
    <x v="1"/>
    <n v="62"/>
    <x v="0"/>
    <x v="2"/>
    <x v="1"/>
    <s v="Work on communication and personality development"/>
  </r>
  <r>
    <n v="32"/>
    <x v="0"/>
    <n v="2"/>
    <n v="7"/>
    <n v="4"/>
    <n v="41.288195914666503"/>
    <x v="86"/>
    <n v="53"/>
    <n v="53"/>
    <n v="2"/>
    <n v="0"/>
    <s v="C1351"/>
    <x v="0"/>
    <x v="0"/>
    <x v="1"/>
    <x v="1"/>
    <x v="1"/>
    <s v="Good"/>
    <x v="1"/>
    <n v="51"/>
    <x v="0"/>
    <x v="1"/>
    <x v="0"/>
    <s v="Improve interview preparation and communication"/>
  </r>
  <r>
    <n v="30"/>
    <x v="0"/>
    <n v="2"/>
    <n v="5"/>
    <n v="1"/>
    <n v="42.262433332609"/>
    <x v="73"/>
    <n v="77"/>
    <n v="18"/>
    <n v="1"/>
    <n v="0"/>
    <s v="C1352"/>
    <x v="0"/>
    <x v="0"/>
    <x v="2"/>
    <x v="0"/>
    <x v="0"/>
    <s v="Needs Improvement"/>
    <x v="1"/>
    <n v="42"/>
    <x v="1"/>
    <x v="1"/>
    <x v="1"/>
    <s v="Work on communication and personality development"/>
  </r>
  <r>
    <n v="22"/>
    <x v="1"/>
    <n v="2"/>
    <n v="11"/>
    <n v="3"/>
    <n v="44.410153788948897"/>
    <x v="60"/>
    <n v="74"/>
    <n v="42"/>
    <n v="2"/>
    <n v="0"/>
    <s v="C1353"/>
    <x v="1"/>
    <x v="0"/>
    <x v="1"/>
    <x v="2"/>
    <x v="1"/>
    <s v="Needs Improvement"/>
    <x v="1"/>
    <n v="70"/>
    <x v="0"/>
    <x v="2"/>
    <x v="1"/>
    <s v="Work on communication and personality development"/>
  </r>
  <r>
    <n v="20"/>
    <x v="0"/>
    <n v="2"/>
    <n v="1"/>
    <n v="2"/>
    <n v="21.706575728954899"/>
    <x v="70"/>
    <n v="70"/>
    <n v="11"/>
    <n v="1"/>
    <n v="1"/>
    <s v="C1354"/>
    <x v="0"/>
    <x v="0"/>
    <x v="0"/>
    <x v="1"/>
    <x v="1"/>
    <s v="Needs Improvement"/>
    <x v="0"/>
    <n v="49"/>
    <x v="1"/>
    <x v="2"/>
    <x v="1"/>
    <s v="Work on communication and personality development"/>
  </r>
  <r>
    <n v="25"/>
    <x v="1"/>
    <n v="2"/>
    <n v="5"/>
    <n v="2"/>
    <n v="35.893219767607199"/>
    <x v="44"/>
    <n v="28"/>
    <n v="10"/>
    <n v="1"/>
    <n v="0"/>
    <s v="C1355"/>
    <x v="1"/>
    <x v="0"/>
    <x v="2"/>
    <x v="1"/>
    <x v="2"/>
    <s v="Needs Improvement"/>
    <x v="1"/>
    <n v="36"/>
    <x v="1"/>
    <x v="2"/>
    <x v="1"/>
    <s v="Work on communication and personality development"/>
  </r>
  <r>
    <n v="37"/>
    <x v="0"/>
    <n v="1"/>
    <n v="6"/>
    <n v="2"/>
    <n v="14.4125179461155"/>
    <x v="46"/>
    <n v="73"/>
    <n v="69"/>
    <n v="2"/>
    <n v="0"/>
    <s v="C1356"/>
    <x v="0"/>
    <x v="2"/>
    <x v="2"/>
    <x v="1"/>
    <x v="1"/>
    <s v="Good"/>
    <x v="1"/>
    <n v="61"/>
    <x v="0"/>
    <x v="1"/>
    <x v="0"/>
    <s v="Improve interview preparation and communication"/>
  </r>
  <r>
    <n v="43"/>
    <x v="1"/>
    <n v="2"/>
    <n v="4"/>
    <n v="4"/>
    <n v="50.966813999175201"/>
    <x v="31"/>
    <n v="92"/>
    <n v="11"/>
    <n v="2"/>
    <n v="0"/>
    <s v="C1357"/>
    <x v="1"/>
    <x v="0"/>
    <x v="2"/>
    <x v="0"/>
    <x v="0"/>
    <s v="Needs Improvement"/>
    <x v="1"/>
    <n v="45"/>
    <x v="1"/>
    <x v="1"/>
    <x v="1"/>
    <s v="Work on communication and personality development"/>
  </r>
  <r>
    <n v="29"/>
    <x v="0"/>
    <n v="2"/>
    <n v="2"/>
    <n v="2"/>
    <n v="9.76671206884299"/>
    <x v="57"/>
    <n v="72"/>
    <n v="90"/>
    <n v="2"/>
    <n v="0"/>
    <s v="C1358"/>
    <x v="0"/>
    <x v="0"/>
    <x v="0"/>
    <x v="2"/>
    <x v="1"/>
    <s v="Strong"/>
    <x v="1"/>
    <n v="71"/>
    <x v="0"/>
    <x v="2"/>
    <x v="2"/>
    <s v="Strengthen technical skills and practical knowledge"/>
  </r>
  <r>
    <n v="24"/>
    <x v="1"/>
    <n v="2"/>
    <n v="3"/>
    <n v="5"/>
    <n v="1.50572158304179"/>
    <x v="15"/>
    <n v="99"/>
    <n v="40"/>
    <n v="2"/>
    <n v="0"/>
    <s v="C1359"/>
    <x v="1"/>
    <x v="0"/>
    <x v="2"/>
    <x v="0"/>
    <x v="0"/>
    <s v="Needs Improvement"/>
    <x v="1"/>
    <n v="47"/>
    <x v="1"/>
    <x v="1"/>
    <x v="0"/>
    <s v="Improve interview preparation and communication"/>
  </r>
  <r>
    <n v="42"/>
    <x v="0"/>
    <n v="3"/>
    <n v="3"/>
    <n v="1"/>
    <n v="8.4404357259088005"/>
    <x v="67"/>
    <n v="47"/>
    <n v="24"/>
    <n v="3"/>
    <n v="0"/>
    <s v="C1360"/>
    <x v="0"/>
    <x v="3"/>
    <x v="2"/>
    <x v="0"/>
    <x v="2"/>
    <s v="Needs Improvement"/>
    <x v="1"/>
    <n v="39"/>
    <x v="1"/>
    <x v="1"/>
    <x v="1"/>
    <s v="Work on communication and personality development"/>
  </r>
  <r>
    <n v="29"/>
    <x v="0"/>
    <n v="2"/>
    <n v="5"/>
    <n v="4"/>
    <n v="39.793614477206297"/>
    <x v="31"/>
    <n v="73"/>
    <n v="2"/>
    <n v="2"/>
    <n v="0"/>
    <s v="C1361"/>
    <x v="0"/>
    <x v="0"/>
    <x v="2"/>
    <x v="0"/>
    <x v="1"/>
    <s v="Needs Improvement"/>
    <x v="1"/>
    <n v="39"/>
    <x v="1"/>
    <x v="1"/>
    <x v="1"/>
    <s v="Work on communication and personality development"/>
  </r>
  <r>
    <n v="31"/>
    <x v="1"/>
    <n v="1"/>
    <n v="9"/>
    <n v="2"/>
    <n v="23.339183825410501"/>
    <x v="97"/>
    <n v="82"/>
    <n v="2"/>
    <n v="1"/>
    <n v="1"/>
    <s v="C1362"/>
    <x v="1"/>
    <x v="2"/>
    <x v="1"/>
    <x v="0"/>
    <x v="0"/>
    <s v="Needs Improvement"/>
    <x v="0"/>
    <n v="46"/>
    <x v="1"/>
    <x v="1"/>
    <x v="1"/>
    <s v="Work on communication and personality development"/>
  </r>
  <r>
    <n v="21"/>
    <x v="1"/>
    <n v="3"/>
    <n v="0"/>
    <n v="1"/>
    <n v="23.375012390521398"/>
    <x v="97"/>
    <n v="55"/>
    <n v="83"/>
    <n v="2"/>
    <n v="0"/>
    <s v="C1363"/>
    <x v="1"/>
    <x v="3"/>
    <x v="0"/>
    <x v="0"/>
    <x v="1"/>
    <s v="Strong"/>
    <x v="1"/>
    <n v="46"/>
    <x v="1"/>
    <x v="0"/>
    <x v="0"/>
    <s v="Improve interview preparation and communication"/>
  </r>
  <r>
    <n v="32"/>
    <x v="1"/>
    <n v="1"/>
    <n v="10"/>
    <n v="3"/>
    <n v="48.751145980583402"/>
    <x v="74"/>
    <n v="94"/>
    <n v="27"/>
    <n v="1"/>
    <n v="1"/>
    <s v="C1364"/>
    <x v="1"/>
    <x v="2"/>
    <x v="1"/>
    <x v="2"/>
    <x v="0"/>
    <s v="Needs Improvement"/>
    <x v="0"/>
    <n v="76"/>
    <x v="2"/>
    <x v="2"/>
    <x v="1"/>
    <s v="Work on communication and personality development"/>
  </r>
  <r>
    <n v="27"/>
    <x v="1"/>
    <n v="3"/>
    <n v="3"/>
    <n v="2"/>
    <n v="46.9817454014037"/>
    <x v="59"/>
    <n v="16"/>
    <n v="22"/>
    <n v="3"/>
    <n v="0"/>
    <s v="C1365"/>
    <x v="1"/>
    <x v="3"/>
    <x v="2"/>
    <x v="1"/>
    <x v="2"/>
    <s v="Needs Improvement"/>
    <x v="1"/>
    <n v="32"/>
    <x v="1"/>
    <x v="2"/>
    <x v="2"/>
    <s v="Strengthen technical skills and practical knowledge"/>
  </r>
  <r>
    <n v="21"/>
    <x v="0"/>
    <n v="3"/>
    <n v="9"/>
    <n v="1"/>
    <n v="16.559736890200401"/>
    <x v="44"/>
    <n v="8"/>
    <n v="47"/>
    <n v="1"/>
    <n v="1"/>
    <s v="C1366"/>
    <x v="0"/>
    <x v="3"/>
    <x v="1"/>
    <x v="1"/>
    <x v="2"/>
    <s v="Needs Improvement"/>
    <x v="0"/>
    <n v="43"/>
    <x v="1"/>
    <x v="2"/>
    <x v="2"/>
    <s v="Strengthen technical skills and practical knowledge"/>
  </r>
  <r>
    <n v="39"/>
    <x v="0"/>
    <n v="2"/>
    <n v="12"/>
    <n v="5"/>
    <n v="11.4529064390433"/>
    <x v="67"/>
    <n v="96"/>
    <n v="66"/>
    <n v="2"/>
    <n v="0"/>
    <s v="C1367"/>
    <x v="0"/>
    <x v="0"/>
    <x v="1"/>
    <x v="0"/>
    <x v="0"/>
    <s v="Good"/>
    <x v="1"/>
    <n v="70"/>
    <x v="0"/>
    <x v="1"/>
    <x v="0"/>
    <s v="Improve interview preparation and communication"/>
  </r>
  <r>
    <n v="20"/>
    <x v="1"/>
    <n v="3"/>
    <n v="3"/>
    <n v="3"/>
    <n v="43.4241104966869"/>
    <x v="79"/>
    <n v="33"/>
    <n v="41"/>
    <n v="1"/>
    <n v="1"/>
    <s v="C1368"/>
    <x v="1"/>
    <x v="3"/>
    <x v="2"/>
    <x v="2"/>
    <x v="2"/>
    <s v="Needs Improvement"/>
    <x v="0"/>
    <n v="50"/>
    <x v="0"/>
    <x v="2"/>
    <x v="2"/>
    <s v="Strengthen technical skills and practical knowledge"/>
  </r>
  <r>
    <n v="50"/>
    <x v="0"/>
    <n v="2"/>
    <n v="9"/>
    <n v="5"/>
    <n v="46.300953552218097"/>
    <x v="70"/>
    <n v="44"/>
    <n v="87"/>
    <n v="3"/>
    <n v="0"/>
    <s v="C1369"/>
    <x v="0"/>
    <x v="0"/>
    <x v="1"/>
    <x v="1"/>
    <x v="2"/>
    <s v="Strong"/>
    <x v="1"/>
    <n v="64"/>
    <x v="0"/>
    <x v="0"/>
    <x v="2"/>
    <s v="Strengthen technical skills and practical knowledge"/>
  </r>
  <r>
    <n v="24"/>
    <x v="1"/>
    <n v="2"/>
    <n v="15"/>
    <n v="1"/>
    <n v="28.0798461399243"/>
    <x v="28"/>
    <n v="87"/>
    <n v="39"/>
    <n v="2"/>
    <n v="0"/>
    <s v="C1370"/>
    <x v="1"/>
    <x v="0"/>
    <x v="1"/>
    <x v="2"/>
    <x v="0"/>
    <s v="Needs Improvement"/>
    <x v="1"/>
    <n v="75"/>
    <x v="2"/>
    <x v="1"/>
    <x v="1"/>
    <s v="Work on communication and personality development"/>
  </r>
  <r>
    <n v="28"/>
    <x v="1"/>
    <n v="1"/>
    <n v="0"/>
    <n v="5"/>
    <n v="32.471185555855001"/>
    <x v="7"/>
    <n v="8"/>
    <n v="5"/>
    <n v="3"/>
    <n v="0"/>
    <s v="C1371"/>
    <x v="1"/>
    <x v="2"/>
    <x v="0"/>
    <x v="0"/>
    <x v="2"/>
    <s v="Needs Improvement"/>
    <x v="1"/>
    <n v="8"/>
    <x v="1"/>
    <x v="1"/>
    <x v="1"/>
    <s v="Work on communication and personality development"/>
  </r>
  <r>
    <n v="36"/>
    <x v="0"/>
    <n v="2"/>
    <n v="8"/>
    <n v="1"/>
    <n v="13.845714234614601"/>
    <x v="62"/>
    <n v="6"/>
    <n v="19"/>
    <n v="1"/>
    <n v="0"/>
    <s v="C1372"/>
    <x v="0"/>
    <x v="0"/>
    <x v="1"/>
    <x v="0"/>
    <x v="2"/>
    <s v="Needs Improvement"/>
    <x v="1"/>
    <n v="17"/>
    <x v="1"/>
    <x v="0"/>
    <x v="0"/>
    <s v="Improve interview preparation and communication"/>
  </r>
  <r>
    <n v="28"/>
    <x v="0"/>
    <n v="4"/>
    <n v="3"/>
    <n v="1"/>
    <n v="41.040134398926199"/>
    <x v="57"/>
    <n v="15"/>
    <n v="10"/>
    <n v="1"/>
    <n v="1"/>
    <s v="C1373"/>
    <x v="0"/>
    <x v="1"/>
    <x v="2"/>
    <x v="2"/>
    <x v="2"/>
    <s v="Needs Improvement"/>
    <x v="0"/>
    <n v="42"/>
    <x v="1"/>
    <x v="2"/>
    <x v="1"/>
    <s v="Work on communication and personality development"/>
  </r>
  <r>
    <n v="30"/>
    <x v="0"/>
    <n v="2"/>
    <n v="6"/>
    <n v="5"/>
    <n v="32.606121422451103"/>
    <x v="53"/>
    <n v="18"/>
    <n v="95"/>
    <n v="1"/>
    <n v="1"/>
    <s v="C1374"/>
    <x v="0"/>
    <x v="0"/>
    <x v="2"/>
    <x v="1"/>
    <x v="2"/>
    <s v="Strong"/>
    <x v="0"/>
    <n v="48"/>
    <x v="1"/>
    <x v="0"/>
    <x v="2"/>
    <s v="Strengthen technical skills and practical knowledge"/>
  </r>
  <r>
    <n v="34"/>
    <x v="0"/>
    <n v="2"/>
    <n v="11"/>
    <n v="1"/>
    <n v="26.175675564899802"/>
    <x v="63"/>
    <n v="5"/>
    <n v="26"/>
    <n v="3"/>
    <n v="0"/>
    <s v="C1375"/>
    <x v="0"/>
    <x v="0"/>
    <x v="1"/>
    <x v="2"/>
    <x v="2"/>
    <s v="Needs Improvement"/>
    <x v="1"/>
    <n v="47"/>
    <x v="1"/>
    <x v="2"/>
    <x v="2"/>
    <s v="Strengthen technical skills and practical knowledge"/>
  </r>
  <r>
    <n v="43"/>
    <x v="0"/>
    <n v="2"/>
    <n v="13"/>
    <n v="2"/>
    <n v="4.0054278039197904"/>
    <x v="31"/>
    <n v="10"/>
    <n v="20"/>
    <n v="3"/>
    <n v="0"/>
    <s v="C1376"/>
    <x v="0"/>
    <x v="0"/>
    <x v="1"/>
    <x v="0"/>
    <x v="2"/>
    <s v="Needs Improvement"/>
    <x v="1"/>
    <n v="32"/>
    <x v="1"/>
    <x v="2"/>
    <x v="2"/>
    <s v="Strengthen technical skills and practical knowledge"/>
  </r>
  <r>
    <n v="25"/>
    <x v="0"/>
    <n v="2"/>
    <n v="2"/>
    <n v="1"/>
    <n v="46.796748125557599"/>
    <x v="30"/>
    <n v="75"/>
    <n v="12"/>
    <n v="1"/>
    <n v="1"/>
    <s v="C1377"/>
    <x v="0"/>
    <x v="0"/>
    <x v="0"/>
    <x v="1"/>
    <x v="0"/>
    <s v="Needs Improvement"/>
    <x v="0"/>
    <n v="52"/>
    <x v="0"/>
    <x v="1"/>
    <x v="1"/>
    <s v="Work on communication and personality development"/>
  </r>
  <r>
    <n v="42"/>
    <x v="0"/>
    <n v="1"/>
    <n v="9"/>
    <n v="4"/>
    <n v="31.772571019220301"/>
    <x v="52"/>
    <n v="60"/>
    <n v="85"/>
    <n v="1"/>
    <n v="1"/>
    <s v="C1378"/>
    <x v="0"/>
    <x v="2"/>
    <x v="1"/>
    <x v="2"/>
    <x v="1"/>
    <s v="Strong"/>
    <x v="0"/>
    <n v="71"/>
    <x v="0"/>
    <x v="0"/>
    <x v="2"/>
    <s v="Strengthen technical skills and practical knowledge"/>
  </r>
  <r>
    <n v="22"/>
    <x v="1"/>
    <n v="2"/>
    <n v="11"/>
    <n v="1"/>
    <n v="10.634554734648299"/>
    <x v="1"/>
    <n v="41"/>
    <n v="34"/>
    <n v="2"/>
    <n v="0"/>
    <s v="C1379"/>
    <x v="1"/>
    <x v="0"/>
    <x v="1"/>
    <x v="0"/>
    <x v="2"/>
    <s v="Needs Improvement"/>
    <x v="1"/>
    <n v="43"/>
    <x v="1"/>
    <x v="1"/>
    <x v="1"/>
    <s v="Work on communication and personality development"/>
  </r>
  <r>
    <n v="49"/>
    <x v="1"/>
    <n v="3"/>
    <n v="2"/>
    <n v="4"/>
    <n v="31.319305849152599"/>
    <x v="95"/>
    <n v="12"/>
    <n v="46"/>
    <n v="1"/>
    <n v="0"/>
    <s v="C1380"/>
    <x v="1"/>
    <x v="3"/>
    <x v="0"/>
    <x v="1"/>
    <x v="2"/>
    <s v="Needs Improvement"/>
    <x v="1"/>
    <n v="34"/>
    <x v="1"/>
    <x v="2"/>
    <x v="2"/>
    <s v="Strengthen technical skills and practical knowledge"/>
  </r>
  <r>
    <n v="50"/>
    <x v="1"/>
    <n v="2"/>
    <n v="13"/>
    <n v="1"/>
    <n v="34.873167711998597"/>
    <x v="95"/>
    <n v="11"/>
    <n v="85"/>
    <n v="1"/>
    <n v="1"/>
    <s v="C1381"/>
    <x v="1"/>
    <x v="0"/>
    <x v="1"/>
    <x v="1"/>
    <x v="2"/>
    <s v="Strong"/>
    <x v="0"/>
    <n v="52"/>
    <x v="0"/>
    <x v="0"/>
    <x v="2"/>
    <s v="Strengthen technical skills and practical knowledge"/>
  </r>
  <r>
    <n v="36"/>
    <x v="1"/>
    <n v="2"/>
    <n v="7"/>
    <n v="1"/>
    <n v="27.2885168341612"/>
    <x v="58"/>
    <n v="84"/>
    <n v="27"/>
    <n v="1"/>
    <n v="1"/>
    <s v="C1382"/>
    <x v="1"/>
    <x v="0"/>
    <x v="1"/>
    <x v="0"/>
    <x v="0"/>
    <s v="Needs Improvement"/>
    <x v="0"/>
    <n v="45"/>
    <x v="1"/>
    <x v="1"/>
    <x v="0"/>
    <s v="Improve interview preparation and communication"/>
  </r>
  <r>
    <n v="24"/>
    <x v="1"/>
    <n v="1"/>
    <n v="7"/>
    <n v="5"/>
    <n v="36.905086897801098"/>
    <x v="30"/>
    <n v="73"/>
    <n v="20"/>
    <n v="1"/>
    <n v="1"/>
    <s v="C1383"/>
    <x v="1"/>
    <x v="2"/>
    <x v="1"/>
    <x v="1"/>
    <x v="1"/>
    <s v="Needs Improvement"/>
    <x v="0"/>
    <n v="58"/>
    <x v="0"/>
    <x v="2"/>
    <x v="1"/>
    <s v="Work on communication and personality development"/>
  </r>
  <r>
    <n v="49"/>
    <x v="0"/>
    <n v="2"/>
    <n v="10"/>
    <n v="2"/>
    <n v="30.072697396431199"/>
    <x v="47"/>
    <n v="19"/>
    <n v="17"/>
    <n v="1"/>
    <n v="1"/>
    <s v="C1384"/>
    <x v="0"/>
    <x v="0"/>
    <x v="1"/>
    <x v="0"/>
    <x v="2"/>
    <s v="Needs Improvement"/>
    <x v="0"/>
    <n v="30"/>
    <x v="1"/>
    <x v="2"/>
    <x v="1"/>
    <s v="Work on communication and personality development"/>
  </r>
  <r>
    <n v="47"/>
    <x v="1"/>
    <n v="3"/>
    <n v="11"/>
    <n v="2"/>
    <n v="48.388479101607402"/>
    <x v="74"/>
    <n v="49"/>
    <n v="30"/>
    <n v="1"/>
    <n v="0"/>
    <s v="C1385"/>
    <x v="1"/>
    <x v="3"/>
    <x v="1"/>
    <x v="2"/>
    <x v="2"/>
    <s v="Needs Improvement"/>
    <x v="1"/>
    <n v="65"/>
    <x v="0"/>
    <x v="2"/>
    <x v="1"/>
    <s v="Work on communication and personality development"/>
  </r>
  <r>
    <n v="31"/>
    <x v="1"/>
    <n v="1"/>
    <n v="0"/>
    <n v="3"/>
    <n v="3.6848539299653398"/>
    <x v="71"/>
    <n v="35"/>
    <n v="59"/>
    <n v="2"/>
    <n v="1"/>
    <s v="C1386"/>
    <x v="1"/>
    <x v="2"/>
    <x v="0"/>
    <x v="0"/>
    <x v="2"/>
    <s v="Good"/>
    <x v="0"/>
    <n v="31"/>
    <x v="1"/>
    <x v="0"/>
    <x v="0"/>
    <s v="Improve interview preparation and communication"/>
  </r>
  <r>
    <n v="37"/>
    <x v="1"/>
    <n v="1"/>
    <n v="9"/>
    <n v="5"/>
    <n v="6.3122854234780199"/>
    <x v="77"/>
    <n v="91"/>
    <n v="36"/>
    <n v="3"/>
    <n v="1"/>
    <s v="C1387"/>
    <x v="1"/>
    <x v="2"/>
    <x v="1"/>
    <x v="0"/>
    <x v="0"/>
    <s v="Needs Improvement"/>
    <x v="0"/>
    <n v="59"/>
    <x v="0"/>
    <x v="1"/>
    <x v="1"/>
    <s v="Work on communication and personality development"/>
  </r>
  <r>
    <n v="33"/>
    <x v="1"/>
    <n v="2"/>
    <n v="1"/>
    <n v="5"/>
    <n v="9.6835818477169902"/>
    <x v="73"/>
    <n v="87"/>
    <n v="20"/>
    <n v="2"/>
    <n v="1"/>
    <s v="C1388"/>
    <x v="1"/>
    <x v="0"/>
    <x v="0"/>
    <x v="0"/>
    <x v="0"/>
    <s v="Needs Improvement"/>
    <x v="0"/>
    <n v="41"/>
    <x v="1"/>
    <x v="1"/>
    <x v="1"/>
    <s v="Work on communication and personality development"/>
  </r>
  <r>
    <n v="40"/>
    <x v="1"/>
    <n v="3"/>
    <n v="15"/>
    <n v="2"/>
    <n v="35.508553530216602"/>
    <x v="3"/>
    <n v="68"/>
    <n v="13"/>
    <n v="2"/>
    <n v="0"/>
    <s v="C1389"/>
    <x v="1"/>
    <x v="3"/>
    <x v="1"/>
    <x v="0"/>
    <x v="1"/>
    <s v="Needs Improvement"/>
    <x v="1"/>
    <n v="53"/>
    <x v="0"/>
    <x v="1"/>
    <x v="1"/>
    <s v="Work on communication and personality development"/>
  </r>
  <r>
    <n v="43"/>
    <x v="1"/>
    <n v="2"/>
    <n v="7"/>
    <n v="5"/>
    <n v="33.2797936374904"/>
    <x v="67"/>
    <n v="36"/>
    <n v="88"/>
    <n v="1"/>
    <n v="1"/>
    <s v="C1390"/>
    <x v="1"/>
    <x v="0"/>
    <x v="1"/>
    <x v="0"/>
    <x v="2"/>
    <s v="Strong"/>
    <x v="0"/>
    <n v="51"/>
    <x v="0"/>
    <x v="0"/>
    <x v="2"/>
    <s v="Strengthen technical skills and practical knowledge"/>
  </r>
  <r>
    <n v="30"/>
    <x v="1"/>
    <n v="2"/>
    <n v="0"/>
    <n v="2"/>
    <n v="45.602943010484701"/>
    <x v="16"/>
    <n v="11"/>
    <n v="90"/>
    <n v="2"/>
    <n v="1"/>
    <s v="C1391"/>
    <x v="1"/>
    <x v="0"/>
    <x v="0"/>
    <x v="0"/>
    <x v="2"/>
    <s v="Strong"/>
    <x v="0"/>
    <n v="34"/>
    <x v="1"/>
    <x v="0"/>
    <x v="2"/>
    <s v="Strengthen technical skills and practical knowledge"/>
  </r>
  <r>
    <n v="28"/>
    <x v="0"/>
    <n v="3"/>
    <n v="14"/>
    <n v="5"/>
    <n v="37.6438726441949"/>
    <x v="62"/>
    <n v="98"/>
    <n v="59"/>
    <n v="2"/>
    <n v="1"/>
    <s v="C1392"/>
    <x v="0"/>
    <x v="3"/>
    <x v="1"/>
    <x v="0"/>
    <x v="0"/>
    <s v="Good"/>
    <x v="0"/>
    <n v="60"/>
    <x v="0"/>
    <x v="1"/>
    <x v="0"/>
    <s v="Improve interview preparation and communication"/>
  </r>
  <r>
    <n v="21"/>
    <x v="0"/>
    <n v="2"/>
    <n v="11"/>
    <n v="1"/>
    <n v="26.417774378229598"/>
    <x v="28"/>
    <n v="39"/>
    <n v="22"/>
    <n v="2"/>
    <n v="0"/>
    <s v="C1393"/>
    <x v="0"/>
    <x v="0"/>
    <x v="1"/>
    <x v="2"/>
    <x v="2"/>
    <s v="Needs Improvement"/>
    <x v="1"/>
    <n v="53"/>
    <x v="0"/>
    <x v="2"/>
    <x v="1"/>
    <s v="Work on communication and personality development"/>
  </r>
  <r>
    <n v="31"/>
    <x v="1"/>
    <n v="3"/>
    <n v="7"/>
    <n v="2"/>
    <n v="50.591589623181498"/>
    <x v="28"/>
    <n v="53"/>
    <n v="94"/>
    <n v="1"/>
    <n v="1"/>
    <s v="C1394"/>
    <x v="1"/>
    <x v="3"/>
    <x v="1"/>
    <x v="2"/>
    <x v="1"/>
    <s v="Strong"/>
    <x v="0"/>
    <n v="69"/>
    <x v="0"/>
    <x v="0"/>
    <x v="2"/>
    <s v="Strengthen technical skills and practical knowledge"/>
  </r>
  <r>
    <n v="22"/>
    <x v="0"/>
    <n v="3"/>
    <n v="7"/>
    <n v="2"/>
    <n v="14.3053978084649"/>
    <x v="79"/>
    <n v="1"/>
    <n v="28"/>
    <n v="3"/>
    <n v="0"/>
    <s v="C1395"/>
    <x v="0"/>
    <x v="3"/>
    <x v="1"/>
    <x v="2"/>
    <x v="2"/>
    <s v="Needs Improvement"/>
    <x v="1"/>
    <n v="42"/>
    <x v="1"/>
    <x v="2"/>
    <x v="2"/>
    <s v="Strengthen technical skills and practical knowledge"/>
  </r>
  <r>
    <n v="22"/>
    <x v="0"/>
    <n v="2"/>
    <n v="15"/>
    <n v="4"/>
    <n v="42.6595829892727"/>
    <x v="45"/>
    <n v="49"/>
    <n v="46"/>
    <n v="1"/>
    <n v="0"/>
    <s v="C1396"/>
    <x v="0"/>
    <x v="0"/>
    <x v="1"/>
    <x v="0"/>
    <x v="2"/>
    <s v="Needs Improvement"/>
    <x v="1"/>
    <n v="49"/>
    <x v="1"/>
    <x v="1"/>
    <x v="0"/>
    <s v="Improve interview preparation and communication"/>
  </r>
  <r>
    <n v="20"/>
    <x v="0"/>
    <n v="2"/>
    <n v="1"/>
    <n v="5"/>
    <n v="22.339518609695901"/>
    <x v="19"/>
    <n v="40"/>
    <n v="29"/>
    <n v="2"/>
    <n v="0"/>
    <s v="C1397"/>
    <x v="0"/>
    <x v="0"/>
    <x v="0"/>
    <x v="2"/>
    <x v="2"/>
    <s v="Needs Improvement"/>
    <x v="1"/>
    <n v="51"/>
    <x v="0"/>
    <x v="2"/>
    <x v="1"/>
    <s v="Work on communication and personality development"/>
  </r>
  <r>
    <n v="27"/>
    <x v="0"/>
    <n v="1"/>
    <n v="3"/>
    <n v="5"/>
    <n v="33.436756943786698"/>
    <x v="40"/>
    <n v="44"/>
    <n v="89"/>
    <n v="3"/>
    <n v="0"/>
    <s v="C1398"/>
    <x v="0"/>
    <x v="2"/>
    <x v="2"/>
    <x v="0"/>
    <x v="2"/>
    <s v="Strong"/>
    <x v="1"/>
    <n v="42"/>
    <x v="1"/>
    <x v="0"/>
    <x v="0"/>
    <s v="Improve interview preparation and communication"/>
  </r>
  <r>
    <n v="41"/>
    <x v="1"/>
    <n v="2"/>
    <n v="5"/>
    <n v="2"/>
    <n v="37.363423522621702"/>
    <x v="8"/>
    <n v="8"/>
    <n v="83"/>
    <n v="2"/>
    <n v="1"/>
    <s v="C1399"/>
    <x v="1"/>
    <x v="0"/>
    <x v="2"/>
    <x v="2"/>
    <x v="2"/>
    <s v="Strong"/>
    <x v="0"/>
    <n v="51"/>
    <x v="0"/>
    <x v="0"/>
    <x v="2"/>
    <s v="Strengthen technical skills and practical knowledge"/>
  </r>
  <r>
    <n v="47"/>
    <x v="0"/>
    <n v="4"/>
    <n v="11"/>
    <n v="1"/>
    <n v="32.6877043595168"/>
    <x v="99"/>
    <n v="61"/>
    <n v="37"/>
    <n v="2"/>
    <n v="0"/>
    <s v="C1400"/>
    <x v="0"/>
    <x v="1"/>
    <x v="1"/>
    <x v="0"/>
    <x v="1"/>
    <s v="Needs Improvement"/>
    <x v="1"/>
    <n v="55"/>
    <x v="0"/>
    <x v="1"/>
    <x v="1"/>
    <s v="Work on communication and personality development"/>
  </r>
  <r>
    <n v="48"/>
    <x v="0"/>
    <n v="2"/>
    <n v="10"/>
    <n v="1"/>
    <n v="8.0253651554296592"/>
    <x v="45"/>
    <n v="85"/>
    <n v="82"/>
    <n v="3"/>
    <n v="0"/>
    <s v="C1401"/>
    <x v="0"/>
    <x v="0"/>
    <x v="1"/>
    <x v="0"/>
    <x v="0"/>
    <s v="Strong"/>
    <x v="1"/>
    <n v="62"/>
    <x v="0"/>
    <x v="1"/>
    <x v="0"/>
    <s v="Improve interview preparation and communication"/>
  </r>
  <r>
    <n v="27"/>
    <x v="0"/>
    <n v="2"/>
    <n v="8"/>
    <n v="1"/>
    <n v="23.147550537396601"/>
    <x v="71"/>
    <n v="46"/>
    <n v="26"/>
    <n v="2"/>
    <n v="1"/>
    <s v="C1402"/>
    <x v="0"/>
    <x v="0"/>
    <x v="1"/>
    <x v="0"/>
    <x v="2"/>
    <s v="Needs Improvement"/>
    <x v="0"/>
    <n v="36"/>
    <x v="1"/>
    <x v="1"/>
    <x v="0"/>
    <s v="Improve interview preparation and communication"/>
  </r>
  <r>
    <n v="30"/>
    <x v="1"/>
    <n v="3"/>
    <n v="14"/>
    <n v="5"/>
    <n v="29.0719188966562"/>
    <x v="46"/>
    <n v="4"/>
    <n v="88"/>
    <n v="1"/>
    <n v="0"/>
    <s v="C1403"/>
    <x v="1"/>
    <x v="3"/>
    <x v="1"/>
    <x v="1"/>
    <x v="2"/>
    <s v="Strong"/>
    <x v="1"/>
    <n v="54"/>
    <x v="0"/>
    <x v="0"/>
    <x v="2"/>
    <s v="Strengthen technical skills and practical knowledge"/>
  </r>
  <r>
    <n v="28"/>
    <x v="1"/>
    <n v="2"/>
    <n v="15"/>
    <n v="4"/>
    <n v="43.452187958929798"/>
    <x v="17"/>
    <n v="75"/>
    <n v="86"/>
    <n v="3"/>
    <n v="0"/>
    <s v="C1404"/>
    <x v="1"/>
    <x v="0"/>
    <x v="1"/>
    <x v="1"/>
    <x v="0"/>
    <s v="Strong"/>
    <x v="1"/>
    <n v="76"/>
    <x v="2"/>
    <x v="0"/>
    <x v="0"/>
    <s v="Improve interview preparation and communication"/>
  </r>
  <r>
    <n v="24"/>
    <x v="1"/>
    <n v="1"/>
    <n v="7"/>
    <n v="2"/>
    <n v="23.182287439928601"/>
    <x v="76"/>
    <n v="0"/>
    <n v="92"/>
    <n v="1"/>
    <n v="0"/>
    <s v="C1405"/>
    <x v="1"/>
    <x v="2"/>
    <x v="1"/>
    <x v="0"/>
    <x v="2"/>
    <s v="Strong"/>
    <x v="1"/>
    <n v="36"/>
    <x v="1"/>
    <x v="0"/>
    <x v="2"/>
    <s v="Strengthen technical skills and practical knowledge"/>
  </r>
  <r>
    <n v="33"/>
    <x v="1"/>
    <n v="2"/>
    <n v="11"/>
    <n v="3"/>
    <n v="46.9373652402125"/>
    <x v="48"/>
    <n v="43"/>
    <n v="14"/>
    <n v="3"/>
    <n v="0"/>
    <s v="C1406"/>
    <x v="1"/>
    <x v="0"/>
    <x v="1"/>
    <x v="1"/>
    <x v="2"/>
    <s v="Needs Improvement"/>
    <x v="1"/>
    <n v="48"/>
    <x v="1"/>
    <x v="2"/>
    <x v="1"/>
    <s v="Work on communication and personality development"/>
  </r>
  <r>
    <n v="47"/>
    <x v="1"/>
    <n v="2"/>
    <n v="14"/>
    <n v="4"/>
    <n v="23.018711151260501"/>
    <x v="39"/>
    <n v="21"/>
    <n v="58"/>
    <n v="1"/>
    <n v="0"/>
    <s v="C1407"/>
    <x v="1"/>
    <x v="0"/>
    <x v="1"/>
    <x v="0"/>
    <x v="2"/>
    <s v="Good"/>
    <x v="1"/>
    <n v="47"/>
    <x v="1"/>
    <x v="0"/>
    <x v="2"/>
    <s v="Strengthen technical skills and practical knowledge"/>
  </r>
  <r>
    <n v="49"/>
    <x v="1"/>
    <n v="3"/>
    <n v="7"/>
    <n v="3"/>
    <n v="28.438992963150501"/>
    <x v="19"/>
    <n v="37"/>
    <n v="2"/>
    <n v="2"/>
    <n v="0"/>
    <s v="C1408"/>
    <x v="1"/>
    <x v="3"/>
    <x v="1"/>
    <x v="2"/>
    <x v="2"/>
    <s v="Needs Improvement"/>
    <x v="1"/>
    <n v="52"/>
    <x v="0"/>
    <x v="2"/>
    <x v="1"/>
    <s v="Work on communication and personality development"/>
  </r>
  <r>
    <n v="22"/>
    <x v="1"/>
    <n v="1"/>
    <n v="6"/>
    <n v="4"/>
    <n v="40.81428414714"/>
    <x v="77"/>
    <n v="18"/>
    <n v="9"/>
    <n v="2"/>
    <n v="1"/>
    <s v="C1409"/>
    <x v="1"/>
    <x v="2"/>
    <x v="2"/>
    <x v="0"/>
    <x v="2"/>
    <s v="Needs Improvement"/>
    <x v="0"/>
    <n v="28"/>
    <x v="1"/>
    <x v="2"/>
    <x v="1"/>
    <s v="Work on communication and personality development"/>
  </r>
  <r>
    <n v="40"/>
    <x v="0"/>
    <n v="2"/>
    <n v="13"/>
    <n v="1"/>
    <n v="30.1533842211071"/>
    <x v="3"/>
    <n v="79"/>
    <n v="78"/>
    <n v="3"/>
    <n v="1"/>
    <s v="C1410"/>
    <x v="0"/>
    <x v="0"/>
    <x v="1"/>
    <x v="0"/>
    <x v="0"/>
    <s v="Strong"/>
    <x v="0"/>
    <n v="66"/>
    <x v="0"/>
    <x v="1"/>
    <x v="0"/>
    <s v="Improve interview preparation and communication"/>
  </r>
  <r>
    <n v="24"/>
    <x v="0"/>
    <n v="2"/>
    <n v="12"/>
    <n v="5"/>
    <n v="49.010903619141203"/>
    <x v="36"/>
    <n v="30"/>
    <n v="79"/>
    <n v="2"/>
    <n v="1"/>
    <s v="C1411"/>
    <x v="0"/>
    <x v="0"/>
    <x v="1"/>
    <x v="1"/>
    <x v="2"/>
    <s v="Strong"/>
    <x v="0"/>
    <n v="59"/>
    <x v="0"/>
    <x v="0"/>
    <x v="2"/>
    <s v="Strengthen technical skills and practical knowledge"/>
  </r>
  <r>
    <n v="24"/>
    <x v="0"/>
    <n v="2"/>
    <n v="8"/>
    <n v="3"/>
    <n v="34.016791525706303"/>
    <x v="58"/>
    <n v="66"/>
    <n v="16"/>
    <n v="1"/>
    <n v="1"/>
    <s v="C1412"/>
    <x v="0"/>
    <x v="0"/>
    <x v="1"/>
    <x v="0"/>
    <x v="1"/>
    <s v="Needs Improvement"/>
    <x v="0"/>
    <n v="38"/>
    <x v="1"/>
    <x v="1"/>
    <x v="0"/>
    <s v="Improve interview preparation and communication"/>
  </r>
  <r>
    <n v="38"/>
    <x v="1"/>
    <n v="2"/>
    <n v="14"/>
    <n v="4"/>
    <n v="27.13547270338"/>
    <x v="78"/>
    <n v="86"/>
    <n v="82"/>
    <n v="2"/>
    <n v="0"/>
    <s v="C1413"/>
    <x v="1"/>
    <x v="0"/>
    <x v="1"/>
    <x v="0"/>
    <x v="0"/>
    <s v="Strong"/>
    <x v="1"/>
    <n v="70"/>
    <x v="0"/>
    <x v="1"/>
    <x v="0"/>
    <s v="Improve interview preparation and communication"/>
  </r>
  <r>
    <n v="46"/>
    <x v="1"/>
    <n v="2"/>
    <n v="1"/>
    <n v="5"/>
    <n v="2.1795983890397901"/>
    <x v="88"/>
    <n v="41"/>
    <n v="10"/>
    <n v="1"/>
    <n v="0"/>
    <s v="C1414"/>
    <x v="1"/>
    <x v="0"/>
    <x v="0"/>
    <x v="0"/>
    <x v="2"/>
    <s v="Needs Improvement"/>
    <x v="1"/>
    <n v="29"/>
    <x v="1"/>
    <x v="1"/>
    <x v="1"/>
    <s v="Work on communication and personality development"/>
  </r>
  <r>
    <n v="33"/>
    <x v="1"/>
    <n v="2"/>
    <n v="2"/>
    <n v="3"/>
    <n v="21.686644879016399"/>
    <x v="79"/>
    <n v="81"/>
    <n v="47"/>
    <n v="2"/>
    <n v="0"/>
    <s v="C1415"/>
    <x v="1"/>
    <x v="0"/>
    <x v="0"/>
    <x v="2"/>
    <x v="0"/>
    <s v="Needs Improvement"/>
    <x v="1"/>
    <n v="63"/>
    <x v="0"/>
    <x v="2"/>
    <x v="1"/>
    <s v="Work on communication and personality development"/>
  </r>
  <r>
    <n v="45"/>
    <x v="1"/>
    <n v="4"/>
    <n v="9"/>
    <n v="2"/>
    <n v="15.962420963008"/>
    <x v="44"/>
    <n v="25"/>
    <n v="4"/>
    <n v="3"/>
    <n v="1"/>
    <s v="C1416"/>
    <x v="1"/>
    <x v="1"/>
    <x v="1"/>
    <x v="1"/>
    <x v="2"/>
    <s v="Needs Improvement"/>
    <x v="0"/>
    <n v="40"/>
    <x v="1"/>
    <x v="2"/>
    <x v="1"/>
    <s v="Work on communication and personality development"/>
  </r>
  <r>
    <n v="49"/>
    <x v="1"/>
    <n v="2"/>
    <n v="7"/>
    <n v="4"/>
    <n v="38.405283394374401"/>
    <x v="98"/>
    <n v="12"/>
    <n v="68"/>
    <n v="2"/>
    <n v="1"/>
    <s v="C1417"/>
    <x v="1"/>
    <x v="0"/>
    <x v="1"/>
    <x v="0"/>
    <x v="2"/>
    <s v="Good"/>
    <x v="0"/>
    <n v="29"/>
    <x v="1"/>
    <x v="0"/>
    <x v="0"/>
    <s v="Improve interview preparation and communication"/>
  </r>
  <r>
    <n v="23"/>
    <x v="0"/>
    <n v="1"/>
    <n v="13"/>
    <n v="2"/>
    <n v="11.413883757677199"/>
    <x v="38"/>
    <n v="57"/>
    <n v="63"/>
    <n v="2"/>
    <n v="0"/>
    <s v="C1418"/>
    <x v="0"/>
    <x v="2"/>
    <x v="1"/>
    <x v="2"/>
    <x v="1"/>
    <s v="Good"/>
    <x v="1"/>
    <n v="68"/>
    <x v="0"/>
    <x v="2"/>
    <x v="2"/>
    <s v="Strengthen technical skills and practical knowledge"/>
  </r>
  <r>
    <n v="44"/>
    <x v="0"/>
    <n v="2"/>
    <n v="5"/>
    <n v="1"/>
    <n v="11.261004364703499"/>
    <x v="30"/>
    <n v="17"/>
    <n v="13"/>
    <n v="1"/>
    <n v="0"/>
    <s v="C1419"/>
    <x v="0"/>
    <x v="0"/>
    <x v="2"/>
    <x v="1"/>
    <x v="2"/>
    <s v="Needs Improvement"/>
    <x v="1"/>
    <n v="37"/>
    <x v="1"/>
    <x v="2"/>
    <x v="1"/>
    <s v="Work on communication and personality development"/>
  </r>
  <r>
    <n v="32"/>
    <x v="1"/>
    <n v="3"/>
    <n v="9"/>
    <n v="2"/>
    <n v="10.475952161868801"/>
    <x v="44"/>
    <n v="66"/>
    <n v="49"/>
    <n v="2"/>
    <n v="1"/>
    <s v="C1420"/>
    <x v="1"/>
    <x v="3"/>
    <x v="1"/>
    <x v="1"/>
    <x v="1"/>
    <s v="Needs Improvement"/>
    <x v="0"/>
    <n v="60"/>
    <x v="0"/>
    <x v="1"/>
    <x v="1"/>
    <s v="Work on communication and personality development"/>
  </r>
  <r>
    <n v="29"/>
    <x v="1"/>
    <n v="3"/>
    <n v="8"/>
    <n v="2"/>
    <n v="7.28078065781179"/>
    <x v="28"/>
    <n v="86"/>
    <n v="25"/>
    <n v="2"/>
    <n v="1"/>
    <s v="C1421"/>
    <x v="1"/>
    <x v="3"/>
    <x v="1"/>
    <x v="2"/>
    <x v="0"/>
    <s v="Needs Improvement"/>
    <x v="0"/>
    <n v="66"/>
    <x v="0"/>
    <x v="1"/>
    <x v="1"/>
    <s v="Work on communication and personality development"/>
  </r>
  <r>
    <n v="44"/>
    <x v="1"/>
    <n v="1"/>
    <n v="9"/>
    <n v="4"/>
    <n v="16.5503501835443"/>
    <x v="37"/>
    <n v="2"/>
    <n v="71"/>
    <n v="2"/>
    <n v="1"/>
    <s v="C1422"/>
    <x v="1"/>
    <x v="2"/>
    <x v="1"/>
    <x v="0"/>
    <x v="2"/>
    <s v="Good"/>
    <x v="0"/>
    <n v="31"/>
    <x v="1"/>
    <x v="0"/>
    <x v="2"/>
    <s v="Strengthen technical skills and practical knowledge"/>
  </r>
  <r>
    <n v="37"/>
    <x v="1"/>
    <n v="4"/>
    <n v="3"/>
    <n v="1"/>
    <n v="45.296105722171198"/>
    <x v="33"/>
    <n v="54"/>
    <n v="68"/>
    <n v="1"/>
    <n v="1"/>
    <s v="C1423"/>
    <x v="1"/>
    <x v="1"/>
    <x v="2"/>
    <x v="0"/>
    <x v="1"/>
    <s v="Good"/>
    <x v="0"/>
    <n v="38"/>
    <x v="1"/>
    <x v="0"/>
    <x v="0"/>
    <s v="Improve interview preparation and communication"/>
  </r>
  <r>
    <n v="27"/>
    <x v="0"/>
    <n v="2"/>
    <n v="15"/>
    <n v="2"/>
    <n v="39.746423615297701"/>
    <x v="85"/>
    <n v="88"/>
    <n v="6"/>
    <n v="2"/>
    <n v="0"/>
    <s v="C1424"/>
    <x v="0"/>
    <x v="0"/>
    <x v="1"/>
    <x v="1"/>
    <x v="0"/>
    <s v="Needs Improvement"/>
    <x v="1"/>
    <n v="66"/>
    <x v="0"/>
    <x v="1"/>
    <x v="1"/>
    <s v="Work on communication and personality development"/>
  </r>
  <r>
    <n v="27"/>
    <x v="1"/>
    <n v="1"/>
    <n v="7"/>
    <n v="5"/>
    <n v="37.762560815339597"/>
    <x v="77"/>
    <n v="90"/>
    <n v="15"/>
    <n v="1"/>
    <n v="1"/>
    <s v="C1425"/>
    <x v="1"/>
    <x v="2"/>
    <x v="1"/>
    <x v="0"/>
    <x v="0"/>
    <s v="Needs Improvement"/>
    <x v="0"/>
    <n v="52"/>
    <x v="0"/>
    <x v="1"/>
    <x v="1"/>
    <s v="Work on communication and personality development"/>
  </r>
  <r>
    <n v="26"/>
    <x v="1"/>
    <n v="1"/>
    <n v="9"/>
    <n v="3"/>
    <n v="40.866840282498103"/>
    <x v="89"/>
    <n v="57"/>
    <n v="54"/>
    <n v="2"/>
    <n v="1"/>
    <s v="C1426"/>
    <x v="1"/>
    <x v="2"/>
    <x v="1"/>
    <x v="0"/>
    <x v="1"/>
    <s v="Good"/>
    <x v="0"/>
    <n v="52"/>
    <x v="0"/>
    <x v="1"/>
    <x v="0"/>
    <s v="Improve interview preparation and communication"/>
  </r>
  <r>
    <n v="27"/>
    <x v="1"/>
    <n v="1"/>
    <n v="2"/>
    <n v="2"/>
    <n v="14.4708944664785"/>
    <x v="38"/>
    <n v="62"/>
    <n v="77"/>
    <n v="1"/>
    <n v="0"/>
    <s v="C1427"/>
    <x v="1"/>
    <x v="2"/>
    <x v="0"/>
    <x v="2"/>
    <x v="1"/>
    <s v="Strong"/>
    <x v="1"/>
    <n v="61"/>
    <x v="0"/>
    <x v="0"/>
    <x v="2"/>
    <s v="Strengthen technical skills and practical knowledge"/>
  </r>
  <r>
    <n v="33"/>
    <x v="1"/>
    <n v="3"/>
    <n v="2"/>
    <n v="1"/>
    <n v="45.372084537624303"/>
    <x v="21"/>
    <n v="90"/>
    <n v="100"/>
    <n v="3"/>
    <n v="0"/>
    <s v="C1428"/>
    <x v="1"/>
    <x v="3"/>
    <x v="0"/>
    <x v="1"/>
    <x v="0"/>
    <s v="Strong"/>
    <x v="1"/>
    <n v="70"/>
    <x v="0"/>
    <x v="0"/>
    <x v="0"/>
    <s v="Improve interview preparation and communication"/>
  </r>
  <r>
    <n v="38"/>
    <x v="0"/>
    <n v="1"/>
    <n v="7"/>
    <n v="2"/>
    <n v="7.8651687570802196"/>
    <x v="8"/>
    <n v="51"/>
    <n v="55"/>
    <n v="1"/>
    <n v="0"/>
    <s v="C1429"/>
    <x v="0"/>
    <x v="2"/>
    <x v="1"/>
    <x v="2"/>
    <x v="1"/>
    <s v="Good"/>
    <x v="1"/>
    <n v="60"/>
    <x v="0"/>
    <x v="2"/>
    <x v="2"/>
    <s v="Strengthen technical skills and practical knowledge"/>
  </r>
  <r>
    <n v="48"/>
    <x v="1"/>
    <n v="1"/>
    <n v="4"/>
    <n v="3"/>
    <n v="17.817286335778999"/>
    <x v="27"/>
    <n v="88"/>
    <n v="3"/>
    <n v="2"/>
    <n v="1"/>
    <s v="C1430"/>
    <x v="1"/>
    <x v="2"/>
    <x v="2"/>
    <x v="2"/>
    <x v="0"/>
    <s v="Needs Improvement"/>
    <x v="0"/>
    <n v="60"/>
    <x v="0"/>
    <x v="1"/>
    <x v="1"/>
    <s v="Work on communication and personality development"/>
  </r>
  <r>
    <n v="25"/>
    <x v="1"/>
    <n v="3"/>
    <n v="2"/>
    <n v="1"/>
    <n v="30.337405948367099"/>
    <x v="54"/>
    <n v="23"/>
    <n v="99"/>
    <n v="1"/>
    <n v="1"/>
    <s v="C1431"/>
    <x v="1"/>
    <x v="3"/>
    <x v="0"/>
    <x v="1"/>
    <x v="2"/>
    <s v="Strong"/>
    <x v="0"/>
    <n v="52"/>
    <x v="0"/>
    <x v="0"/>
    <x v="2"/>
    <s v="Strengthen technical skills and practical knowledge"/>
  </r>
  <r>
    <n v="20"/>
    <x v="0"/>
    <n v="2"/>
    <n v="9"/>
    <n v="4"/>
    <n v="6.1452544171000296"/>
    <x v="47"/>
    <n v="71"/>
    <n v="47"/>
    <n v="2"/>
    <n v="1"/>
    <s v="C1432"/>
    <x v="0"/>
    <x v="0"/>
    <x v="1"/>
    <x v="0"/>
    <x v="1"/>
    <s v="Needs Improvement"/>
    <x v="0"/>
    <n v="51"/>
    <x v="0"/>
    <x v="1"/>
    <x v="0"/>
    <s v="Improve interview preparation and communication"/>
  </r>
  <r>
    <n v="42"/>
    <x v="0"/>
    <n v="1"/>
    <n v="10"/>
    <n v="1"/>
    <n v="37.5065093888212"/>
    <x v="22"/>
    <n v="8"/>
    <n v="16"/>
    <n v="2"/>
    <n v="1"/>
    <s v="C1433"/>
    <x v="0"/>
    <x v="2"/>
    <x v="1"/>
    <x v="0"/>
    <x v="2"/>
    <s v="Needs Improvement"/>
    <x v="0"/>
    <n v="22"/>
    <x v="1"/>
    <x v="0"/>
    <x v="2"/>
    <s v="Strengthen technical skills and practical knowledge"/>
  </r>
  <r>
    <n v="50"/>
    <x v="0"/>
    <n v="1"/>
    <n v="15"/>
    <n v="4"/>
    <n v="20.362302410173701"/>
    <x v="40"/>
    <n v="36"/>
    <n v="35"/>
    <n v="2"/>
    <n v="0"/>
    <s v="C1434"/>
    <x v="0"/>
    <x v="2"/>
    <x v="1"/>
    <x v="0"/>
    <x v="2"/>
    <s v="Needs Improvement"/>
    <x v="1"/>
    <n v="41"/>
    <x v="1"/>
    <x v="1"/>
    <x v="0"/>
    <s v="Improve interview preparation and communication"/>
  </r>
  <r>
    <n v="34"/>
    <x v="1"/>
    <n v="1"/>
    <n v="0"/>
    <n v="1"/>
    <n v="40.220283280419999"/>
    <x v="7"/>
    <n v="93"/>
    <n v="69"/>
    <n v="1"/>
    <n v="0"/>
    <s v="C1435"/>
    <x v="1"/>
    <x v="2"/>
    <x v="0"/>
    <x v="0"/>
    <x v="0"/>
    <s v="Good"/>
    <x v="1"/>
    <n v="46"/>
    <x v="1"/>
    <x v="1"/>
    <x v="0"/>
    <s v="Improve interview preparation and communication"/>
  </r>
  <r>
    <n v="20"/>
    <x v="1"/>
    <n v="2"/>
    <n v="14"/>
    <n v="3"/>
    <n v="25.644814279230101"/>
    <x v="98"/>
    <n v="82"/>
    <n v="79"/>
    <n v="2"/>
    <n v="1"/>
    <s v="C1436"/>
    <x v="1"/>
    <x v="0"/>
    <x v="1"/>
    <x v="0"/>
    <x v="0"/>
    <s v="Strong"/>
    <x v="0"/>
    <n v="59"/>
    <x v="0"/>
    <x v="1"/>
    <x v="0"/>
    <s v="Improve interview preparation and communication"/>
  </r>
  <r>
    <n v="44"/>
    <x v="0"/>
    <n v="2"/>
    <n v="2"/>
    <n v="3"/>
    <n v="10.0437262212668"/>
    <x v="24"/>
    <n v="52"/>
    <n v="92"/>
    <n v="1"/>
    <n v="1"/>
    <s v="C1437"/>
    <x v="0"/>
    <x v="0"/>
    <x v="0"/>
    <x v="2"/>
    <x v="1"/>
    <s v="Strong"/>
    <x v="0"/>
    <n v="63"/>
    <x v="0"/>
    <x v="0"/>
    <x v="2"/>
    <s v="Strengthen technical skills and practical knowledge"/>
  </r>
  <r>
    <n v="36"/>
    <x v="0"/>
    <n v="1"/>
    <n v="11"/>
    <n v="1"/>
    <n v="37.738090567767202"/>
    <x v="95"/>
    <n v="79"/>
    <n v="99"/>
    <n v="1"/>
    <n v="1"/>
    <s v="C1438"/>
    <x v="0"/>
    <x v="2"/>
    <x v="1"/>
    <x v="1"/>
    <x v="0"/>
    <s v="Strong"/>
    <x v="0"/>
    <n v="73"/>
    <x v="0"/>
    <x v="0"/>
    <x v="0"/>
    <s v="Improve interview preparation and communication"/>
  </r>
  <r>
    <n v="20"/>
    <x v="0"/>
    <n v="1"/>
    <n v="8"/>
    <n v="2"/>
    <n v="13.607197791947099"/>
    <x v="60"/>
    <n v="23"/>
    <n v="37"/>
    <n v="2"/>
    <n v="0"/>
    <s v="C1439"/>
    <x v="0"/>
    <x v="2"/>
    <x v="1"/>
    <x v="2"/>
    <x v="2"/>
    <s v="Needs Improvement"/>
    <x v="1"/>
    <n v="50"/>
    <x v="0"/>
    <x v="2"/>
    <x v="2"/>
    <s v="Strengthen technical skills and practical knowledge"/>
  </r>
  <r>
    <n v="34"/>
    <x v="0"/>
    <n v="3"/>
    <n v="4"/>
    <n v="3"/>
    <n v="25.540515063402101"/>
    <x v="55"/>
    <n v="20"/>
    <n v="100"/>
    <n v="1"/>
    <n v="1"/>
    <s v="C1440"/>
    <x v="0"/>
    <x v="3"/>
    <x v="2"/>
    <x v="2"/>
    <x v="2"/>
    <s v="Strong"/>
    <x v="0"/>
    <n v="58"/>
    <x v="0"/>
    <x v="0"/>
    <x v="2"/>
    <s v="Strengthen technical skills and practical knowledge"/>
  </r>
  <r>
    <n v="42"/>
    <x v="0"/>
    <n v="2"/>
    <n v="11"/>
    <n v="4"/>
    <n v="4.7766634578453804"/>
    <x v="44"/>
    <n v="99"/>
    <n v="61"/>
    <n v="1"/>
    <n v="0"/>
    <s v="C1441"/>
    <x v="0"/>
    <x v="0"/>
    <x v="1"/>
    <x v="1"/>
    <x v="0"/>
    <s v="Good"/>
    <x v="1"/>
    <n v="73"/>
    <x v="0"/>
    <x v="1"/>
    <x v="0"/>
    <s v="Improve interview preparation and communication"/>
  </r>
  <r>
    <n v="21"/>
    <x v="0"/>
    <n v="2"/>
    <n v="9"/>
    <n v="4"/>
    <n v="31.893332720601801"/>
    <x v="80"/>
    <n v="39"/>
    <n v="47"/>
    <n v="3"/>
    <n v="1"/>
    <s v="C1442"/>
    <x v="0"/>
    <x v="0"/>
    <x v="1"/>
    <x v="2"/>
    <x v="2"/>
    <s v="Needs Improvement"/>
    <x v="0"/>
    <n v="58"/>
    <x v="0"/>
    <x v="2"/>
    <x v="2"/>
    <s v="Strengthen technical skills and practical knowledge"/>
  </r>
  <r>
    <n v="33"/>
    <x v="1"/>
    <n v="2"/>
    <n v="14"/>
    <n v="5"/>
    <n v="34.292888310813801"/>
    <x v="33"/>
    <n v="61"/>
    <n v="9"/>
    <n v="3"/>
    <n v="0"/>
    <s v="C1443"/>
    <x v="1"/>
    <x v="0"/>
    <x v="1"/>
    <x v="0"/>
    <x v="1"/>
    <s v="Needs Improvement"/>
    <x v="1"/>
    <n v="37"/>
    <x v="1"/>
    <x v="1"/>
    <x v="0"/>
    <s v="Improve interview preparation and communication"/>
  </r>
  <r>
    <n v="40"/>
    <x v="1"/>
    <n v="2"/>
    <n v="1"/>
    <n v="4"/>
    <n v="19.933710498639101"/>
    <x v="84"/>
    <n v="69"/>
    <n v="35"/>
    <n v="2"/>
    <n v="0"/>
    <s v="C1444"/>
    <x v="1"/>
    <x v="0"/>
    <x v="0"/>
    <x v="0"/>
    <x v="1"/>
    <s v="Needs Improvement"/>
    <x v="1"/>
    <n v="46"/>
    <x v="1"/>
    <x v="1"/>
    <x v="1"/>
    <s v="Work on communication and personality development"/>
  </r>
  <r>
    <n v="27"/>
    <x v="1"/>
    <n v="2"/>
    <n v="6"/>
    <n v="5"/>
    <n v="48.721139016053598"/>
    <x v="30"/>
    <n v="68"/>
    <n v="28"/>
    <n v="1"/>
    <n v="1"/>
    <s v="C1445"/>
    <x v="1"/>
    <x v="0"/>
    <x v="2"/>
    <x v="1"/>
    <x v="1"/>
    <s v="Needs Improvement"/>
    <x v="0"/>
    <n v="57"/>
    <x v="0"/>
    <x v="2"/>
    <x v="1"/>
    <s v="Work on communication and personality development"/>
  </r>
  <r>
    <n v="27"/>
    <x v="0"/>
    <n v="2"/>
    <n v="14"/>
    <n v="1"/>
    <n v="44.708446074103399"/>
    <x v="31"/>
    <n v="13"/>
    <n v="77"/>
    <n v="1"/>
    <n v="0"/>
    <s v="C1446"/>
    <x v="0"/>
    <x v="0"/>
    <x v="1"/>
    <x v="0"/>
    <x v="2"/>
    <s v="Strong"/>
    <x v="1"/>
    <n v="45"/>
    <x v="1"/>
    <x v="0"/>
    <x v="2"/>
    <s v="Strengthen technical skills and practical knowledge"/>
  </r>
  <r>
    <n v="38"/>
    <x v="0"/>
    <n v="2"/>
    <n v="1"/>
    <n v="1"/>
    <n v="36.397045786999698"/>
    <x v="64"/>
    <n v="41"/>
    <n v="3"/>
    <n v="2"/>
    <n v="0"/>
    <s v="C1447"/>
    <x v="0"/>
    <x v="0"/>
    <x v="0"/>
    <x v="0"/>
    <x v="2"/>
    <s v="Needs Improvement"/>
    <x v="1"/>
    <n v="26"/>
    <x v="1"/>
    <x v="1"/>
    <x v="1"/>
    <s v="Work on communication and personality development"/>
  </r>
  <r>
    <n v="26"/>
    <x v="0"/>
    <n v="4"/>
    <n v="3"/>
    <n v="1"/>
    <n v="36.682603724687098"/>
    <x v="56"/>
    <n v="49"/>
    <n v="43"/>
    <n v="1"/>
    <n v="1"/>
    <s v="C1448"/>
    <x v="0"/>
    <x v="1"/>
    <x v="2"/>
    <x v="2"/>
    <x v="2"/>
    <s v="Needs Improvement"/>
    <x v="0"/>
    <n v="54"/>
    <x v="0"/>
    <x v="2"/>
    <x v="1"/>
    <s v="Work on communication and personality development"/>
  </r>
  <r>
    <n v="38"/>
    <x v="0"/>
    <n v="1"/>
    <n v="11"/>
    <n v="2"/>
    <n v="13.620085747107501"/>
    <x v="28"/>
    <n v="60"/>
    <n v="55"/>
    <n v="3"/>
    <n v="0"/>
    <s v="C1449"/>
    <x v="0"/>
    <x v="2"/>
    <x v="1"/>
    <x v="2"/>
    <x v="1"/>
    <s v="Good"/>
    <x v="1"/>
    <n v="66"/>
    <x v="0"/>
    <x v="2"/>
    <x v="1"/>
    <s v="Work on communication and personality development"/>
  </r>
  <r>
    <n v="25"/>
    <x v="0"/>
    <n v="3"/>
    <n v="6"/>
    <n v="2"/>
    <n v="33.8407615544224"/>
    <x v="13"/>
    <n v="3"/>
    <n v="41"/>
    <n v="1"/>
    <n v="1"/>
    <s v="C1450"/>
    <x v="0"/>
    <x v="3"/>
    <x v="2"/>
    <x v="0"/>
    <x v="2"/>
    <s v="Needs Improvement"/>
    <x v="0"/>
    <n v="22"/>
    <x v="1"/>
    <x v="0"/>
    <x v="2"/>
    <s v="Strengthen technical skills and practical knowledge"/>
  </r>
  <r>
    <n v="25"/>
    <x v="0"/>
    <n v="1"/>
    <n v="3"/>
    <n v="5"/>
    <n v="10.910313261775901"/>
    <x v="64"/>
    <n v="71"/>
    <n v="99"/>
    <n v="3"/>
    <n v="0"/>
    <s v="C1451"/>
    <x v="0"/>
    <x v="2"/>
    <x v="2"/>
    <x v="0"/>
    <x v="1"/>
    <s v="Strong"/>
    <x v="1"/>
    <n v="56"/>
    <x v="0"/>
    <x v="0"/>
    <x v="0"/>
    <s v="Improve interview preparation and communication"/>
  </r>
  <r>
    <n v="22"/>
    <x v="1"/>
    <n v="3"/>
    <n v="6"/>
    <n v="4"/>
    <n v="8.2001611959911003"/>
    <x v="7"/>
    <n v="87"/>
    <n v="12"/>
    <n v="2"/>
    <n v="0"/>
    <s v="C1452"/>
    <x v="1"/>
    <x v="3"/>
    <x v="2"/>
    <x v="0"/>
    <x v="0"/>
    <s v="Needs Improvement"/>
    <x v="1"/>
    <n v="40"/>
    <x v="1"/>
    <x v="1"/>
    <x v="0"/>
    <s v="Improve interview preparation and communication"/>
  </r>
  <r>
    <n v="26"/>
    <x v="1"/>
    <n v="2"/>
    <n v="15"/>
    <n v="4"/>
    <n v="50.973394710129"/>
    <x v="31"/>
    <n v="74"/>
    <n v="45"/>
    <n v="2"/>
    <n v="0"/>
    <s v="C1453"/>
    <x v="1"/>
    <x v="0"/>
    <x v="1"/>
    <x v="0"/>
    <x v="1"/>
    <s v="Needs Improvement"/>
    <x v="1"/>
    <n v="58"/>
    <x v="0"/>
    <x v="1"/>
    <x v="0"/>
    <s v="Improve interview preparation and communication"/>
  </r>
  <r>
    <n v="38"/>
    <x v="0"/>
    <n v="3"/>
    <n v="6"/>
    <n v="1"/>
    <n v="32.118796573658699"/>
    <x v="75"/>
    <n v="16"/>
    <n v="81"/>
    <n v="1"/>
    <n v="0"/>
    <s v="C1454"/>
    <x v="0"/>
    <x v="3"/>
    <x v="2"/>
    <x v="0"/>
    <x v="2"/>
    <s v="Strong"/>
    <x v="1"/>
    <n v="45"/>
    <x v="1"/>
    <x v="0"/>
    <x v="2"/>
    <s v="Strengthen technical skills and practical knowledge"/>
  </r>
  <r>
    <n v="27"/>
    <x v="1"/>
    <n v="1"/>
    <n v="15"/>
    <n v="3"/>
    <n v="22.549393632859498"/>
    <x v="90"/>
    <n v="84"/>
    <n v="32"/>
    <n v="3"/>
    <n v="1"/>
    <s v="C1455"/>
    <x v="1"/>
    <x v="2"/>
    <x v="1"/>
    <x v="0"/>
    <x v="0"/>
    <s v="Needs Improvement"/>
    <x v="0"/>
    <n v="63"/>
    <x v="0"/>
    <x v="1"/>
    <x v="1"/>
    <s v="Work on communication and personality development"/>
  </r>
  <r>
    <n v="29"/>
    <x v="0"/>
    <n v="2"/>
    <n v="0"/>
    <n v="2"/>
    <n v="15.408226144197499"/>
    <x v="56"/>
    <n v="56"/>
    <n v="20"/>
    <n v="1"/>
    <n v="1"/>
    <s v="C1456"/>
    <x v="0"/>
    <x v="0"/>
    <x v="0"/>
    <x v="2"/>
    <x v="1"/>
    <s v="Needs Improvement"/>
    <x v="0"/>
    <n v="46"/>
    <x v="1"/>
    <x v="2"/>
    <x v="1"/>
    <s v="Work on communication and personality development"/>
  </r>
  <r>
    <n v="39"/>
    <x v="1"/>
    <n v="2"/>
    <n v="5"/>
    <n v="2"/>
    <n v="31.1960221831113"/>
    <x v="20"/>
    <n v="89"/>
    <n v="79"/>
    <n v="2"/>
    <n v="1"/>
    <s v="C1457"/>
    <x v="1"/>
    <x v="0"/>
    <x v="2"/>
    <x v="2"/>
    <x v="0"/>
    <s v="Strong"/>
    <x v="0"/>
    <n v="77"/>
    <x v="2"/>
    <x v="2"/>
    <x v="1"/>
    <s v="Work on communication and personality development"/>
  </r>
  <r>
    <n v="34"/>
    <x v="0"/>
    <n v="3"/>
    <n v="8"/>
    <n v="1"/>
    <n v="3.4796754110042998"/>
    <x v="59"/>
    <n v="47"/>
    <n v="78"/>
    <n v="3"/>
    <n v="0"/>
    <s v="C1458"/>
    <x v="0"/>
    <x v="3"/>
    <x v="1"/>
    <x v="1"/>
    <x v="2"/>
    <s v="Strong"/>
    <x v="1"/>
    <n v="57"/>
    <x v="0"/>
    <x v="0"/>
    <x v="2"/>
    <s v="Strengthen technical skills and practical knowledge"/>
  </r>
  <r>
    <n v="34"/>
    <x v="0"/>
    <n v="2"/>
    <n v="1"/>
    <n v="2"/>
    <n v="5.7340495252397501"/>
    <x v="28"/>
    <n v="43"/>
    <n v="56"/>
    <n v="1"/>
    <n v="0"/>
    <s v="C1459"/>
    <x v="0"/>
    <x v="0"/>
    <x v="0"/>
    <x v="2"/>
    <x v="2"/>
    <s v="Good"/>
    <x v="1"/>
    <n v="51"/>
    <x v="0"/>
    <x v="2"/>
    <x v="2"/>
    <s v="Strengthen technical skills and practical knowledge"/>
  </r>
  <r>
    <n v="48"/>
    <x v="1"/>
    <n v="2"/>
    <n v="13"/>
    <n v="1"/>
    <n v="2.6428348870198102"/>
    <x v="40"/>
    <n v="44"/>
    <n v="68"/>
    <n v="2"/>
    <n v="1"/>
    <s v="C1460"/>
    <x v="1"/>
    <x v="0"/>
    <x v="1"/>
    <x v="0"/>
    <x v="2"/>
    <s v="Good"/>
    <x v="0"/>
    <n v="48"/>
    <x v="1"/>
    <x v="0"/>
    <x v="0"/>
    <s v="Improve interview preparation and communication"/>
  </r>
  <r>
    <n v="20"/>
    <x v="1"/>
    <n v="2"/>
    <n v="2"/>
    <n v="5"/>
    <n v="25.958491663133"/>
    <x v="8"/>
    <n v="90"/>
    <n v="69"/>
    <n v="2"/>
    <n v="1"/>
    <s v="C1461"/>
    <x v="1"/>
    <x v="0"/>
    <x v="0"/>
    <x v="2"/>
    <x v="0"/>
    <s v="Good"/>
    <x v="0"/>
    <n v="69"/>
    <x v="0"/>
    <x v="1"/>
    <x v="1"/>
    <s v="Work on communication and personality development"/>
  </r>
  <r>
    <n v="39"/>
    <x v="0"/>
    <n v="2"/>
    <n v="9"/>
    <n v="4"/>
    <n v="31.0303314593591"/>
    <x v="72"/>
    <n v="79"/>
    <n v="66"/>
    <n v="2"/>
    <n v="1"/>
    <s v="C1462"/>
    <x v="0"/>
    <x v="0"/>
    <x v="1"/>
    <x v="2"/>
    <x v="0"/>
    <s v="Good"/>
    <x v="0"/>
    <n v="75"/>
    <x v="2"/>
    <x v="2"/>
    <x v="1"/>
    <s v="Work on communication and personality development"/>
  </r>
  <r>
    <n v="49"/>
    <x v="0"/>
    <n v="2"/>
    <n v="4"/>
    <n v="3"/>
    <n v="4.1239880678910401"/>
    <x v="49"/>
    <n v="89"/>
    <n v="47"/>
    <n v="2"/>
    <n v="1"/>
    <s v="C1463"/>
    <x v="0"/>
    <x v="0"/>
    <x v="2"/>
    <x v="0"/>
    <x v="0"/>
    <s v="Needs Improvement"/>
    <x v="0"/>
    <n v="44"/>
    <x v="1"/>
    <x v="1"/>
    <x v="0"/>
    <s v="Improve interview preparation and communication"/>
  </r>
  <r>
    <n v="26"/>
    <x v="1"/>
    <n v="1"/>
    <n v="8"/>
    <n v="4"/>
    <n v="37.061223374945797"/>
    <x v="0"/>
    <n v="32"/>
    <n v="75"/>
    <n v="2"/>
    <n v="0"/>
    <s v="C1464"/>
    <x v="1"/>
    <x v="2"/>
    <x v="1"/>
    <x v="0"/>
    <x v="2"/>
    <s v="Strong"/>
    <x v="1"/>
    <n v="50"/>
    <x v="0"/>
    <x v="0"/>
    <x v="2"/>
    <s v="Strengthen technical skills and practical knowledge"/>
  </r>
  <r>
    <n v="46"/>
    <x v="1"/>
    <n v="4"/>
    <n v="3"/>
    <n v="4"/>
    <n v="12.519753575728201"/>
    <x v="14"/>
    <n v="30"/>
    <n v="99"/>
    <n v="2"/>
    <n v="1"/>
    <s v="C1465"/>
    <x v="1"/>
    <x v="1"/>
    <x v="2"/>
    <x v="1"/>
    <x v="2"/>
    <s v="Strong"/>
    <x v="0"/>
    <n v="58"/>
    <x v="0"/>
    <x v="0"/>
    <x v="2"/>
    <s v="Strengthen technical skills and practical knowledge"/>
  </r>
  <r>
    <n v="23"/>
    <x v="0"/>
    <n v="3"/>
    <n v="0"/>
    <n v="5"/>
    <n v="35.260072688493302"/>
    <x v="84"/>
    <n v="46"/>
    <n v="32"/>
    <n v="2"/>
    <n v="0"/>
    <s v="C1466"/>
    <x v="0"/>
    <x v="3"/>
    <x v="0"/>
    <x v="0"/>
    <x v="2"/>
    <s v="Needs Improvement"/>
    <x v="1"/>
    <n v="39"/>
    <x v="1"/>
    <x v="2"/>
    <x v="1"/>
    <s v="Work on communication and personality development"/>
  </r>
  <r>
    <n v="48"/>
    <x v="1"/>
    <n v="4"/>
    <n v="3"/>
    <n v="2"/>
    <n v="50.0948570017622"/>
    <x v="8"/>
    <n v="5"/>
    <n v="35"/>
    <n v="2"/>
    <n v="1"/>
    <s v="C1467"/>
    <x v="1"/>
    <x v="1"/>
    <x v="2"/>
    <x v="2"/>
    <x v="2"/>
    <s v="Needs Improvement"/>
    <x v="0"/>
    <n v="41"/>
    <x v="1"/>
    <x v="2"/>
    <x v="2"/>
    <s v="Strengthen technical skills and practical knowledge"/>
  </r>
  <r>
    <n v="25"/>
    <x v="0"/>
    <n v="2"/>
    <n v="5"/>
    <n v="3"/>
    <n v="35.5552935026925"/>
    <x v="94"/>
    <n v="71"/>
    <n v="32"/>
    <n v="1"/>
    <n v="0"/>
    <s v="C1468"/>
    <x v="0"/>
    <x v="0"/>
    <x v="2"/>
    <x v="2"/>
    <x v="1"/>
    <s v="Needs Improvement"/>
    <x v="1"/>
    <n v="63"/>
    <x v="0"/>
    <x v="2"/>
    <x v="1"/>
    <s v="Work on communication and personality development"/>
  </r>
  <r>
    <n v="44"/>
    <x v="0"/>
    <n v="3"/>
    <n v="4"/>
    <n v="2"/>
    <n v="45.159652646180398"/>
    <x v="15"/>
    <n v="70"/>
    <n v="30"/>
    <n v="3"/>
    <n v="1"/>
    <s v="C1469"/>
    <x v="0"/>
    <x v="3"/>
    <x v="2"/>
    <x v="0"/>
    <x v="1"/>
    <s v="Needs Improvement"/>
    <x v="0"/>
    <n v="38"/>
    <x v="1"/>
    <x v="1"/>
    <x v="0"/>
    <s v="Improve interview preparation and communication"/>
  </r>
  <r>
    <n v="20"/>
    <x v="0"/>
    <n v="3"/>
    <n v="13"/>
    <n v="4"/>
    <n v="48.409925337153297"/>
    <x v="23"/>
    <n v="33"/>
    <n v="20"/>
    <n v="3"/>
    <n v="1"/>
    <s v="C1470"/>
    <x v="0"/>
    <x v="3"/>
    <x v="1"/>
    <x v="0"/>
    <x v="2"/>
    <s v="Needs Improvement"/>
    <x v="0"/>
    <n v="37"/>
    <x v="1"/>
    <x v="1"/>
    <x v="1"/>
    <s v="Work on communication and personality development"/>
  </r>
  <r>
    <n v="48"/>
    <x v="0"/>
    <n v="2"/>
    <n v="12"/>
    <n v="1"/>
    <n v="25.337552417615701"/>
    <x v="95"/>
    <n v="52"/>
    <n v="26"/>
    <n v="2"/>
    <n v="0"/>
    <s v="C1471"/>
    <x v="0"/>
    <x v="0"/>
    <x v="1"/>
    <x v="1"/>
    <x v="1"/>
    <s v="Needs Improvement"/>
    <x v="1"/>
    <n v="51"/>
    <x v="0"/>
    <x v="2"/>
    <x v="1"/>
    <s v="Work on communication and personality development"/>
  </r>
  <r>
    <n v="24"/>
    <x v="1"/>
    <n v="2"/>
    <n v="0"/>
    <n v="4"/>
    <n v="36.116248970985303"/>
    <x v="93"/>
    <n v="13"/>
    <n v="90"/>
    <n v="2"/>
    <n v="0"/>
    <s v="C1472"/>
    <x v="1"/>
    <x v="0"/>
    <x v="0"/>
    <x v="1"/>
    <x v="2"/>
    <s v="Strong"/>
    <x v="1"/>
    <n v="45"/>
    <x v="1"/>
    <x v="0"/>
    <x v="2"/>
    <s v="Strengthen technical skills and practical knowledge"/>
  </r>
  <r>
    <n v="46"/>
    <x v="1"/>
    <n v="2"/>
    <n v="3"/>
    <n v="2"/>
    <n v="43.598462677792"/>
    <x v="19"/>
    <n v="15"/>
    <n v="71"/>
    <n v="2"/>
    <n v="1"/>
    <s v="C1473"/>
    <x v="1"/>
    <x v="0"/>
    <x v="2"/>
    <x v="2"/>
    <x v="2"/>
    <s v="Good"/>
    <x v="0"/>
    <n v="54"/>
    <x v="0"/>
    <x v="2"/>
    <x v="2"/>
    <s v="Strengthen technical skills and practical knowledge"/>
  </r>
  <r>
    <n v="42"/>
    <x v="1"/>
    <n v="3"/>
    <n v="5"/>
    <n v="4"/>
    <n v="18.830445643719301"/>
    <x v="96"/>
    <n v="42"/>
    <n v="100"/>
    <n v="2"/>
    <n v="0"/>
    <s v="C1474"/>
    <x v="1"/>
    <x v="3"/>
    <x v="2"/>
    <x v="1"/>
    <x v="2"/>
    <s v="Strong"/>
    <x v="1"/>
    <n v="59"/>
    <x v="0"/>
    <x v="0"/>
    <x v="2"/>
    <s v="Strengthen technical skills and practical knowledge"/>
  </r>
  <r>
    <n v="20"/>
    <x v="1"/>
    <n v="2"/>
    <n v="12"/>
    <n v="1"/>
    <n v="14.069865828019701"/>
    <x v="1"/>
    <n v="72"/>
    <n v="61"/>
    <n v="2"/>
    <n v="1"/>
    <s v="C1475"/>
    <x v="1"/>
    <x v="0"/>
    <x v="1"/>
    <x v="0"/>
    <x v="1"/>
    <s v="Good"/>
    <x v="0"/>
    <n v="59"/>
    <x v="0"/>
    <x v="1"/>
    <x v="0"/>
    <s v="Improve interview preparation and communication"/>
  </r>
  <r>
    <n v="49"/>
    <x v="1"/>
    <n v="1"/>
    <n v="14"/>
    <n v="5"/>
    <n v="48.329928638916897"/>
    <x v="68"/>
    <n v="73"/>
    <n v="95"/>
    <n v="1"/>
    <n v="0"/>
    <s v="C1476"/>
    <x v="1"/>
    <x v="2"/>
    <x v="1"/>
    <x v="0"/>
    <x v="1"/>
    <s v="Strong"/>
    <x v="1"/>
    <n v="58"/>
    <x v="0"/>
    <x v="0"/>
    <x v="0"/>
    <s v="Improve interview preparation and communication"/>
  </r>
  <r>
    <n v="23"/>
    <x v="1"/>
    <n v="2"/>
    <n v="9"/>
    <n v="2"/>
    <n v="37.315175018440897"/>
    <x v="46"/>
    <n v="80"/>
    <n v="25"/>
    <n v="2"/>
    <n v="1"/>
    <s v="C1477"/>
    <x v="1"/>
    <x v="0"/>
    <x v="1"/>
    <x v="1"/>
    <x v="0"/>
    <s v="Needs Improvement"/>
    <x v="0"/>
    <n v="58"/>
    <x v="0"/>
    <x v="1"/>
    <x v="1"/>
    <s v="Work on communication and personality development"/>
  </r>
  <r>
    <n v="41"/>
    <x v="1"/>
    <n v="4"/>
    <n v="9"/>
    <n v="4"/>
    <n v="11.9841066687913"/>
    <x v="27"/>
    <n v="11"/>
    <n v="65"/>
    <n v="1"/>
    <n v="1"/>
    <s v="C1478"/>
    <x v="1"/>
    <x v="1"/>
    <x v="1"/>
    <x v="2"/>
    <x v="2"/>
    <s v="Good"/>
    <x v="0"/>
    <n v="56"/>
    <x v="0"/>
    <x v="2"/>
    <x v="2"/>
    <s v="Strengthen technical skills and practical knowledge"/>
  </r>
  <r>
    <n v="21"/>
    <x v="0"/>
    <n v="3"/>
    <n v="13"/>
    <n v="2"/>
    <n v="23.454169633805598"/>
    <x v="5"/>
    <n v="69"/>
    <n v="11"/>
    <n v="1"/>
    <n v="1"/>
    <s v="C1479"/>
    <x v="0"/>
    <x v="3"/>
    <x v="1"/>
    <x v="1"/>
    <x v="1"/>
    <s v="Needs Improvement"/>
    <x v="0"/>
    <n v="56"/>
    <x v="0"/>
    <x v="1"/>
    <x v="1"/>
    <s v="Work on communication and personality development"/>
  </r>
  <r>
    <n v="29"/>
    <x v="1"/>
    <n v="4"/>
    <n v="3"/>
    <n v="5"/>
    <n v="40.822588476890402"/>
    <x v="21"/>
    <n v="18"/>
    <n v="21"/>
    <n v="2"/>
    <n v="1"/>
    <s v="C1480"/>
    <x v="1"/>
    <x v="1"/>
    <x v="2"/>
    <x v="1"/>
    <x v="2"/>
    <s v="Needs Improvement"/>
    <x v="0"/>
    <n v="34"/>
    <x v="1"/>
    <x v="2"/>
    <x v="2"/>
    <s v="Strengthen technical skills and practical knowledge"/>
  </r>
  <r>
    <n v="24"/>
    <x v="1"/>
    <n v="2"/>
    <n v="14"/>
    <n v="4"/>
    <n v="28.353149545922101"/>
    <x v="58"/>
    <n v="40"/>
    <n v="16"/>
    <n v="2"/>
    <n v="1"/>
    <s v="C1481"/>
    <x v="1"/>
    <x v="0"/>
    <x v="1"/>
    <x v="0"/>
    <x v="2"/>
    <s v="Needs Improvement"/>
    <x v="0"/>
    <n v="37"/>
    <x v="1"/>
    <x v="1"/>
    <x v="0"/>
    <s v="Improve interview preparation and communication"/>
  </r>
  <r>
    <n v="46"/>
    <x v="0"/>
    <n v="2"/>
    <n v="13"/>
    <n v="4"/>
    <n v="33.497604908294399"/>
    <x v="26"/>
    <n v="52"/>
    <n v="6"/>
    <n v="2"/>
    <n v="1"/>
    <s v="C1482"/>
    <x v="0"/>
    <x v="0"/>
    <x v="1"/>
    <x v="0"/>
    <x v="1"/>
    <s v="Needs Improvement"/>
    <x v="0"/>
    <n v="44"/>
    <x v="1"/>
    <x v="1"/>
    <x v="1"/>
    <s v="Work on communication and personality development"/>
  </r>
  <r>
    <n v="29"/>
    <x v="1"/>
    <n v="1"/>
    <n v="8"/>
    <n v="2"/>
    <n v="38.688410102252597"/>
    <x v="72"/>
    <n v="28"/>
    <n v="67"/>
    <n v="2"/>
    <n v="1"/>
    <s v="C1483"/>
    <x v="1"/>
    <x v="2"/>
    <x v="1"/>
    <x v="2"/>
    <x v="2"/>
    <s v="Good"/>
    <x v="0"/>
    <n v="59"/>
    <x v="0"/>
    <x v="2"/>
    <x v="2"/>
    <s v="Strengthen technical skills and practical knowledge"/>
  </r>
  <r>
    <n v="20"/>
    <x v="1"/>
    <n v="1"/>
    <n v="4"/>
    <n v="2"/>
    <n v="32.100459440449001"/>
    <x v="18"/>
    <n v="69"/>
    <n v="36"/>
    <n v="3"/>
    <n v="1"/>
    <s v="C1484"/>
    <x v="1"/>
    <x v="2"/>
    <x v="2"/>
    <x v="1"/>
    <x v="1"/>
    <s v="Needs Improvement"/>
    <x v="0"/>
    <n v="55"/>
    <x v="0"/>
    <x v="1"/>
    <x v="1"/>
    <s v="Work on communication and personality development"/>
  </r>
  <r>
    <n v="41"/>
    <x v="0"/>
    <n v="1"/>
    <n v="7"/>
    <n v="1"/>
    <n v="28.0039660961097"/>
    <x v="5"/>
    <n v="58"/>
    <n v="37"/>
    <n v="2"/>
    <n v="0"/>
    <s v="C1485"/>
    <x v="0"/>
    <x v="2"/>
    <x v="1"/>
    <x v="1"/>
    <x v="1"/>
    <s v="Needs Improvement"/>
    <x v="1"/>
    <n v="51"/>
    <x v="0"/>
    <x v="1"/>
    <x v="1"/>
    <s v="Work on communication and personality development"/>
  </r>
  <r>
    <n v="25"/>
    <x v="1"/>
    <n v="2"/>
    <n v="8"/>
    <n v="5"/>
    <n v="38.480714219388602"/>
    <x v="99"/>
    <n v="88"/>
    <n v="95"/>
    <n v="2"/>
    <n v="0"/>
    <s v="C1486"/>
    <x v="1"/>
    <x v="0"/>
    <x v="1"/>
    <x v="0"/>
    <x v="0"/>
    <s v="Strong"/>
    <x v="1"/>
    <n v="69"/>
    <x v="0"/>
    <x v="0"/>
    <x v="0"/>
    <s v="Improve interview preparation and communication"/>
  </r>
  <r>
    <n v="32"/>
    <x v="1"/>
    <n v="1"/>
    <n v="9"/>
    <n v="1"/>
    <n v="37.37815177161"/>
    <x v="83"/>
    <n v="63"/>
    <n v="10"/>
    <n v="1"/>
    <n v="0"/>
    <s v="C1487"/>
    <x v="1"/>
    <x v="2"/>
    <x v="1"/>
    <x v="2"/>
    <x v="1"/>
    <s v="Needs Improvement"/>
    <x v="1"/>
    <n v="55"/>
    <x v="0"/>
    <x v="2"/>
    <x v="1"/>
    <s v="Work on communication and personality development"/>
  </r>
  <r>
    <n v="50"/>
    <x v="1"/>
    <n v="2"/>
    <n v="4"/>
    <n v="4"/>
    <n v="32.493620009158903"/>
    <x v="91"/>
    <n v="23"/>
    <n v="0"/>
    <n v="1"/>
    <n v="1"/>
    <s v="C1488"/>
    <x v="1"/>
    <x v="0"/>
    <x v="2"/>
    <x v="0"/>
    <x v="2"/>
    <s v="Needs Improvement"/>
    <x v="0"/>
    <n v="13"/>
    <x v="1"/>
    <x v="1"/>
    <x v="0"/>
    <s v="Improve interview preparation and communication"/>
  </r>
  <r>
    <n v="34"/>
    <x v="0"/>
    <n v="4"/>
    <n v="5"/>
    <n v="2"/>
    <n v="18.989470669096399"/>
    <x v="2"/>
    <n v="88"/>
    <n v="24"/>
    <n v="2"/>
    <n v="1"/>
    <s v="C1489"/>
    <x v="0"/>
    <x v="1"/>
    <x v="2"/>
    <x v="0"/>
    <x v="0"/>
    <s v="Needs Improvement"/>
    <x v="0"/>
    <n v="47"/>
    <x v="1"/>
    <x v="1"/>
    <x v="0"/>
    <s v="Improve interview preparation and communication"/>
  </r>
  <r>
    <n v="23"/>
    <x v="1"/>
    <n v="2"/>
    <n v="0"/>
    <n v="4"/>
    <n v="21.290604610013499"/>
    <x v="24"/>
    <n v="15"/>
    <n v="41"/>
    <n v="2"/>
    <n v="1"/>
    <s v="C1490"/>
    <x v="1"/>
    <x v="0"/>
    <x v="0"/>
    <x v="2"/>
    <x v="2"/>
    <s v="Needs Improvement"/>
    <x v="0"/>
    <n v="40"/>
    <x v="1"/>
    <x v="2"/>
    <x v="2"/>
    <s v="Strengthen technical skills and practical knowledge"/>
  </r>
  <r>
    <n v="32"/>
    <x v="1"/>
    <n v="3"/>
    <n v="10"/>
    <n v="4"/>
    <n v="49.521927444204799"/>
    <x v="2"/>
    <n v="51"/>
    <n v="51"/>
    <n v="2"/>
    <n v="0"/>
    <s v="C1491"/>
    <x v="1"/>
    <x v="3"/>
    <x v="1"/>
    <x v="0"/>
    <x v="1"/>
    <s v="Good"/>
    <x v="1"/>
    <n v="45"/>
    <x v="1"/>
    <x v="1"/>
    <x v="0"/>
    <s v="Improve interview preparation and communication"/>
  </r>
  <r>
    <n v="43"/>
    <x v="0"/>
    <n v="2"/>
    <n v="15"/>
    <n v="3"/>
    <n v="6.6192966145762897"/>
    <x v="53"/>
    <n v="79"/>
    <n v="23"/>
    <n v="2"/>
    <n v="0"/>
    <s v="C1492"/>
    <x v="0"/>
    <x v="0"/>
    <x v="1"/>
    <x v="1"/>
    <x v="0"/>
    <s v="Needs Improvement"/>
    <x v="1"/>
    <n v="61"/>
    <x v="0"/>
    <x v="1"/>
    <x v="1"/>
    <s v="Work on communication and personality development"/>
  </r>
  <r>
    <n v="39"/>
    <x v="1"/>
    <n v="2"/>
    <n v="11"/>
    <n v="3"/>
    <n v="14.425245862641701"/>
    <x v="55"/>
    <n v="5"/>
    <n v="52"/>
    <n v="2"/>
    <n v="0"/>
    <s v="C1493"/>
    <x v="1"/>
    <x v="0"/>
    <x v="1"/>
    <x v="2"/>
    <x v="2"/>
    <s v="Good"/>
    <x v="1"/>
    <n v="50"/>
    <x v="0"/>
    <x v="2"/>
    <x v="2"/>
    <s v="Strengthen technical skills and practical knowledge"/>
  </r>
  <r>
    <n v="43"/>
    <x v="0"/>
    <n v="2"/>
    <n v="14"/>
    <n v="4"/>
    <n v="25.620087960216701"/>
    <x v="77"/>
    <n v="36"/>
    <n v="55"/>
    <n v="1"/>
    <n v="0"/>
    <s v="C1494"/>
    <x v="0"/>
    <x v="0"/>
    <x v="1"/>
    <x v="0"/>
    <x v="2"/>
    <s v="Good"/>
    <x v="1"/>
    <n v="51"/>
    <x v="0"/>
    <x v="0"/>
    <x v="2"/>
    <s v="Strengthen technical skills and practical knowledge"/>
  </r>
  <r>
    <n v="34"/>
    <x v="0"/>
    <n v="1"/>
    <n v="6"/>
    <n v="2"/>
    <n v="42.836484307189203"/>
    <x v="53"/>
    <n v="84"/>
    <n v="62"/>
    <n v="1"/>
    <n v="0"/>
    <s v="C1495"/>
    <x v="0"/>
    <x v="2"/>
    <x v="2"/>
    <x v="1"/>
    <x v="0"/>
    <s v="Good"/>
    <x v="1"/>
    <n v="61"/>
    <x v="0"/>
    <x v="1"/>
    <x v="0"/>
    <s v="Improve interview preparation and communication"/>
  </r>
  <r>
    <n v="48"/>
    <x v="1"/>
    <n v="2"/>
    <n v="3"/>
    <n v="4"/>
    <n v="9.1837831864863908"/>
    <x v="54"/>
    <n v="3"/>
    <n v="80"/>
    <n v="3"/>
    <n v="1"/>
    <s v="C1496"/>
    <x v="1"/>
    <x v="0"/>
    <x v="2"/>
    <x v="1"/>
    <x v="2"/>
    <s v="Strong"/>
    <x v="0"/>
    <n v="42"/>
    <x v="1"/>
    <x v="0"/>
    <x v="2"/>
    <s v="Strengthen technical skills and practical knowledge"/>
  </r>
  <r>
    <n v="27"/>
    <x v="0"/>
    <n v="2"/>
    <n v="10"/>
    <n v="3"/>
    <n v="14.847730906230399"/>
    <x v="39"/>
    <n v="97"/>
    <n v="7"/>
    <n v="2"/>
    <n v="0"/>
    <s v="C1497"/>
    <x v="0"/>
    <x v="0"/>
    <x v="1"/>
    <x v="0"/>
    <x v="0"/>
    <s v="Needs Improvement"/>
    <x v="1"/>
    <n v="56"/>
    <x v="0"/>
    <x v="1"/>
    <x v="1"/>
    <s v="Work on communication and personality development"/>
  </r>
  <r>
    <n v="24"/>
    <x v="0"/>
    <n v="1"/>
    <n v="1"/>
    <n v="2"/>
    <n v="4.2899108897619396"/>
    <x v="97"/>
    <n v="91"/>
    <n v="58"/>
    <n v="1"/>
    <n v="1"/>
    <s v="C1498"/>
    <x v="0"/>
    <x v="2"/>
    <x v="0"/>
    <x v="0"/>
    <x v="0"/>
    <s v="Good"/>
    <x v="0"/>
    <n v="52"/>
    <x v="0"/>
    <x v="1"/>
    <x v="0"/>
    <s v="Improve interview preparation and communication"/>
  </r>
  <r>
    <n v="48"/>
    <x v="1"/>
    <n v="2"/>
    <n v="4"/>
    <n v="4"/>
    <n v="36.299263302540901"/>
    <x v="51"/>
    <n v="37"/>
    <n v="44"/>
    <n v="2"/>
    <n v="1"/>
    <s v="C1499"/>
    <x v="1"/>
    <x v="0"/>
    <x v="2"/>
    <x v="0"/>
    <x v="2"/>
    <s v="Needs Improvement"/>
    <x v="0"/>
    <n v="29"/>
    <x v="1"/>
    <x v="0"/>
    <x v="0"/>
    <s v="Improve interview preparation and communication"/>
  </r>
  <r>
    <n v="34"/>
    <x v="0"/>
    <n v="2"/>
    <n v="11"/>
    <n v="5"/>
    <n v="12.910471773780801"/>
    <x v="81"/>
    <n v="40"/>
    <n v="26"/>
    <n v="2"/>
    <n v="1"/>
    <s v="C1500"/>
    <x v="0"/>
    <x v="0"/>
    <x v="1"/>
    <x v="1"/>
    <x v="2"/>
    <s v="Needs Improvement"/>
    <x v="0"/>
    <n v="50"/>
    <x v="0"/>
    <x v="2"/>
    <x v="1"/>
    <s v="Work on communication and personality develop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6CD05-9201-4692-9835-88ED7B63ADA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items count="5">
        <item x="2"/>
        <item x="0"/>
        <item x="3"/>
        <item x="1"/>
        <item t="default"/>
      </items>
    </pivotField>
    <pivotField showAll="0">
      <items count="4">
        <item x="0"/>
        <item x="2"/>
        <item x="1"/>
        <item t="default"/>
      </items>
    </pivotField>
    <pivotField showAll="0"/>
    <pivotField showAll="0"/>
    <pivotField showAll="0"/>
    <pivotField axis="axisRow" dataField="1" showAll="0">
      <items count="3">
        <item x="0"/>
        <item x="1"/>
        <item t="default"/>
      </items>
    </pivotField>
    <pivotField showAll="0"/>
    <pivotField showAll="0">
      <items count="4">
        <item x="0"/>
        <item x="2"/>
        <item x="1"/>
        <item t="default"/>
      </items>
    </pivotField>
    <pivotField showAll="0"/>
    <pivotField showAll="0"/>
    <pivotField showAll="0"/>
  </pivotFields>
  <rowFields count="1">
    <field x="18"/>
  </rowFields>
  <rowItems count="3">
    <i>
      <x/>
    </i>
    <i>
      <x v="1"/>
    </i>
    <i t="grand">
      <x/>
    </i>
  </rowItems>
  <colItems count="1">
    <i/>
  </colItems>
  <dataFields count="1">
    <dataField name="Count of Hiring_Decision_Name" fld="18"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FA742-02BA-4020-8E6D-CC8DC4536992}"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B5" firstHeaderRow="1" firstDataRow="1" firstDataCol="1"/>
  <pivotFields count="24">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h="1" x="1"/>
        <item t="default"/>
      </items>
    </pivotField>
    <pivotField compact="0" outline="0" showAll="0">
      <items count="5">
        <item x="2"/>
        <item x="0"/>
        <item x="3"/>
        <item x="1"/>
        <item t="default"/>
      </items>
    </pivotField>
    <pivotField compact="0" outline="0" showAll="0">
      <items count="4">
        <item x="0"/>
        <item x="2"/>
        <item x="1"/>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s>
  <rowFields count="1">
    <field x="12"/>
  </rowFields>
  <rowItems count="2">
    <i>
      <x/>
    </i>
    <i t="grand">
      <x/>
    </i>
  </rowItems>
  <colItems count="1">
    <i/>
  </colItems>
  <dataFields count="1">
    <dataField name="Count of Hiring_Decision_Name" fld="18" subtotal="count" baseField="0" baseItem="0"/>
  </dataFields>
  <chartFormats count="6">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2" count="1" selected="0">
            <x v="0"/>
          </reference>
        </references>
      </pivotArea>
    </chartFormat>
    <chartFormat chart="11"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27E62E-C93E-4889-B94F-4AD2324E88E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items count="5">
        <item x="2"/>
        <item x="0"/>
        <item x="3"/>
        <item x="1"/>
        <item t="default"/>
      </items>
    </pivotField>
    <pivotField showAll="0">
      <items count="4">
        <item x="0"/>
        <item x="2"/>
        <item x="1"/>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20"/>
  </rowFields>
  <rowItems count="4">
    <i>
      <x/>
    </i>
    <i>
      <x v="1"/>
    </i>
    <i>
      <x v="2"/>
    </i>
    <i t="grand">
      <x/>
    </i>
  </rowItems>
  <colItems count="1">
    <i/>
  </colItems>
  <dataFields count="1">
    <dataField name="Count of Candidate_id" fld="1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C2415F-3327-40A2-930E-55A69955709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items count="5">
        <item x="2"/>
        <item x="0"/>
        <item x="3"/>
        <item x="1"/>
        <item t="default"/>
      </items>
    </pivotField>
    <pivotField axis="axisRow" showAll="0">
      <items count="4">
        <item x="0"/>
        <item x="2"/>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s>
  <rowFields count="1">
    <field x="14"/>
  </rowFields>
  <rowItems count="4">
    <i>
      <x/>
    </i>
    <i>
      <x v="1"/>
    </i>
    <i>
      <x v="2"/>
    </i>
    <i t="grand">
      <x/>
    </i>
  </rowItems>
  <colItems count="1">
    <i/>
  </colItems>
  <dataFields count="1">
    <dataField name="Count of Candidate_id" fld="1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1A13F7-4029-4B47-A0C0-E7A9A3AF820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axis="axisRow" showAll="0">
      <items count="5">
        <item x="2"/>
        <item x="0"/>
        <item x="3"/>
        <item x="1"/>
        <item t="default"/>
      </items>
    </pivotField>
    <pivotField showAll="0">
      <items count="4">
        <item x="0"/>
        <item x="2"/>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s>
  <rowFields count="1">
    <field x="13"/>
  </rowFields>
  <rowItems count="5">
    <i>
      <x/>
    </i>
    <i>
      <x v="1"/>
    </i>
    <i>
      <x v="2"/>
    </i>
    <i>
      <x v="3"/>
    </i>
    <i t="grand">
      <x/>
    </i>
  </rowItems>
  <colItems count="1">
    <i/>
  </colItems>
  <dataFields count="1">
    <dataField name="Count of Candidate_id" fld="1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52C540-B669-4C70-B745-3679DB1D54D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items count="5">
        <item x="2"/>
        <item x="0"/>
        <item x="3"/>
        <item x="1"/>
        <item t="default"/>
      </items>
    </pivotField>
    <pivotField showAll="0">
      <items count="4">
        <item x="0"/>
        <item x="2"/>
        <item x="1"/>
        <item t="default"/>
      </items>
    </pivotField>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showAll="0"/>
  </pivotFields>
  <rowFields count="1">
    <field x="21"/>
  </rowFields>
  <rowItems count="4">
    <i>
      <x/>
    </i>
    <i>
      <x v="1"/>
    </i>
    <i>
      <x v="2"/>
    </i>
    <i t="grand">
      <x/>
    </i>
  </rowItems>
  <colItems count="1">
    <i/>
  </colItems>
  <dataFields count="1">
    <dataField name="Count of Candidate_id" fld="1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408CCB-FFA8-4BCD-A121-91CE0DE27C6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items count="5">
        <item x="2"/>
        <item x="0"/>
        <item x="3"/>
        <item x="1"/>
        <item t="default"/>
      </items>
    </pivotField>
    <pivotField showAll="0">
      <items count="4">
        <item x="0"/>
        <item x="2"/>
        <item x="1"/>
        <item t="default"/>
      </items>
    </pivotField>
    <pivotField showAll="0"/>
    <pivotField showAll="0"/>
    <pivotField showAll="0"/>
    <pivotField showAll="0">
      <items count="3">
        <item x="0"/>
        <item x="1"/>
        <item t="default"/>
      </items>
    </pivotField>
    <pivotField showAll="0"/>
    <pivotField showAll="0">
      <items count="4">
        <item x="0"/>
        <item x="2"/>
        <item x="1"/>
        <item t="default"/>
      </items>
    </pivotField>
    <pivotField showAll="0"/>
    <pivotField axis="axisRow" showAll="0">
      <items count="4">
        <item x="0"/>
        <item x="1"/>
        <item x="2"/>
        <item t="default"/>
      </items>
    </pivotField>
    <pivotField showAll="0"/>
  </pivotFields>
  <rowFields count="1">
    <field x="22"/>
  </rowFields>
  <rowItems count="4">
    <i>
      <x/>
    </i>
    <i>
      <x v="1"/>
    </i>
    <i>
      <x v="2"/>
    </i>
    <i t="grand">
      <x/>
    </i>
  </rowItems>
  <colItems count="1">
    <i/>
  </colItems>
  <dataFields count="1">
    <dataField name="Count of Candidate_id" fld="1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55D8E8-D093-4DEF-A2F0-C7D328939E7B}"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1:D66"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2">
        <item x="91"/>
        <item x="33"/>
        <item x="68"/>
        <item x="62"/>
        <item x="61"/>
        <item x="49"/>
        <item x="7"/>
        <item x="41"/>
        <item x="98"/>
        <item x="51"/>
        <item x="13"/>
        <item x="15"/>
        <item x="22"/>
        <item x="65"/>
        <item x="34"/>
        <item x="37"/>
        <item x="58"/>
        <item x="50"/>
        <item x="40"/>
        <item x="92"/>
        <item x="2"/>
        <item x="71"/>
        <item x="23"/>
        <item x="4"/>
        <item x="6"/>
        <item x="45"/>
        <item x="73"/>
        <item x="76"/>
        <item x="35"/>
        <item x="47"/>
        <item x="31"/>
        <item x="97"/>
        <item x="64"/>
        <item x="29"/>
        <item x="16"/>
        <item x="1"/>
        <item x="3"/>
        <item x="88"/>
        <item x="26"/>
        <item x="78"/>
        <item x="42"/>
        <item x="89"/>
        <item x="77"/>
        <item x="39"/>
        <item x="99"/>
        <item x="67"/>
        <item x="90"/>
        <item x="75"/>
        <item x="0"/>
        <item x="84"/>
        <item x="86"/>
        <item x="53"/>
        <item x="59"/>
        <item x="95"/>
        <item x="5"/>
        <item x="66"/>
        <item x="21"/>
        <item x="46"/>
        <item x="96"/>
        <item x="87"/>
        <item x="44"/>
        <item x="32"/>
        <item x="17"/>
        <item x="81"/>
        <item x="48"/>
        <item x="36"/>
        <item x="54"/>
        <item x="18"/>
        <item x="93"/>
        <item x="43"/>
        <item x="11"/>
        <item x="85"/>
        <item x="14"/>
        <item x="70"/>
        <item x="30"/>
        <item x="83"/>
        <item x="38"/>
        <item x="56"/>
        <item x="69"/>
        <item x="28"/>
        <item x="8"/>
        <item x="55"/>
        <item x="24"/>
        <item x="52"/>
        <item x="79"/>
        <item x="60"/>
        <item x="80"/>
        <item x="27"/>
        <item x="63"/>
        <item x="72"/>
        <item x="57"/>
        <item x="20"/>
        <item x="9"/>
        <item x="10"/>
        <item x="94"/>
        <item x="100"/>
        <item x="12"/>
        <item x="82"/>
        <item x="74"/>
        <item x="19"/>
        <item x="25"/>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compact="0" outline="0" showAll="0">
      <items count="5">
        <item x="2"/>
        <item x="0"/>
        <item x="3"/>
        <item x="1"/>
        <item t="default"/>
      </items>
    </pivotField>
    <pivotField compact="0" outline="0" showAll="0">
      <items count="4">
        <item x="0"/>
        <item x="2"/>
        <item x="1"/>
        <item t="default"/>
      </items>
    </pivotField>
    <pivotField axis="axisRow" compact="0" outline="0" showAll="0">
      <items count="4">
        <item x="1"/>
        <item x="0"/>
        <item x="2"/>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items count="4">
        <item x="0"/>
        <item x="2"/>
        <item x="1"/>
        <item t="default"/>
      </items>
    </pivotField>
    <pivotField compact="0" outline="0" showAll="0"/>
    <pivotField compact="0" outline="0" showAll="0"/>
    <pivotField compact="0" outline="0" showAll="0"/>
  </pivotFields>
  <rowFields count="1">
    <field x="15"/>
  </rowFields>
  <rowItems count="4">
    <i>
      <x/>
    </i>
    <i>
      <x v="1"/>
    </i>
    <i>
      <x v="2"/>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A4DDC8-8814-45A6-AD75-709B57FD268D}"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3:D98" firstHeaderRow="1" firstDataRow="2" firstDataCol="1"/>
  <pivotFields count="3">
    <pivotField axis="axisRow" compact="0" allDrilled="1" outline="0" showAll="0" dataSourceSort="1" defaultAttributeDrillState="1">
      <items count="4">
        <item s="1" x="0"/>
        <item s="1" x="1"/>
        <item s="1" x="2"/>
        <item t="default"/>
      </items>
    </pivotField>
    <pivotField axis="axisCol" compact="0" allDrilled="1" outline="0" showAll="0" dataSourceSort="1" defaultAttributeDrillState="1">
      <items count="3">
        <item x="0"/>
        <item x="1"/>
        <item t="default"/>
      </items>
    </pivotField>
    <pivotField dataField="1" compact="0" outline="0"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ndidate_i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cruitment_data!$A:$X">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487320-7A91-42F9-BC82-D9F08C276EB0}"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3:C27" firstHeaderRow="0" firstDataRow="1"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compact="0" outline="0" showAll="0">
      <items count="5">
        <item x="2"/>
        <item x="0"/>
        <item x="3"/>
        <item x="1"/>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dataField="1" compact="0" outline="0" showAll="0"/>
    <pivotField axis="axisRow" compact="0" outline="0" showAll="0">
      <items count="4">
        <item x="0"/>
        <item x="2"/>
        <item x="1"/>
        <item t="default"/>
      </items>
    </pivotField>
    <pivotField compact="0" outline="0" showAll="0"/>
    <pivotField compact="0" outline="0" showAll="0"/>
    <pivotField compact="0" outline="0" showAll="0"/>
  </pivotFields>
  <rowFields count="1">
    <field x="20"/>
  </rowFields>
  <rowItems count="4">
    <i>
      <x/>
    </i>
    <i>
      <x v="1"/>
    </i>
    <i>
      <x v="2"/>
    </i>
    <i t="grand">
      <x/>
    </i>
  </rowItems>
  <colFields count="1">
    <field x="-2"/>
  </colFields>
  <colItems count="2">
    <i>
      <x/>
    </i>
    <i i="1">
      <x v="1"/>
    </i>
  </colItems>
  <dataFields count="2">
    <dataField name="Count of Candidate_id" fld="11" subtotal="count" baseField="0" baseItem="0"/>
    <dataField name="Average of Candidate_Readiness_Score" fld="19"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A36880-DF3E-42CF-9E57-EA8740BAFC94}"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8:D53"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compact="0" outline="0" showAll="0">
      <items count="5">
        <item x="2"/>
        <item x="0"/>
        <item x="3"/>
        <item x="1"/>
        <item t="default"/>
      </items>
    </pivotField>
    <pivotField axis="axisRow" compact="0" outline="0" showAll="0">
      <items count="4">
        <item x="0"/>
        <item x="2"/>
        <item x="1"/>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items count="4">
        <item x="0"/>
        <item x="2"/>
        <item x="1"/>
        <item t="default"/>
      </items>
    </pivotField>
    <pivotField compact="0" outline="0" showAll="0"/>
    <pivotField compact="0" outline="0" showAll="0"/>
    <pivotField compact="0" outline="0" showAll="0"/>
  </pivotFields>
  <rowFields count="1">
    <field x="14"/>
  </rowFields>
  <rowItems count="4">
    <i>
      <x/>
    </i>
    <i>
      <x v="1"/>
    </i>
    <i>
      <x v="2"/>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A93F15-0CEA-46BA-9BFD-79422DB700BA}"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5:D80"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compact="0" outline="0" showAll="0">
      <items count="5">
        <item x="2"/>
        <item x="0"/>
        <item x="3"/>
        <item x="1"/>
        <item t="default"/>
      </items>
    </pivotField>
    <pivotField compact="0" outline="0" showAll="0">
      <items count="4">
        <item x="0"/>
        <item x="2"/>
        <item x="1"/>
        <item t="default"/>
      </items>
    </pivotField>
    <pivotField compact="0" outline="0" showAll="0"/>
    <pivotField axis="axisRow" compact="0" outline="0" showAll="0">
      <items count="4">
        <item x="0"/>
        <item x="2"/>
        <item x="1"/>
        <item t="default"/>
      </items>
    </pivotField>
    <pivotField compact="0" outline="0" showAll="0"/>
    <pivotField axis="axisCol" compact="0" outline="0" showAll="0">
      <items count="3">
        <item x="0"/>
        <item x="1"/>
        <item t="default"/>
      </items>
    </pivotField>
    <pivotField compact="0" outline="0" showAll="0"/>
    <pivotField compact="0" outline="0" showAll="0">
      <items count="4">
        <item x="0"/>
        <item x="2"/>
        <item x="1"/>
        <item t="default"/>
      </items>
    </pivotField>
    <pivotField compact="0" outline="0" showAll="0"/>
    <pivotField compact="0" outline="0" showAll="0"/>
    <pivotField compact="0" outline="0" showAll="0"/>
  </pivotFields>
  <rowFields count="1">
    <field x="16"/>
  </rowFields>
  <rowItems count="4">
    <i>
      <x/>
    </i>
    <i>
      <x v="1"/>
    </i>
    <i>
      <x v="2"/>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593A13-4A0F-4C4E-8911-A4FF7AFB6E6E}"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1:D36"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compact="0" outline="0" showAll="0">
      <items count="5">
        <item x="2"/>
        <item x="0"/>
        <item x="3"/>
        <item x="1"/>
        <item t="default"/>
      </items>
    </pivotField>
    <pivotField compact="0" outline="0" showAll="0">
      <items count="4">
        <item x="0"/>
        <item x="2"/>
        <item x="1"/>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s>
  <rowFields count="1">
    <field x="20"/>
  </rowFields>
  <rowItems count="4">
    <i>
      <x/>
    </i>
    <i>
      <x v="1"/>
    </i>
    <i>
      <x v="2"/>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4EB764-E51E-4E41-B21D-4AB7AB402617}"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D19"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compact="0" outline="0" showAll="0">
      <items count="5">
        <item x="2"/>
        <item x="0"/>
        <item x="3"/>
        <item x="1"/>
        <item t="default"/>
      </items>
    </pivotField>
    <pivotField compact="0" outline="0" showAll="0">
      <items count="4">
        <item x="0"/>
        <item x="2"/>
        <item x="1"/>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items count="4">
        <item x="0"/>
        <item x="2"/>
        <item x="1"/>
        <item t="default"/>
      </items>
    </pivotField>
    <pivotField compact="0" outline="0" showAll="0"/>
    <pivotField axis="axisRow" compact="0" outline="0" showAll="0">
      <items count="4">
        <item x="0"/>
        <item x="1"/>
        <item x="2"/>
        <item t="default"/>
      </items>
    </pivotField>
    <pivotField compact="0" outline="0" showAll="0"/>
  </pivotFields>
  <rowFields count="1">
    <field x="22"/>
  </rowFields>
  <rowItems count="4">
    <i>
      <x/>
    </i>
    <i>
      <x v="1"/>
    </i>
    <i>
      <x v="2"/>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851939-7CD0-41EA-A077-E341C800D574}"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3:D89"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
        <item x="0"/>
        <item h="1" x="1"/>
        <item t="default"/>
      </items>
    </pivotField>
    <pivotField axis="axisRow" compact="0" outline="0" showAll="0">
      <items count="5">
        <item x="2"/>
        <item x="0"/>
        <item x="3"/>
        <item x="1"/>
        <item t="default"/>
      </items>
    </pivotField>
    <pivotField compact="0" outline="0" showAll="0">
      <items count="4">
        <item x="0"/>
        <item x="2"/>
        <item x="1"/>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items count="4">
        <item x="0"/>
        <item x="2"/>
        <item x="1"/>
        <item t="default"/>
      </items>
    </pivotField>
    <pivotField compact="0" outline="0" showAll="0"/>
    <pivotField compact="0" outline="0" showAll="0"/>
    <pivotField compact="0" outline="0" showAll="0"/>
  </pivotFields>
  <rowFields count="1">
    <field x="13"/>
  </rowFields>
  <rowItems count="5">
    <i>
      <x/>
    </i>
    <i>
      <x v="1"/>
    </i>
    <i>
      <x v="2"/>
    </i>
    <i>
      <x v="3"/>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20C7E1A-0E68-4296-B82F-6ED8806B50B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D6" firstHeaderRow="1" firstDataRow="2" firstDataCol="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h="1" x="2"/>
        <item t="default"/>
      </items>
    </pivotField>
    <pivotField compact="0" outline="0" showAll="0"/>
    <pivotField compact="0" outline="0" showAll="0"/>
    <pivotField axis="axisRow" compact="0" outline="0" showAll="0">
      <items count="5">
        <item x="2"/>
        <item x="0"/>
        <item x="1"/>
        <item h="1" x="3"/>
        <item t="default"/>
      </items>
    </pivotField>
    <pivotField compact="0" outline="0" showAll="0"/>
    <pivotField compact="0" outline="0" showAll="0"/>
  </pivotFields>
  <rowFields count="1">
    <field x="21"/>
  </rowFields>
  <rowItems count="4">
    <i>
      <x/>
    </i>
    <i>
      <x v="1"/>
    </i>
    <i>
      <x v="2"/>
    </i>
    <i t="grand">
      <x/>
    </i>
  </rowItems>
  <colFields count="1">
    <field x="18"/>
  </colFields>
  <colItems count="3">
    <i>
      <x/>
    </i>
    <i>
      <x v="1"/>
    </i>
    <i t="grand">
      <x/>
    </i>
  </colItems>
  <dataFields count="1">
    <dataField name="Count of Candidate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Decision_Name" xr10:uid="{FCFB5553-57C4-4412-9998-696BD6526F67}" sourceName="Hiring_Decision_Name">
  <pivotTables>
    <pivotTable tabId="15" name="PivotTable5"/>
  </pivotTables>
  <data>
    <tabular pivotCacheId="17990539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iness_Category" xr10:uid="{0C6AC046-6862-4ACB-8103-4301F7655618}" sourceName="Readiness_Category">
  <pivotTables>
    <pivotTable tabId="15" name="PivotTable5"/>
    <pivotTable tabId="3" name="PivotTable10"/>
    <pivotTable tabId="3" name="PivotTable11"/>
    <pivotTable tabId="3" name="PivotTable4"/>
    <pivotTable tabId="3" name="PivotTable5"/>
    <pivotTable tabId="3" name="PivotTable6"/>
    <pivotTable tabId="3" name="PivotTable7"/>
    <pivotTable tabId="3" name="PivotTable8"/>
    <pivotTable tabId="9" name="PivotTable3"/>
    <pivotTable tabId="10" name="PivotTable4"/>
    <pivotTable tabId="11" name="PivotTable1"/>
    <pivotTable tabId="12" name="PivotTable2"/>
    <pivotTable tabId="13" name="PivotTable3"/>
    <pivotTable tabId="14" name="PivotTable4"/>
  </pivotTables>
  <data>
    <tabular pivotCacheId="179905397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DD19F5A4-7CDC-4D17-B14B-CAC5BBDA8B68}" sourceName="Experience_Level">
  <pivotTables>
    <pivotTable tabId="15" name="PivotTable5"/>
    <pivotTable tabId="3" name="PivotTable10"/>
    <pivotTable tabId="3" name="PivotTable11"/>
    <pivotTable tabId="3" name="PivotTable4"/>
    <pivotTable tabId="3" name="PivotTable5"/>
    <pivotTable tabId="3" name="PivotTable6"/>
    <pivotTable tabId="3" name="PivotTable7"/>
    <pivotTable tabId="3" name="PivotTable8"/>
    <pivotTable tabId="9" name="PivotTable3"/>
    <pivotTable tabId="10" name="PivotTable4"/>
    <pivotTable tabId="11" name="PivotTable1"/>
    <pivotTable tabId="12" name="PivotTable2"/>
    <pivotTable tabId="13" name="PivotTable3"/>
    <pivotTable tabId="14" name="PivotTable4"/>
  </pivotTables>
  <data>
    <tabular pivotCacheId="179905397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Name" xr10:uid="{59D96DD4-6CA0-4799-AC1B-AB93D9FCDCD8}" sourceName="Education_Name">
  <pivotTables>
    <pivotTable tabId="15" name="PivotTable5"/>
    <pivotTable tabId="3" name="PivotTable10"/>
    <pivotTable tabId="3" name="PivotTable11"/>
    <pivotTable tabId="3" name="PivotTable4"/>
    <pivotTable tabId="3" name="PivotTable5"/>
    <pivotTable tabId="3" name="PivotTable6"/>
    <pivotTable tabId="3" name="PivotTable7"/>
    <pivotTable tabId="3" name="PivotTable8"/>
    <pivotTable tabId="9" name="PivotTable3"/>
    <pivotTable tabId="10" name="PivotTable4"/>
    <pivotTable tabId="11" name="PivotTable1"/>
    <pivotTable tabId="12" name="PivotTable2"/>
    <pivotTable tabId="13" name="PivotTable3"/>
    <pivotTable tabId="14" name="PivotTable4"/>
  </pivotTables>
  <data>
    <tabular pivotCacheId="1799053979">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Name" xr10:uid="{C99D12B7-C3B5-4815-8BC1-1E57A7E09261}" sourceName="Gender_Name">
  <pivotTables>
    <pivotTable tabId="15" name="PivotTable5"/>
    <pivotTable tabId="3" name="PivotTable10"/>
    <pivotTable tabId="3" name="PivotTable11"/>
    <pivotTable tabId="3" name="PivotTable4"/>
    <pivotTable tabId="3" name="PivotTable5"/>
    <pivotTable tabId="3" name="PivotTable6"/>
    <pivotTable tabId="3" name="PivotTable7"/>
    <pivotTable tabId="3" name="PivotTable8"/>
    <pivotTable tabId="9" name="PivotTable3"/>
    <pivotTable tabId="10" name="PivotTable4"/>
    <pivotTable tabId="11" name="PivotTable1"/>
    <pivotTable tabId="12" name="PivotTable2"/>
    <pivotTable tabId="13" name="PivotTable3"/>
    <pivotTable tabId="14" name="PivotTable4"/>
  </pivotTables>
  <data>
    <tabular pivotCacheId="179905397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ing_Decision_Name" xr10:uid="{BF19C17B-E765-4099-BB58-B07454E1BA84}" cache="Slicer_Hiring_Decision_Name" caption="Hiring_Decision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diness_Category" xr10:uid="{29DEE234-550C-4680-A01B-677EED4C0122}" cache="Slicer_Readiness_Category" caption="Readiness_Category" rowHeight="234950"/>
  <slicer name="Experience_Level" xr10:uid="{3B76F2A9-A825-40E9-B60A-F74554EA12A0}" cache="Slicer_Experience_Level" caption="Experience_Level" rowHeight="234950"/>
  <slicer name="Education_Name" xr10:uid="{E9FAD04E-45D3-4EF3-99D4-53A2105671D2}" cache="Slicer_Education_Name" caption="Education_Name" rowHeight="234950"/>
  <slicer name="Gender_Name" xr10:uid="{ED4E73FE-5335-4EF0-B5BD-7D7F845F3959}" cache="Slicer_Gender_Name" caption="Gender_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F6F6C-6FEF-424B-BE86-21FE811DA581}">
  <dimension ref="A3:B6"/>
  <sheetViews>
    <sheetView workbookViewId="0">
      <selection activeCell="B27" sqref="B27"/>
    </sheetView>
  </sheetViews>
  <sheetFormatPr defaultRowHeight="14.4" x14ac:dyDescent="0.3"/>
  <cols>
    <col min="1" max="1" width="12.5546875" bestFit="1" customWidth="1"/>
    <col min="2" max="2" width="28.109375" bestFit="1" customWidth="1"/>
  </cols>
  <sheetData>
    <row r="3" spans="1:2" x14ac:dyDescent="0.3">
      <c r="A3" s="5" t="s">
        <v>75</v>
      </c>
      <c r="B3" t="s">
        <v>76</v>
      </c>
    </row>
    <row r="4" spans="1:2" x14ac:dyDescent="0.3">
      <c r="A4" s="9" t="s">
        <v>34</v>
      </c>
      <c r="B4">
        <v>228</v>
      </c>
    </row>
    <row r="5" spans="1:2" x14ac:dyDescent="0.3">
      <c r="A5" s="9" t="s">
        <v>35</v>
      </c>
      <c r="B5">
        <v>510</v>
      </c>
    </row>
    <row r="6" spans="1:2" x14ac:dyDescent="0.3">
      <c r="A6" s="9" t="s">
        <v>51</v>
      </c>
      <c r="B6">
        <v>738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C6E9-A668-460C-9128-3B57EA11F7D1}">
  <dimension ref="A3:H11"/>
  <sheetViews>
    <sheetView topLeftCell="C1" workbookViewId="0">
      <selection activeCell="B11" sqref="B11"/>
    </sheetView>
  </sheetViews>
  <sheetFormatPr defaultRowHeight="14.4" x14ac:dyDescent="0.3"/>
  <cols>
    <col min="1" max="1" width="15.44140625" bestFit="1" customWidth="1"/>
    <col min="2" max="2" width="28.109375" bestFit="1" customWidth="1"/>
  </cols>
  <sheetData>
    <row r="3" spans="1:8" x14ac:dyDescent="0.3">
      <c r="A3" s="5" t="s">
        <v>12</v>
      </c>
      <c r="B3" t="s">
        <v>76</v>
      </c>
    </row>
    <row r="4" spans="1:8" x14ac:dyDescent="0.3">
      <c r="A4" t="s">
        <v>77</v>
      </c>
      <c r="B4">
        <v>738</v>
      </c>
    </row>
    <row r="5" spans="1:8" x14ac:dyDescent="0.3">
      <c r="A5" t="s">
        <v>51</v>
      </c>
      <c r="B5">
        <v>738</v>
      </c>
    </row>
    <row r="10" spans="1:8" x14ac:dyDescent="0.3">
      <c r="H10" t="s">
        <v>78</v>
      </c>
    </row>
    <row r="11" spans="1:8" x14ac:dyDescent="0.3">
      <c r="H11"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5B28-9665-43CF-9892-14D2B761088B}">
  <dimension ref="A3:B7"/>
  <sheetViews>
    <sheetView workbookViewId="0">
      <selection activeCell="A25" sqref="A25"/>
    </sheetView>
  </sheetViews>
  <sheetFormatPr defaultRowHeight="14.4" x14ac:dyDescent="0.3"/>
  <cols>
    <col min="1" max="1" width="17.77734375" bestFit="1" customWidth="1"/>
    <col min="2" max="2" width="20.109375" bestFit="1" customWidth="1"/>
  </cols>
  <sheetData>
    <row r="3" spans="1:2" x14ac:dyDescent="0.3">
      <c r="A3" s="5" t="s">
        <v>75</v>
      </c>
      <c r="B3" t="s">
        <v>55</v>
      </c>
    </row>
    <row r="4" spans="1:2" x14ac:dyDescent="0.3">
      <c r="A4" s="9" t="s">
        <v>49</v>
      </c>
      <c r="B4">
        <v>375</v>
      </c>
    </row>
    <row r="5" spans="1:2" x14ac:dyDescent="0.3">
      <c r="A5" s="9" t="s">
        <v>50</v>
      </c>
      <c r="B5">
        <v>34</v>
      </c>
    </row>
    <row r="6" spans="1:2" x14ac:dyDescent="0.3">
      <c r="A6" s="9" t="s">
        <v>48</v>
      </c>
      <c r="B6">
        <v>329</v>
      </c>
    </row>
    <row r="7" spans="1:2" x14ac:dyDescent="0.3">
      <c r="A7" s="9" t="s">
        <v>51</v>
      </c>
      <c r="B7">
        <v>738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7FCA-0484-457B-AD1E-097C91DD1676}">
  <dimension ref="A3:B7"/>
  <sheetViews>
    <sheetView workbookViewId="0">
      <selection activeCell="H15" sqref="H15"/>
    </sheetView>
  </sheetViews>
  <sheetFormatPr defaultRowHeight="14.4" x14ac:dyDescent="0.3"/>
  <cols>
    <col min="1" max="1" width="12.5546875" bestFit="1" customWidth="1"/>
    <col min="2" max="2" width="20.109375" bestFit="1" customWidth="1"/>
  </cols>
  <sheetData>
    <row r="3" spans="1:2" x14ac:dyDescent="0.3">
      <c r="A3" s="5" t="s">
        <v>75</v>
      </c>
      <c r="B3" t="s">
        <v>55</v>
      </c>
    </row>
    <row r="4" spans="1:2" x14ac:dyDescent="0.3">
      <c r="A4" s="9" t="s">
        <v>57</v>
      </c>
      <c r="B4">
        <v>136</v>
      </c>
    </row>
    <row r="5" spans="1:2" x14ac:dyDescent="0.3">
      <c r="A5" s="9" t="s">
        <v>61</v>
      </c>
      <c r="B5">
        <v>175</v>
      </c>
    </row>
    <row r="6" spans="1:2" x14ac:dyDescent="0.3">
      <c r="A6" s="9" t="s">
        <v>65</v>
      </c>
      <c r="B6">
        <v>427</v>
      </c>
    </row>
    <row r="7" spans="1:2" x14ac:dyDescent="0.3">
      <c r="A7" s="9" t="s">
        <v>51</v>
      </c>
      <c r="B7">
        <v>738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C70B-66A7-4763-91DA-F7B9BBA225CE}">
  <dimension ref="A3:B8"/>
  <sheetViews>
    <sheetView topLeftCell="A5" workbookViewId="0">
      <selection activeCell="H20" sqref="H20"/>
    </sheetView>
  </sheetViews>
  <sheetFormatPr defaultRowHeight="14.4" x14ac:dyDescent="0.3"/>
  <cols>
    <col min="1" max="1" width="15.33203125" bestFit="1" customWidth="1"/>
    <col min="2" max="2" width="20.109375" bestFit="1" customWidth="1"/>
  </cols>
  <sheetData>
    <row r="3" spans="1:2" x14ac:dyDescent="0.3">
      <c r="A3" s="5" t="s">
        <v>75</v>
      </c>
      <c r="B3" t="s">
        <v>55</v>
      </c>
    </row>
    <row r="4" spans="1:2" x14ac:dyDescent="0.3">
      <c r="A4" s="9" t="s">
        <v>56</v>
      </c>
      <c r="B4">
        <v>147</v>
      </c>
    </row>
    <row r="5" spans="1:2" x14ac:dyDescent="0.3">
      <c r="A5" s="9" t="s">
        <v>62</v>
      </c>
      <c r="B5">
        <v>363</v>
      </c>
    </row>
    <row r="6" spans="1:2" x14ac:dyDescent="0.3">
      <c r="A6" s="9" t="s">
        <v>66</v>
      </c>
      <c r="B6">
        <v>164</v>
      </c>
    </row>
    <row r="7" spans="1:2" x14ac:dyDescent="0.3">
      <c r="A7" s="9" t="s">
        <v>60</v>
      </c>
      <c r="B7">
        <v>64</v>
      </c>
    </row>
    <row r="8" spans="1:2" x14ac:dyDescent="0.3">
      <c r="A8" s="9" t="s">
        <v>51</v>
      </c>
      <c r="B8">
        <v>738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E9A97-6711-405F-9C87-FE4332A9DBA0}">
  <dimension ref="A3:B7"/>
  <sheetViews>
    <sheetView topLeftCell="A4" workbookViewId="0">
      <selection activeCell="A21" sqref="A21"/>
    </sheetView>
  </sheetViews>
  <sheetFormatPr defaultRowHeight="14.4" x14ac:dyDescent="0.3"/>
  <cols>
    <col min="1" max="1" width="13.109375" bestFit="1" customWidth="1"/>
    <col min="2" max="2" width="20.109375" bestFit="1" customWidth="1"/>
  </cols>
  <sheetData>
    <row r="3" spans="1:2" x14ac:dyDescent="0.3">
      <c r="A3" s="5" t="s">
        <v>75</v>
      </c>
      <c r="B3" t="s">
        <v>55</v>
      </c>
    </row>
    <row r="4" spans="1:2" x14ac:dyDescent="0.3">
      <c r="A4" s="9" t="s">
        <v>52</v>
      </c>
      <c r="B4">
        <v>253</v>
      </c>
    </row>
    <row r="5" spans="1:2" x14ac:dyDescent="0.3">
      <c r="A5" s="9" t="s">
        <v>53</v>
      </c>
      <c r="B5">
        <v>235</v>
      </c>
    </row>
    <row r="6" spans="1:2" x14ac:dyDescent="0.3">
      <c r="A6" s="9" t="s">
        <v>54</v>
      </c>
      <c r="B6">
        <v>250</v>
      </c>
    </row>
    <row r="7" spans="1:2" x14ac:dyDescent="0.3">
      <c r="A7" s="9" t="s">
        <v>51</v>
      </c>
      <c r="B7">
        <v>738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1193-FA47-42E7-B79A-675D076F0C52}">
  <dimension ref="A3:B7"/>
  <sheetViews>
    <sheetView workbookViewId="0">
      <selection activeCell="B14" sqref="B14"/>
    </sheetView>
  </sheetViews>
  <sheetFormatPr defaultRowHeight="14.4" x14ac:dyDescent="0.3"/>
  <cols>
    <col min="1" max="1" width="25.5546875" bestFit="1" customWidth="1"/>
    <col min="2" max="2" width="20.109375" bestFit="1" customWidth="1"/>
  </cols>
  <sheetData>
    <row r="3" spans="1:2" x14ac:dyDescent="0.3">
      <c r="A3" s="5" t="s">
        <v>75</v>
      </c>
      <c r="B3" t="s">
        <v>55</v>
      </c>
    </row>
    <row r="4" spans="1:2" x14ac:dyDescent="0.3">
      <c r="A4" s="9" t="s">
        <v>59</v>
      </c>
      <c r="B4">
        <v>256</v>
      </c>
    </row>
    <row r="5" spans="1:2" x14ac:dyDescent="0.3">
      <c r="A5" s="9" t="s">
        <v>64</v>
      </c>
      <c r="B5">
        <v>236</v>
      </c>
    </row>
    <row r="6" spans="1:2" x14ac:dyDescent="0.3">
      <c r="A6" s="9" t="s">
        <v>54</v>
      </c>
      <c r="B6">
        <v>246</v>
      </c>
    </row>
    <row r="7" spans="1:2" x14ac:dyDescent="0.3">
      <c r="A7" s="9" t="s">
        <v>51</v>
      </c>
      <c r="B7">
        <v>738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02D1B-0317-410B-9EB1-B7D18E9FA0BF}">
  <dimension ref="A1:X1501"/>
  <sheetViews>
    <sheetView topLeftCell="S1" zoomScaleNormal="100" workbookViewId="0">
      <selection sqref="A1:XFD1"/>
    </sheetView>
  </sheetViews>
  <sheetFormatPr defaultRowHeight="14.4" x14ac:dyDescent="0.3"/>
  <cols>
    <col min="3" max="3" width="13.44140625" bestFit="1" customWidth="1"/>
    <col min="4" max="4" width="14.44140625" bestFit="1" customWidth="1"/>
    <col min="5" max="5" width="17" bestFit="1" customWidth="1"/>
    <col min="6" max="6" width="20.109375" bestFit="1" customWidth="1"/>
    <col min="7" max="7" width="13.33203125" bestFit="1" customWidth="1"/>
    <col min="8" max="8" width="8.6640625" bestFit="1" customWidth="1"/>
    <col min="9" max="9" width="14.6640625" bestFit="1" customWidth="1"/>
    <col min="10" max="10" width="17.88671875" bestFit="1" customWidth="1"/>
    <col min="11" max="11" width="12.5546875" bestFit="1" customWidth="1"/>
    <col min="12" max="12" width="11.6640625" bestFit="1" customWidth="1"/>
    <col min="13" max="13" width="12.77734375" bestFit="1" customWidth="1"/>
    <col min="14" max="14" width="15.109375" bestFit="1" customWidth="1"/>
    <col min="15" max="15" width="15.21875" bestFit="1" customWidth="1"/>
    <col min="16" max="16" width="20.44140625" bestFit="1" customWidth="1"/>
    <col min="17" max="17" width="18.21875" bestFit="1" customWidth="1"/>
    <col min="18" max="18" width="17.77734375" bestFit="1" customWidth="1"/>
    <col min="19" max="19" width="19.6640625" bestFit="1" customWidth="1"/>
    <col min="20" max="20" width="24.21875" bestFit="1" customWidth="1"/>
    <col min="21" max="21" width="19.88671875" bestFit="1" customWidth="1"/>
    <col min="22" max="22" width="14.5546875" bestFit="1" customWidth="1"/>
    <col min="23" max="23" width="25.5546875" bestFit="1" customWidth="1"/>
    <col min="24" max="24" width="46.109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29</v>
      </c>
      <c r="U1" t="s">
        <v>30</v>
      </c>
      <c r="V1" t="s">
        <v>31</v>
      </c>
      <c r="W1" t="s">
        <v>32</v>
      </c>
      <c r="X1" t="s">
        <v>33</v>
      </c>
    </row>
    <row r="2" spans="1:24" x14ac:dyDescent="0.3">
      <c r="A2">
        <v>26</v>
      </c>
      <c r="B2">
        <v>1</v>
      </c>
      <c r="C2">
        <v>2</v>
      </c>
      <c r="D2">
        <v>0</v>
      </c>
      <c r="E2">
        <v>3</v>
      </c>
      <c r="F2">
        <v>26.783827553853602</v>
      </c>
      <c r="G2">
        <v>48</v>
      </c>
      <c r="H2">
        <v>78</v>
      </c>
      <c r="I2">
        <v>91</v>
      </c>
      <c r="J2">
        <v>1</v>
      </c>
      <c r="K2">
        <v>1</v>
      </c>
      <c r="L2" t="str">
        <f>"C"&amp;TEXT(ROW()-1,"000")</f>
        <v>C001</v>
      </c>
      <c r="M2" t="str">
        <f>IF(B2=0,"Male","Female")</f>
        <v>Female</v>
      </c>
      <c r="N2" t="str">
        <f>IF(C2=1,"Bachelor's Type 1",IF(C2=2,"Bachelor's Type 2",IF(C2=3,"Master's","PhD")))</f>
        <v>Bachelor's Type 2</v>
      </c>
      <c r="O2" t="str">
        <f>IF(D2&lt;=2,"Entry Level",IF(D2&lt;=6,"Mid Level","Senior Level"))</f>
        <v>Entry Level</v>
      </c>
      <c r="P2" t="str">
        <f>IF(G2&lt;50,"Low",IF(G2&lt;75,"Average","Strong"))</f>
        <v>Low</v>
      </c>
      <c r="Q2" t="str">
        <f>IF(H2&lt;50,"Beginner",IF(H2&lt;75,"Intermediate","Advanced"))</f>
        <v>Advanced</v>
      </c>
      <c r="R2" t="str">
        <f>IF(I2&lt;50,"Needs Improvement",IF(I2&lt;75,"Good","Strong"))</f>
        <v>Strong</v>
      </c>
      <c r="S2" t="str">
        <f>IF(K2=1,"Hired","Not Hired")</f>
        <v>Hired</v>
      </c>
      <c r="T2">
        <f>ROUND((G2*30%)+(H2*30%)+(I2*20%)+((D2/15)*100*15%)+(IF(C2&lt;=2,50,IF(C2=3,75,100))*5%),0)</f>
        <v>59</v>
      </c>
      <c r="U2" t="str">
        <f>IF(T2&lt;50,"Needs Improvement",IF(T2&lt;75,"Developing","Job Ready"))</f>
        <v>Developing</v>
      </c>
      <c r="V2" t="str">
        <f>IF(AND(G2&gt;=H2,G2&gt;=I2),"Interview",IF(H2&gt;=I2,"Technical Skills","Personality"))</f>
        <v>Personality</v>
      </c>
      <c r="W2" t="str">
        <f>IF(AND(G2&lt;=H2,G2&lt;=I2),"Interview Preparation",IF(H2&lt;=I2,"Technical Skills","Personality &amp; Communication"))</f>
        <v>Interview Preparation</v>
      </c>
      <c r="X2" t="str">
        <f>IF(W2="Interview Preparation","Improve interview preparation and communication",IF(W2="Technical Skills","Strengthen technical skills and practical knowledge","Work on communication and personality development"))</f>
        <v>Improve interview preparation and communication</v>
      </c>
    </row>
    <row r="3" spans="1:24" x14ac:dyDescent="0.3">
      <c r="A3">
        <v>39</v>
      </c>
      <c r="B3">
        <v>1</v>
      </c>
      <c r="C3">
        <v>4</v>
      </c>
      <c r="D3">
        <v>12</v>
      </c>
      <c r="E3">
        <v>3</v>
      </c>
      <c r="F3">
        <v>25.862694329543899</v>
      </c>
      <c r="G3">
        <v>35</v>
      </c>
      <c r="H3">
        <v>68</v>
      </c>
      <c r="I3">
        <v>80</v>
      </c>
      <c r="J3">
        <v>2</v>
      </c>
      <c r="K3">
        <v>1</v>
      </c>
      <c r="L3" t="str">
        <f t="shared" ref="L3:L66" si="0">"C"&amp;TEXT(ROW()-1,"000")</f>
        <v>C002</v>
      </c>
      <c r="M3" t="str">
        <f t="shared" ref="M3:M66" si="1">IF(B3=0,"Male","Female")</f>
        <v>Female</v>
      </c>
      <c r="N3" t="str">
        <f t="shared" ref="N3:N66" si="2">IF(C3=1,"Bachelor's Type 1",IF(C3=2,"Bachelor's Type 2",IF(C3=3,"Master's","PhD")))</f>
        <v>PhD</v>
      </c>
      <c r="O3" t="str">
        <f t="shared" ref="O3:O66" si="3">IF(D3&lt;=2,"Entry Level",IF(D3&lt;=6,"Mid Level","Senior Level"))</f>
        <v>Senior Level</v>
      </c>
      <c r="P3" t="str">
        <f t="shared" ref="P3:P66" si="4">IF(G3&lt;50,"Low",IF(G3&lt;75,"Average","Strong"))</f>
        <v>Low</v>
      </c>
      <c r="Q3" t="str">
        <f t="shared" ref="Q3:Q66" si="5">IF(H3&lt;50,"Beginner",IF(H3&lt;75,"Intermediate","Advanced"))</f>
        <v>Intermediate</v>
      </c>
      <c r="R3" t="str">
        <f t="shared" ref="R3:R66" si="6">IF(I3&lt;50,"Needs Improvement",IF(I3&lt;75,"Good","Strong"))</f>
        <v>Strong</v>
      </c>
      <c r="S3" t="str">
        <f t="shared" ref="S3:S66" si="7">IF(K3=1,"Hired","Not Hired")</f>
        <v>Hired</v>
      </c>
      <c r="T3">
        <f t="shared" ref="T3:T66" si="8">ROUND((G3*30%)+(H3*30%)+(I3*20%)+((D3/15)*100*15%)+(IF(C3&lt;=2,50,IF(C3=3,75,100))*5%),0)</f>
        <v>64</v>
      </c>
      <c r="U3" t="str">
        <f t="shared" ref="U3:U66" si="9">IF(T3&lt;50,"Needs Improvement",IF(T3&lt;75,"Developing","Job Ready"))</f>
        <v>Developing</v>
      </c>
      <c r="V3" t="str">
        <f t="shared" ref="V3:V66" si="10">IF(AND(G3&gt;=H3,G3&gt;=I3),"Interview",IF(H3&gt;=I3,"Technical Skills","Personality"))</f>
        <v>Personality</v>
      </c>
      <c r="W3" t="str">
        <f t="shared" ref="W3:W66" si="11">IF(AND(G3&lt;=H3,G3&lt;=I3),"Interview Preparation",IF(H3&lt;=I3,"Technical Skills","Personality &amp; Communication"))</f>
        <v>Interview Preparation</v>
      </c>
      <c r="X3" t="str">
        <f t="shared" ref="X3:X66" si="12">IF(W3="Interview Preparation","Improve interview preparation and communication",IF(W3="Technical Skills","Strengthen technical skills and practical knowledge","Work on communication and personality development"))</f>
        <v>Improve interview preparation and communication</v>
      </c>
    </row>
    <row r="4" spans="1:24" x14ac:dyDescent="0.3">
      <c r="A4">
        <v>48</v>
      </c>
      <c r="B4">
        <v>0</v>
      </c>
      <c r="C4">
        <v>2</v>
      </c>
      <c r="D4">
        <v>3</v>
      </c>
      <c r="E4">
        <v>2</v>
      </c>
      <c r="F4">
        <v>9.9208048281747807</v>
      </c>
      <c r="G4">
        <v>20</v>
      </c>
      <c r="H4">
        <v>67</v>
      </c>
      <c r="I4">
        <v>13</v>
      </c>
      <c r="J4">
        <v>2</v>
      </c>
      <c r="K4">
        <v>0</v>
      </c>
      <c r="L4" t="str">
        <f t="shared" si="0"/>
        <v>C003</v>
      </c>
      <c r="M4" t="str">
        <f t="shared" si="1"/>
        <v>Male</v>
      </c>
      <c r="N4" t="str">
        <f t="shared" si="2"/>
        <v>Bachelor's Type 2</v>
      </c>
      <c r="O4" t="str">
        <f t="shared" si="3"/>
        <v>Mid Level</v>
      </c>
      <c r="P4" t="str">
        <f t="shared" si="4"/>
        <v>Low</v>
      </c>
      <c r="Q4" t="str">
        <f t="shared" si="5"/>
        <v>Intermediate</v>
      </c>
      <c r="R4" t="str">
        <f t="shared" si="6"/>
        <v>Needs Improvement</v>
      </c>
      <c r="S4" t="str">
        <f t="shared" si="7"/>
        <v>Not Hired</v>
      </c>
      <c r="T4">
        <f t="shared" si="8"/>
        <v>34</v>
      </c>
      <c r="U4" t="str">
        <f t="shared" si="9"/>
        <v>Needs Improvement</v>
      </c>
      <c r="V4" t="str">
        <f t="shared" si="10"/>
        <v>Technical Skills</v>
      </c>
      <c r="W4" t="str">
        <f t="shared" si="11"/>
        <v>Personality &amp; Communication</v>
      </c>
      <c r="X4" t="str">
        <f t="shared" si="12"/>
        <v>Work on communication and personality development</v>
      </c>
    </row>
    <row r="5" spans="1:24" x14ac:dyDescent="0.3">
      <c r="A5">
        <v>34</v>
      </c>
      <c r="B5">
        <v>1</v>
      </c>
      <c r="C5">
        <v>2</v>
      </c>
      <c r="D5">
        <v>5</v>
      </c>
      <c r="E5">
        <v>2</v>
      </c>
      <c r="F5">
        <v>6.4077507286678301</v>
      </c>
      <c r="G5">
        <v>36</v>
      </c>
      <c r="H5">
        <v>27</v>
      </c>
      <c r="I5">
        <v>70</v>
      </c>
      <c r="J5">
        <v>3</v>
      </c>
      <c r="K5">
        <v>0</v>
      </c>
      <c r="L5" t="str">
        <f t="shared" si="0"/>
        <v>C004</v>
      </c>
      <c r="M5" t="str">
        <f t="shared" si="1"/>
        <v>Female</v>
      </c>
      <c r="N5" t="str">
        <f t="shared" si="2"/>
        <v>Bachelor's Type 2</v>
      </c>
      <c r="O5" t="str">
        <f t="shared" si="3"/>
        <v>Mid Level</v>
      </c>
      <c r="P5" t="str">
        <f>IF(G5&lt;50,"Low",IF(G5&lt;75,"Average","Strong"))</f>
        <v>Low</v>
      </c>
      <c r="Q5" t="str">
        <f t="shared" si="5"/>
        <v>Beginner</v>
      </c>
      <c r="R5" t="str">
        <f t="shared" si="6"/>
        <v>Good</v>
      </c>
      <c r="S5" t="str">
        <f t="shared" si="7"/>
        <v>Not Hired</v>
      </c>
      <c r="T5">
        <f t="shared" si="8"/>
        <v>40</v>
      </c>
      <c r="U5" t="str">
        <f t="shared" si="9"/>
        <v>Needs Improvement</v>
      </c>
      <c r="V5" t="str">
        <f t="shared" si="10"/>
        <v>Personality</v>
      </c>
      <c r="W5" t="str">
        <f t="shared" si="11"/>
        <v>Technical Skills</v>
      </c>
      <c r="X5" t="str">
        <f t="shared" si="12"/>
        <v>Strengthen technical skills and practical knowledge</v>
      </c>
    </row>
    <row r="6" spans="1:24" x14ac:dyDescent="0.3">
      <c r="A6">
        <v>30</v>
      </c>
      <c r="B6">
        <v>0</v>
      </c>
      <c r="C6">
        <v>1</v>
      </c>
      <c r="D6">
        <v>6</v>
      </c>
      <c r="E6">
        <v>1</v>
      </c>
      <c r="F6">
        <v>43.105343124175498</v>
      </c>
      <c r="G6">
        <v>23</v>
      </c>
      <c r="H6">
        <v>52</v>
      </c>
      <c r="I6">
        <v>85</v>
      </c>
      <c r="J6">
        <v>2</v>
      </c>
      <c r="K6">
        <v>0</v>
      </c>
      <c r="L6" t="str">
        <f t="shared" si="0"/>
        <v>C005</v>
      </c>
      <c r="M6" t="str">
        <f t="shared" si="1"/>
        <v>Male</v>
      </c>
      <c r="N6" t="str">
        <f t="shared" si="2"/>
        <v>Bachelor's Type 1</v>
      </c>
      <c r="O6" t="str">
        <f t="shared" si="3"/>
        <v>Mid Level</v>
      </c>
      <c r="P6" t="str">
        <f t="shared" si="4"/>
        <v>Low</v>
      </c>
      <c r="Q6" t="str">
        <f t="shared" si="5"/>
        <v>Intermediate</v>
      </c>
      <c r="R6" t="str">
        <f t="shared" si="6"/>
        <v>Strong</v>
      </c>
      <c r="S6" t="str">
        <f t="shared" si="7"/>
        <v>Not Hired</v>
      </c>
      <c r="T6">
        <f t="shared" si="8"/>
        <v>48</v>
      </c>
      <c r="U6" t="str">
        <f t="shared" si="9"/>
        <v>Needs Improvement</v>
      </c>
      <c r="V6" t="str">
        <f t="shared" si="10"/>
        <v>Personality</v>
      </c>
      <c r="W6" t="str">
        <f t="shared" si="11"/>
        <v>Interview Preparation</v>
      </c>
      <c r="X6" t="str">
        <f t="shared" si="12"/>
        <v>Improve interview preparation and communication</v>
      </c>
    </row>
    <row r="7" spans="1:24" x14ac:dyDescent="0.3">
      <c r="A7">
        <v>27</v>
      </c>
      <c r="B7">
        <v>0</v>
      </c>
      <c r="C7">
        <v>3</v>
      </c>
      <c r="D7">
        <v>14</v>
      </c>
      <c r="E7">
        <v>4</v>
      </c>
      <c r="F7">
        <v>31.706658809375899</v>
      </c>
      <c r="G7">
        <v>54</v>
      </c>
      <c r="H7">
        <v>50</v>
      </c>
      <c r="I7">
        <v>50</v>
      </c>
      <c r="J7">
        <v>1</v>
      </c>
      <c r="K7">
        <v>1</v>
      </c>
      <c r="L7" t="str">
        <f t="shared" si="0"/>
        <v>C006</v>
      </c>
      <c r="M7" t="str">
        <f t="shared" si="1"/>
        <v>Male</v>
      </c>
      <c r="N7" t="str">
        <f t="shared" si="2"/>
        <v>Master's</v>
      </c>
      <c r="O7" t="str">
        <f t="shared" si="3"/>
        <v>Senior Level</v>
      </c>
      <c r="P7" t="str">
        <f t="shared" si="4"/>
        <v>Average</v>
      </c>
      <c r="Q7" t="str">
        <f t="shared" si="5"/>
        <v>Intermediate</v>
      </c>
      <c r="R7" t="str">
        <f t="shared" si="6"/>
        <v>Good</v>
      </c>
      <c r="S7" t="str">
        <f t="shared" si="7"/>
        <v>Hired</v>
      </c>
      <c r="T7">
        <f t="shared" si="8"/>
        <v>59</v>
      </c>
      <c r="U7" t="str">
        <f t="shared" si="9"/>
        <v>Developing</v>
      </c>
      <c r="V7" t="str">
        <f t="shared" si="10"/>
        <v>Interview</v>
      </c>
      <c r="W7" t="str">
        <f t="shared" si="11"/>
        <v>Technical Skills</v>
      </c>
      <c r="X7" t="str">
        <f t="shared" si="12"/>
        <v>Strengthen technical skills and practical knowledge</v>
      </c>
    </row>
    <row r="8" spans="1:24" x14ac:dyDescent="0.3">
      <c r="A8">
        <v>48</v>
      </c>
      <c r="B8">
        <v>0</v>
      </c>
      <c r="C8">
        <v>2</v>
      </c>
      <c r="D8">
        <v>6</v>
      </c>
      <c r="E8">
        <v>1</v>
      </c>
      <c r="F8">
        <v>17.291229200972399</v>
      </c>
      <c r="G8">
        <v>24</v>
      </c>
      <c r="H8">
        <v>52</v>
      </c>
      <c r="I8">
        <v>64</v>
      </c>
      <c r="J8">
        <v>3</v>
      </c>
      <c r="K8">
        <v>0</v>
      </c>
      <c r="L8" t="str">
        <f t="shared" si="0"/>
        <v>C007</v>
      </c>
      <c r="M8" t="str">
        <f t="shared" si="1"/>
        <v>Male</v>
      </c>
      <c r="N8" t="str">
        <f t="shared" si="2"/>
        <v>Bachelor's Type 2</v>
      </c>
      <c r="O8" t="str">
        <f t="shared" si="3"/>
        <v>Mid Level</v>
      </c>
      <c r="P8" t="str">
        <f t="shared" si="4"/>
        <v>Low</v>
      </c>
      <c r="Q8" t="str">
        <f t="shared" si="5"/>
        <v>Intermediate</v>
      </c>
      <c r="R8" t="str">
        <f t="shared" si="6"/>
        <v>Good</v>
      </c>
      <c r="S8" t="str">
        <f t="shared" si="7"/>
        <v>Not Hired</v>
      </c>
      <c r="T8">
        <f t="shared" si="8"/>
        <v>44</v>
      </c>
      <c r="U8" t="str">
        <f t="shared" si="9"/>
        <v>Needs Improvement</v>
      </c>
      <c r="V8" t="str">
        <f t="shared" si="10"/>
        <v>Personality</v>
      </c>
      <c r="W8" t="str">
        <f t="shared" si="11"/>
        <v>Interview Preparation</v>
      </c>
      <c r="X8" t="str">
        <f t="shared" si="12"/>
        <v>Improve interview preparation and communication</v>
      </c>
    </row>
    <row r="9" spans="1:24" x14ac:dyDescent="0.3">
      <c r="A9">
        <v>40</v>
      </c>
      <c r="B9">
        <v>0</v>
      </c>
      <c r="C9">
        <v>4</v>
      </c>
      <c r="D9">
        <v>13</v>
      </c>
      <c r="E9">
        <v>3</v>
      </c>
      <c r="F9">
        <v>10.5868108695133</v>
      </c>
      <c r="G9">
        <v>6</v>
      </c>
      <c r="H9">
        <v>3</v>
      </c>
      <c r="I9">
        <v>92</v>
      </c>
      <c r="J9">
        <v>3</v>
      </c>
      <c r="K9">
        <v>0</v>
      </c>
      <c r="L9" t="str">
        <f t="shared" si="0"/>
        <v>C008</v>
      </c>
      <c r="M9" t="str">
        <f t="shared" si="1"/>
        <v>Male</v>
      </c>
      <c r="N9" t="str">
        <f t="shared" si="2"/>
        <v>PhD</v>
      </c>
      <c r="O9" t="str">
        <f t="shared" si="3"/>
        <v>Senior Level</v>
      </c>
      <c r="P9" t="str">
        <f t="shared" si="4"/>
        <v>Low</v>
      </c>
      <c r="Q9" t="str">
        <f t="shared" si="5"/>
        <v>Beginner</v>
      </c>
      <c r="R9" t="str">
        <f t="shared" si="6"/>
        <v>Strong</v>
      </c>
      <c r="S9" t="str">
        <f t="shared" si="7"/>
        <v>Not Hired</v>
      </c>
      <c r="T9">
        <f t="shared" si="8"/>
        <v>39</v>
      </c>
      <c r="U9" t="str">
        <f t="shared" si="9"/>
        <v>Needs Improvement</v>
      </c>
      <c r="V9" t="str">
        <f t="shared" si="10"/>
        <v>Personality</v>
      </c>
      <c r="W9" t="str">
        <f t="shared" si="11"/>
        <v>Technical Skills</v>
      </c>
      <c r="X9" t="str">
        <f t="shared" si="12"/>
        <v>Strengthen technical skills and practical knowledge</v>
      </c>
    </row>
    <row r="10" spans="1:24" x14ac:dyDescent="0.3">
      <c r="A10">
        <v>26</v>
      </c>
      <c r="B10">
        <v>1</v>
      </c>
      <c r="C10">
        <v>3</v>
      </c>
      <c r="D10">
        <v>6</v>
      </c>
      <c r="E10">
        <v>5</v>
      </c>
      <c r="F10">
        <v>28.774864008481501</v>
      </c>
      <c r="G10">
        <v>80</v>
      </c>
      <c r="H10">
        <v>78</v>
      </c>
      <c r="I10">
        <v>51</v>
      </c>
      <c r="J10">
        <v>1</v>
      </c>
      <c r="K10">
        <v>1</v>
      </c>
      <c r="L10" t="str">
        <f t="shared" si="0"/>
        <v>C009</v>
      </c>
      <c r="M10" t="str">
        <f t="shared" si="1"/>
        <v>Female</v>
      </c>
      <c r="N10" t="str">
        <f t="shared" si="2"/>
        <v>Master's</v>
      </c>
      <c r="O10" t="str">
        <f t="shared" si="3"/>
        <v>Mid Level</v>
      </c>
      <c r="P10" t="str">
        <f t="shared" si="4"/>
        <v>Strong</v>
      </c>
      <c r="Q10" t="str">
        <f t="shared" si="5"/>
        <v>Advanced</v>
      </c>
      <c r="R10" t="str">
        <f t="shared" si="6"/>
        <v>Good</v>
      </c>
      <c r="S10" t="str">
        <f t="shared" si="7"/>
        <v>Hired</v>
      </c>
      <c r="T10">
        <f t="shared" si="8"/>
        <v>67</v>
      </c>
      <c r="U10" t="str">
        <f t="shared" si="9"/>
        <v>Developing</v>
      </c>
      <c r="V10" t="str">
        <f t="shared" si="10"/>
        <v>Interview</v>
      </c>
      <c r="W10" t="str">
        <f t="shared" si="11"/>
        <v>Personality &amp; Communication</v>
      </c>
      <c r="X10" t="str">
        <f t="shared" si="12"/>
        <v>Work on communication and personality development</v>
      </c>
    </row>
    <row r="11" spans="1:24" x14ac:dyDescent="0.3">
      <c r="A11">
        <v>45</v>
      </c>
      <c r="B11">
        <v>1</v>
      </c>
      <c r="C11">
        <v>2</v>
      </c>
      <c r="D11">
        <v>2</v>
      </c>
      <c r="E11">
        <v>5</v>
      </c>
      <c r="F11">
        <v>30.195964463056701</v>
      </c>
      <c r="G11">
        <v>92</v>
      </c>
      <c r="H11">
        <v>16</v>
      </c>
      <c r="I11">
        <v>94</v>
      </c>
      <c r="J11">
        <v>3</v>
      </c>
      <c r="K11">
        <v>0</v>
      </c>
      <c r="L11" t="str">
        <f t="shared" si="0"/>
        <v>C010</v>
      </c>
      <c r="M11" t="str">
        <f t="shared" si="1"/>
        <v>Female</v>
      </c>
      <c r="N11" t="str">
        <f t="shared" si="2"/>
        <v>Bachelor's Type 2</v>
      </c>
      <c r="O11" t="str">
        <f t="shared" si="3"/>
        <v>Entry Level</v>
      </c>
      <c r="P11" t="str">
        <f t="shared" si="4"/>
        <v>Strong</v>
      </c>
      <c r="Q11" t="str">
        <f t="shared" si="5"/>
        <v>Beginner</v>
      </c>
      <c r="R11" t="str">
        <f t="shared" si="6"/>
        <v>Strong</v>
      </c>
      <c r="S11" t="str">
        <f t="shared" si="7"/>
        <v>Not Hired</v>
      </c>
      <c r="T11">
        <f t="shared" si="8"/>
        <v>56</v>
      </c>
      <c r="U11" t="str">
        <f t="shared" si="9"/>
        <v>Developing</v>
      </c>
      <c r="V11" t="str">
        <f t="shared" si="10"/>
        <v>Personality</v>
      </c>
      <c r="W11" t="str">
        <f t="shared" si="11"/>
        <v>Technical Skills</v>
      </c>
      <c r="X11" t="str">
        <f t="shared" si="12"/>
        <v>Strengthen technical skills and practical knowledge</v>
      </c>
    </row>
    <row r="12" spans="1:24" x14ac:dyDescent="0.3">
      <c r="A12">
        <v>38</v>
      </c>
      <c r="B12">
        <v>1</v>
      </c>
      <c r="C12">
        <v>1</v>
      </c>
      <c r="D12">
        <v>15</v>
      </c>
      <c r="E12">
        <v>2</v>
      </c>
      <c r="F12">
        <v>11.349680062252901</v>
      </c>
      <c r="G12">
        <v>93</v>
      </c>
      <c r="H12">
        <v>66</v>
      </c>
      <c r="I12">
        <v>29</v>
      </c>
      <c r="J12">
        <v>2</v>
      </c>
      <c r="K12">
        <v>0</v>
      </c>
      <c r="L12" t="str">
        <f t="shared" si="0"/>
        <v>C011</v>
      </c>
      <c r="M12" t="str">
        <f t="shared" si="1"/>
        <v>Female</v>
      </c>
      <c r="N12" t="str">
        <f t="shared" si="2"/>
        <v>Bachelor's Type 1</v>
      </c>
      <c r="O12" t="str">
        <f t="shared" si="3"/>
        <v>Senior Level</v>
      </c>
      <c r="P12" t="str">
        <f t="shared" si="4"/>
        <v>Strong</v>
      </c>
      <c r="Q12" t="str">
        <f t="shared" si="5"/>
        <v>Intermediate</v>
      </c>
      <c r="R12" t="str">
        <f t="shared" si="6"/>
        <v>Needs Improvement</v>
      </c>
      <c r="S12" t="str">
        <f t="shared" si="7"/>
        <v>Not Hired</v>
      </c>
      <c r="T12">
        <f t="shared" si="8"/>
        <v>71</v>
      </c>
      <c r="U12" t="str">
        <f t="shared" si="9"/>
        <v>Developing</v>
      </c>
      <c r="V12" t="str">
        <f t="shared" si="10"/>
        <v>Interview</v>
      </c>
      <c r="W12" t="str">
        <f t="shared" si="11"/>
        <v>Personality &amp; Communication</v>
      </c>
      <c r="X12" t="str">
        <f t="shared" si="12"/>
        <v>Work on communication and personality development</v>
      </c>
    </row>
    <row r="13" spans="1:24" x14ac:dyDescent="0.3">
      <c r="A13">
        <v>42</v>
      </c>
      <c r="B13">
        <v>0</v>
      </c>
      <c r="C13">
        <v>3</v>
      </c>
      <c r="D13">
        <v>5</v>
      </c>
      <c r="E13">
        <v>5</v>
      </c>
      <c r="F13">
        <v>43.570287394573697</v>
      </c>
      <c r="G13">
        <v>70</v>
      </c>
      <c r="H13">
        <v>73</v>
      </c>
      <c r="I13">
        <v>56</v>
      </c>
      <c r="J13">
        <v>2</v>
      </c>
      <c r="K13">
        <v>0</v>
      </c>
      <c r="L13" t="str">
        <f t="shared" si="0"/>
        <v>C012</v>
      </c>
      <c r="M13" t="str">
        <f t="shared" si="1"/>
        <v>Male</v>
      </c>
      <c r="N13" t="str">
        <f t="shared" si="2"/>
        <v>Master's</v>
      </c>
      <c r="O13" t="str">
        <f t="shared" si="3"/>
        <v>Mid Level</v>
      </c>
      <c r="P13" t="str">
        <f t="shared" si="4"/>
        <v>Average</v>
      </c>
      <c r="Q13" t="str">
        <f t="shared" si="5"/>
        <v>Intermediate</v>
      </c>
      <c r="R13" t="str">
        <f t="shared" si="6"/>
        <v>Good</v>
      </c>
      <c r="S13" t="str">
        <f t="shared" si="7"/>
        <v>Not Hired</v>
      </c>
      <c r="T13">
        <f t="shared" si="8"/>
        <v>63</v>
      </c>
      <c r="U13" t="str">
        <f t="shared" si="9"/>
        <v>Developing</v>
      </c>
      <c r="V13" t="str">
        <f t="shared" si="10"/>
        <v>Technical Skills</v>
      </c>
      <c r="W13" t="str">
        <f t="shared" si="11"/>
        <v>Personality &amp; Communication</v>
      </c>
      <c r="X13" t="str">
        <f t="shared" si="12"/>
        <v>Work on communication and personality development</v>
      </c>
    </row>
    <row r="14" spans="1:24" x14ac:dyDescent="0.3">
      <c r="A14">
        <v>30</v>
      </c>
      <c r="B14">
        <v>0</v>
      </c>
      <c r="C14">
        <v>3</v>
      </c>
      <c r="D14">
        <v>12</v>
      </c>
      <c r="E14">
        <v>5</v>
      </c>
      <c r="F14">
        <v>5.21321830779255</v>
      </c>
      <c r="G14">
        <v>96</v>
      </c>
      <c r="H14">
        <v>46</v>
      </c>
      <c r="I14">
        <v>78</v>
      </c>
      <c r="J14">
        <v>3</v>
      </c>
      <c r="K14">
        <v>1</v>
      </c>
      <c r="L14" t="str">
        <f t="shared" si="0"/>
        <v>C013</v>
      </c>
      <c r="M14" t="str">
        <f t="shared" si="1"/>
        <v>Male</v>
      </c>
      <c r="N14" t="str">
        <f t="shared" si="2"/>
        <v>Master's</v>
      </c>
      <c r="O14" t="str">
        <f t="shared" si="3"/>
        <v>Senior Level</v>
      </c>
      <c r="P14" t="str">
        <f t="shared" si="4"/>
        <v>Strong</v>
      </c>
      <c r="Q14" t="str">
        <f t="shared" si="5"/>
        <v>Beginner</v>
      </c>
      <c r="R14" t="str">
        <f t="shared" si="6"/>
        <v>Strong</v>
      </c>
      <c r="S14" t="str">
        <f t="shared" si="7"/>
        <v>Hired</v>
      </c>
      <c r="T14">
        <f t="shared" si="8"/>
        <v>74</v>
      </c>
      <c r="U14" t="str">
        <f t="shared" si="9"/>
        <v>Developing</v>
      </c>
      <c r="V14" t="str">
        <f t="shared" si="10"/>
        <v>Interview</v>
      </c>
      <c r="W14" t="str">
        <f t="shared" si="11"/>
        <v>Technical Skills</v>
      </c>
      <c r="X14" t="str">
        <f t="shared" si="12"/>
        <v>Strengthen technical skills and practical knowledge</v>
      </c>
    </row>
    <row r="15" spans="1:24" x14ac:dyDescent="0.3">
      <c r="A15">
        <v>30</v>
      </c>
      <c r="B15">
        <v>0</v>
      </c>
      <c r="C15">
        <v>1</v>
      </c>
      <c r="D15">
        <v>7</v>
      </c>
      <c r="E15">
        <v>5</v>
      </c>
      <c r="F15">
        <v>18.804654258321001</v>
      </c>
      <c r="G15">
        <v>70</v>
      </c>
      <c r="H15">
        <v>55</v>
      </c>
      <c r="I15">
        <v>81</v>
      </c>
      <c r="J15">
        <v>2</v>
      </c>
      <c r="K15">
        <v>0</v>
      </c>
      <c r="L15" t="str">
        <f t="shared" si="0"/>
        <v>C014</v>
      </c>
      <c r="M15" t="str">
        <f t="shared" si="1"/>
        <v>Male</v>
      </c>
      <c r="N15" t="str">
        <f t="shared" si="2"/>
        <v>Bachelor's Type 1</v>
      </c>
      <c r="O15" t="str">
        <f t="shared" si="3"/>
        <v>Senior Level</v>
      </c>
      <c r="P15" t="str">
        <f t="shared" si="4"/>
        <v>Average</v>
      </c>
      <c r="Q15" t="str">
        <f t="shared" si="5"/>
        <v>Intermediate</v>
      </c>
      <c r="R15" t="str">
        <f t="shared" si="6"/>
        <v>Strong</v>
      </c>
      <c r="S15" t="str">
        <f t="shared" si="7"/>
        <v>Not Hired</v>
      </c>
      <c r="T15">
        <f t="shared" si="8"/>
        <v>63</v>
      </c>
      <c r="U15" t="str">
        <f t="shared" si="9"/>
        <v>Developing</v>
      </c>
      <c r="V15" t="str">
        <f t="shared" si="10"/>
        <v>Personality</v>
      </c>
      <c r="W15" t="str">
        <f t="shared" si="11"/>
        <v>Technical Skills</v>
      </c>
      <c r="X15" t="str">
        <f t="shared" si="12"/>
        <v>Strengthen technical skills and practical knowledge</v>
      </c>
    </row>
    <row r="16" spans="1:24" x14ac:dyDescent="0.3">
      <c r="A16">
        <v>43</v>
      </c>
      <c r="B16">
        <v>1</v>
      </c>
      <c r="C16">
        <v>2</v>
      </c>
      <c r="D16">
        <v>3</v>
      </c>
      <c r="E16">
        <v>3</v>
      </c>
      <c r="F16">
        <v>35.019220688126097</v>
      </c>
      <c r="G16">
        <v>23</v>
      </c>
      <c r="H16">
        <v>22</v>
      </c>
      <c r="I16">
        <v>98</v>
      </c>
      <c r="J16">
        <v>1</v>
      </c>
      <c r="K16">
        <v>0</v>
      </c>
      <c r="L16" t="str">
        <f t="shared" si="0"/>
        <v>C015</v>
      </c>
      <c r="M16" t="str">
        <f t="shared" si="1"/>
        <v>Female</v>
      </c>
      <c r="N16" t="str">
        <f t="shared" si="2"/>
        <v>Bachelor's Type 2</v>
      </c>
      <c r="O16" t="str">
        <f t="shared" si="3"/>
        <v>Mid Level</v>
      </c>
      <c r="P16" t="str">
        <f t="shared" si="4"/>
        <v>Low</v>
      </c>
      <c r="Q16" t="str">
        <f t="shared" si="5"/>
        <v>Beginner</v>
      </c>
      <c r="R16" t="str">
        <f t="shared" si="6"/>
        <v>Strong</v>
      </c>
      <c r="S16" t="str">
        <f t="shared" si="7"/>
        <v>Not Hired</v>
      </c>
      <c r="T16">
        <f t="shared" si="8"/>
        <v>39</v>
      </c>
      <c r="U16" t="str">
        <f t="shared" si="9"/>
        <v>Needs Improvement</v>
      </c>
      <c r="V16" t="str">
        <f t="shared" si="10"/>
        <v>Personality</v>
      </c>
      <c r="W16" t="str">
        <f t="shared" si="11"/>
        <v>Technical Skills</v>
      </c>
      <c r="X16" t="str">
        <f t="shared" si="12"/>
        <v>Strengthen technical skills and practical knowledge</v>
      </c>
    </row>
    <row r="17" spans="1:24" x14ac:dyDescent="0.3">
      <c r="A17">
        <v>40</v>
      </c>
      <c r="B17">
        <v>0</v>
      </c>
      <c r="C17">
        <v>3</v>
      </c>
      <c r="D17">
        <v>12</v>
      </c>
      <c r="E17">
        <v>5</v>
      </c>
      <c r="F17">
        <v>14.70601819096</v>
      </c>
      <c r="G17">
        <v>10</v>
      </c>
      <c r="H17">
        <v>17</v>
      </c>
      <c r="I17">
        <v>29</v>
      </c>
      <c r="J17">
        <v>2</v>
      </c>
      <c r="K17">
        <v>0</v>
      </c>
      <c r="L17" t="str">
        <f t="shared" si="0"/>
        <v>C016</v>
      </c>
      <c r="M17" t="str">
        <f t="shared" si="1"/>
        <v>Male</v>
      </c>
      <c r="N17" t="str">
        <f t="shared" si="2"/>
        <v>Master's</v>
      </c>
      <c r="O17" t="str">
        <f t="shared" si="3"/>
        <v>Senior Level</v>
      </c>
      <c r="P17" t="str">
        <f t="shared" si="4"/>
        <v>Low</v>
      </c>
      <c r="Q17" t="str">
        <f t="shared" si="5"/>
        <v>Beginner</v>
      </c>
      <c r="R17" t="str">
        <f t="shared" si="6"/>
        <v>Needs Improvement</v>
      </c>
      <c r="S17" t="str">
        <f t="shared" si="7"/>
        <v>Not Hired</v>
      </c>
      <c r="T17">
        <f t="shared" si="8"/>
        <v>30</v>
      </c>
      <c r="U17" t="str">
        <f t="shared" si="9"/>
        <v>Needs Improvement</v>
      </c>
      <c r="V17" t="str">
        <f t="shared" si="10"/>
        <v>Personality</v>
      </c>
      <c r="W17" t="str">
        <f t="shared" si="11"/>
        <v>Interview Preparation</v>
      </c>
      <c r="X17" t="str">
        <f t="shared" si="12"/>
        <v>Improve interview preparation and communication</v>
      </c>
    </row>
    <row r="18" spans="1:24" x14ac:dyDescent="0.3">
      <c r="A18">
        <v>23</v>
      </c>
      <c r="B18">
        <v>1</v>
      </c>
      <c r="C18">
        <v>1</v>
      </c>
      <c r="D18">
        <v>7</v>
      </c>
      <c r="E18">
        <v>5</v>
      </c>
      <c r="F18">
        <v>42.3837597390635</v>
      </c>
      <c r="G18">
        <v>72</v>
      </c>
      <c r="H18">
        <v>0</v>
      </c>
      <c r="I18">
        <v>97</v>
      </c>
      <c r="J18">
        <v>2</v>
      </c>
      <c r="K18">
        <v>0</v>
      </c>
      <c r="L18" t="str">
        <f t="shared" si="0"/>
        <v>C017</v>
      </c>
      <c r="M18" t="str">
        <f t="shared" si="1"/>
        <v>Female</v>
      </c>
      <c r="N18" t="str">
        <f t="shared" si="2"/>
        <v>Bachelor's Type 1</v>
      </c>
      <c r="O18" t="str">
        <f t="shared" si="3"/>
        <v>Senior Level</v>
      </c>
      <c r="P18" t="str">
        <f t="shared" si="4"/>
        <v>Average</v>
      </c>
      <c r="Q18" t="str">
        <f t="shared" si="5"/>
        <v>Beginner</v>
      </c>
      <c r="R18" t="str">
        <f t="shared" si="6"/>
        <v>Strong</v>
      </c>
      <c r="S18" t="str">
        <f t="shared" si="7"/>
        <v>Not Hired</v>
      </c>
      <c r="T18">
        <f t="shared" si="8"/>
        <v>51</v>
      </c>
      <c r="U18" t="str">
        <f t="shared" si="9"/>
        <v>Developing</v>
      </c>
      <c r="V18" t="str">
        <f t="shared" si="10"/>
        <v>Personality</v>
      </c>
      <c r="W18" t="str">
        <f t="shared" si="11"/>
        <v>Technical Skills</v>
      </c>
      <c r="X18" t="str">
        <f t="shared" si="12"/>
        <v>Strengthen technical skills and practical knowledge</v>
      </c>
    </row>
    <row r="19" spans="1:24" x14ac:dyDescent="0.3">
      <c r="A19">
        <v>27</v>
      </c>
      <c r="B19">
        <v>1</v>
      </c>
      <c r="C19">
        <v>4</v>
      </c>
      <c r="D19">
        <v>1</v>
      </c>
      <c r="E19">
        <v>5</v>
      </c>
      <c r="F19">
        <v>37.993391330020103</v>
      </c>
      <c r="G19">
        <v>11</v>
      </c>
      <c r="H19">
        <v>34</v>
      </c>
      <c r="I19">
        <v>41</v>
      </c>
      <c r="J19">
        <v>1</v>
      </c>
      <c r="K19">
        <v>0</v>
      </c>
      <c r="L19" t="str">
        <f t="shared" si="0"/>
        <v>C018</v>
      </c>
      <c r="M19" t="str">
        <f t="shared" si="1"/>
        <v>Female</v>
      </c>
      <c r="N19" t="str">
        <f t="shared" si="2"/>
        <v>PhD</v>
      </c>
      <c r="O19" t="str">
        <f t="shared" si="3"/>
        <v>Entry Level</v>
      </c>
      <c r="P19" t="str">
        <f t="shared" si="4"/>
        <v>Low</v>
      </c>
      <c r="Q19" t="str">
        <f t="shared" si="5"/>
        <v>Beginner</v>
      </c>
      <c r="R19" t="str">
        <f t="shared" si="6"/>
        <v>Needs Improvement</v>
      </c>
      <c r="S19" t="str">
        <f t="shared" si="7"/>
        <v>Not Hired</v>
      </c>
      <c r="T19">
        <f t="shared" si="8"/>
        <v>28</v>
      </c>
      <c r="U19" t="str">
        <f t="shared" si="9"/>
        <v>Needs Improvement</v>
      </c>
      <c r="V19" t="str">
        <f t="shared" si="10"/>
        <v>Personality</v>
      </c>
      <c r="W19" t="str">
        <f t="shared" si="11"/>
        <v>Interview Preparation</v>
      </c>
      <c r="X19" t="str">
        <f t="shared" si="12"/>
        <v>Improve interview preparation and communication</v>
      </c>
    </row>
    <row r="20" spans="1:24" x14ac:dyDescent="0.3">
      <c r="A20">
        <v>43</v>
      </c>
      <c r="B20">
        <v>1</v>
      </c>
      <c r="C20">
        <v>2</v>
      </c>
      <c r="D20">
        <v>14</v>
      </c>
      <c r="E20">
        <v>1</v>
      </c>
      <c r="F20">
        <v>40.451142227406699</v>
      </c>
      <c r="G20">
        <v>34</v>
      </c>
      <c r="H20">
        <v>63</v>
      </c>
      <c r="I20">
        <v>10</v>
      </c>
      <c r="J20">
        <v>2</v>
      </c>
      <c r="K20">
        <v>0</v>
      </c>
      <c r="L20" t="str">
        <f t="shared" si="0"/>
        <v>C019</v>
      </c>
      <c r="M20" t="str">
        <f t="shared" si="1"/>
        <v>Female</v>
      </c>
      <c r="N20" t="str">
        <f t="shared" si="2"/>
        <v>Bachelor's Type 2</v>
      </c>
      <c r="O20" t="str">
        <f t="shared" si="3"/>
        <v>Senior Level</v>
      </c>
      <c r="P20" t="str">
        <f t="shared" si="4"/>
        <v>Low</v>
      </c>
      <c r="Q20" t="str">
        <f t="shared" si="5"/>
        <v>Intermediate</v>
      </c>
      <c r="R20" t="str">
        <f t="shared" si="6"/>
        <v>Needs Improvement</v>
      </c>
      <c r="S20" t="str">
        <f t="shared" si="7"/>
        <v>Not Hired</v>
      </c>
      <c r="T20">
        <f t="shared" si="8"/>
        <v>48</v>
      </c>
      <c r="U20" t="str">
        <f t="shared" si="9"/>
        <v>Needs Improvement</v>
      </c>
      <c r="V20" t="str">
        <f t="shared" si="10"/>
        <v>Technical Skills</v>
      </c>
      <c r="W20" t="str">
        <f t="shared" si="11"/>
        <v>Personality &amp; Communication</v>
      </c>
      <c r="X20" t="str">
        <f t="shared" si="12"/>
        <v>Work on communication and personality development</v>
      </c>
    </row>
    <row r="21" spans="1:24" x14ac:dyDescent="0.3">
      <c r="A21">
        <v>22</v>
      </c>
      <c r="B21">
        <v>1</v>
      </c>
      <c r="C21">
        <v>1</v>
      </c>
      <c r="D21">
        <v>9</v>
      </c>
      <c r="E21">
        <v>3</v>
      </c>
      <c r="F21">
        <v>6.9553267938358099</v>
      </c>
      <c r="G21">
        <v>62</v>
      </c>
      <c r="H21">
        <v>57</v>
      </c>
      <c r="I21">
        <v>26</v>
      </c>
      <c r="J21">
        <v>2</v>
      </c>
      <c r="K21">
        <v>0</v>
      </c>
      <c r="L21" t="str">
        <f t="shared" si="0"/>
        <v>C020</v>
      </c>
      <c r="M21" t="str">
        <f t="shared" si="1"/>
        <v>Female</v>
      </c>
      <c r="N21" t="str">
        <f t="shared" si="2"/>
        <v>Bachelor's Type 1</v>
      </c>
      <c r="O21" t="str">
        <f t="shared" si="3"/>
        <v>Senior Level</v>
      </c>
      <c r="P21" t="str">
        <f t="shared" si="4"/>
        <v>Average</v>
      </c>
      <c r="Q21" t="str">
        <f t="shared" si="5"/>
        <v>Intermediate</v>
      </c>
      <c r="R21" t="str">
        <f t="shared" si="6"/>
        <v>Needs Improvement</v>
      </c>
      <c r="S21" t="str">
        <f t="shared" si="7"/>
        <v>Not Hired</v>
      </c>
      <c r="T21">
        <f t="shared" si="8"/>
        <v>52</v>
      </c>
      <c r="U21" t="str">
        <f t="shared" si="9"/>
        <v>Developing</v>
      </c>
      <c r="V21" t="str">
        <f t="shared" si="10"/>
        <v>Interview</v>
      </c>
      <c r="W21" t="str">
        <f t="shared" si="11"/>
        <v>Personality &amp; Communication</v>
      </c>
      <c r="X21" t="str">
        <f t="shared" si="12"/>
        <v>Work on communication and personality development</v>
      </c>
    </row>
    <row r="22" spans="1:24" x14ac:dyDescent="0.3">
      <c r="A22">
        <v>41</v>
      </c>
      <c r="B22">
        <v>1</v>
      </c>
      <c r="C22">
        <v>3</v>
      </c>
      <c r="D22">
        <v>8</v>
      </c>
      <c r="E22">
        <v>2</v>
      </c>
      <c r="F22">
        <v>8.0273563997771404</v>
      </c>
      <c r="G22">
        <v>67</v>
      </c>
      <c r="H22">
        <v>94</v>
      </c>
      <c r="I22">
        <v>23</v>
      </c>
      <c r="J22">
        <v>2</v>
      </c>
      <c r="K22">
        <v>0</v>
      </c>
      <c r="L22" t="str">
        <f t="shared" si="0"/>
        <v>C021</v>
      </c>
      <c r="M22" t="str">
        <f t="shared" si="1"/>
        <v>Female</v>
      </c>
      <c r="N22" t="str">
        <f t="shared" si="2"/>
        <v>Master's</v>
      </c>
      <c r="O22" t="str">
        <f t="shared" si="3"/>
        <v>Senior Level</v>
      </c>
      <c r="P22" t="str">
        <f t="shared" si="4"/>
        <v>Average</v>
      </c>
      <c r="Q22" t="str">
        <f t="shared" si="5"/>
        <v>Advanced</v>
      </c>
      <c r="R22" t="str">
        <f t="shared" si="6"/>
        <v>Needs Improvement</v>
      </c>
      <c r="S22" t="str">
        <f t="shared" si="7"/>
        <v>Not Hired</v>
      </c>
      <c r="T22">
        <f t="shared" si="8"/>
        <v>65</v>
      </c>
      <c r="U22" t="str">
        <f t="shared" si="9"/>
        <v>Developing</v>
      </c>
      <c r="V22" t="str">
        <f t="shared" si="10"/>
        <v>Technical Skills</v>
      </c>
      <c r="W22" t="str">
        <f t="shared" si="11"/>
        <v>Personality &amp; Communication</v>
      </c>
      <c r="X22" t="str">
        <f t="shared" si="12"/>
        <v>Work on communication and personality development</v>
      </c>
    </row>
    <row r="23" spans="1:24" x14ac:dyDescent="0.3">
      <c r="A23">
        <v>40</v>
      </c>
      <c r="B23">
        <v>1</v>
      </c>
      <c r="C23">
        <v>2</v>
      </c>
      <c r="D23">
        <v>8</v>
      </c>
      <c r="E23">
        <v>1</v>
      </c>
      <c r="F23">
        <v>15.323686887229099</v>
      </c>
      <c r="G23">
        <v>99</v>
      </c>
      <c r="H23">
        <v>58</v>
      </c>
      <c r="I23">
        <v>98</v>
      </c>
      <c r="J23">
        <v>2</v>
      </c>
      <c r="K23">
        <v>1</v>
      </c>
      <c r="L23" t="str">
        <f t="shared" si="0"/>
        <v>C022</v>
      </c>
      <c r="M23" t="str">
        <f t="shared" si="1"/>
        <v>Female</v>
      </c>
      <c r="N23" t="str">
        <f t="shared" si="2"/>
        <v>Bachelor's Type 2</v>
      </c>
      <c r="O23" t="str">
        <f t="shared" si="3"/>
        <v>Senior Level</v>
      </c>
      <c r="P23" t="str">
        <f t="shared" si="4"/>
        <v>Strong</v>
      </c>
      <c r="Q23" t="str">
        <f t="shared" si="5"/>
        <v>Intermediate</v>
      </c>
      <c r="R23" t="str">
        <f t="shared" si="6"/>
        <v>Strong</v>
      </c>
      <c r="S23" t="str">
        <f t="shared" si="7"/>
        <v>Hired</v>
      </c>
      <c r="T23">
        <f t="shared" si="8"/>
        <v>77</v>
      </c>
      <c r="U23" t="str">
        <f t="shared" si="9"/>
        <v>Job Ready</v>
      </c>
      <c r="V23" t="str">
        <f t="shared" si="10"/>
        <v>Interview</v>
      </c>
      <c r="W23" t="str">
        <f t="shared" si="11"/>
        <v>Technical Skills</v>
      </c>
      <c r="X23" t="str">
        <f t="shared" si="12"/>
        <v>Strengthen technical skills and practical knowledge</v>
      </c>
    </row>
    <row r="24" spans="1:24" x14ac:dyDescent="0.3">
      <c r="A24">
        <v>21</v>
      </c>
      <c r="B24">
        <v>0</v>
      </c>
      <c r="C24">
        <v>2</v>
      </c>
      <c r="D24">
        <v>7</v>
      </c>
      <c r="E24">
        <v>4</v>
      </c>
      <c r="F24">
        <v>26.903858259878</v>
      </c>
      <c r="G24">
        <v>91</v>
      </c>
      <c r="H24">
        <v>0</v>
      </c>
      <c r="I24">
        <v>38</v>
      </c>
      <c r="J24">
        <v>3</v>
      </c>
      <c r="K24">
        <v>0</v>
      </c>
      <c r="L24" t="str">
        <f t="shared" si="0"/>
        <v>C023</v>
      </c>
      <c r="M24" t="str">
        <f t="shared" si="1"/>
        <v>Male</v>
      </c>
      <c r="N24" t="str">
        <f t="shared" si="2"/>
        <v>Bachelor's Type 2</v>
      </c>
      <c r="O24" t="str">
        <f t="shared" si="3"/>
        <v>Senior Level</v>
      </c>
      <c r="P24" t="str">
        <f t="shared" si="4"/>
        <v>Strong</v>
      </c>
      <c r="Q24" t="str">
        <f t="shared" si="5"/>
        <v>Beginner</v>
      </c>
      <c r="R24" t="str">
        <f t="shared" si="6"/>
        <v>Needs Improvement</v>
      </c>
      <c r="S24" t="str">
        <f t="shared" si="7"/>
        <v>Not Hired</v>
      </c>
      <c r="T24">
        <f t="shared" si="8"/>
        <v>44</v>
      </c>
      <c r="U24" t="str">
        <f t="shared" si="9"/>
        <v>Needs Improvement</v>
      </c>
      <c r="V24" t="str">
        <f t="shared" si="10"/>
        <v>Interview</v>
      </c>
      <c r="W24" t="str">
        <f t="shared" si="11"/>
        <v>Technical Skills</v>
      </c>
      <c r="X24" t="str">
        <f t="shared" si="12"/>
        <v>Strengthen technical skills and practical knowledge</v>
      </c>
    </row>
    <row r="25" spans="1:24" x14ac:dyDescent="0.3">
      <c r="A25">
        <v>43</v>
      </c>
      <c r="B25">
        <v>0</v>
      </c>
      <c r="C25">
        <v>1</v>
      </c>
      <c r="D25">
        <v>9</v>
      </c>
      <c r="E25">
        <v>3</v>
      </c>
      <c r="F25">
        <v>38.400803834970098</v>
      </c>
      <c r="G25">
        <v>56</v>
      </c>
      <c r="H25">
        <v>2</v>
      </c>
      <c r="I25">
        <v>71</v>
      </c>
      <c r="J25">
        <v>2</v>
      </c>
      <c r="K25">
        <v>0</v>
      </c>
      <c r="L25" t="str">
        <f t="shared" si="0"/>
        <v>C024</v>
      </c>
      <c r="M25" t="str">
        <f t="shared" si="1"/>
        <v>Male</v>
      </c>
      <c r="N25" t="str">
        <f t="shared" si="2"/>
        <v>Bachelor's Type 1</v>
      </c>
      <c r="O25" t="str">
        <f t="shared" si="3"/>
        <v>Senior Level</v>
      </c>
      <c r="P25" t="str">
        <f t="shared" si="4"/>
        <v>Average</v>
      </c>
      <c r="Q25" t="str">
        <f t="shared" si="5"/>
        <v>Beginner</v>
      </c>
      <c r="R25" t="str">
        <f t="shared" si="6"/>
        <v>Good</v>
      </c>
      <c r="S25" t="str">
        <f t="shared" si="7"/>
        <v>Not Hired</v>
      </c>
      <c r="T25">
        <f t="shared" si="8"/>
        <v>43</v>
      </c>
      <c r="U25" t="str">
        <f t="shared" si="9"/>
        <v>Needs Improvement</v>
      </c>
      <c r="V25" t="str">
        <f t="shared" si="10"/>
        <v>Personality</v>
      </c>
      <c r="W25" t="str">
        <f t="shared" si="11"/>
        <v>Technical Skills</v>
      </c>
      <c r="X25" t="str">
        <f t="shared" si="12"/>
        <v>Strengthen technical skills and practical knowledge</v>
      </c>
    </row>
    <row r="26" spans="1:24" x14ac:dyDescent="0.3">
      <c r="A26">
        <v>31</v>
      </c>
      <c r="B26">
        <v>1</v>
      </c>
      <c r="C26">
        <v>1</v>
      </c>
      <c r="D26">
        <v>13</v>
      </c>
      <c r="E26">
        <v>3</v>
      </c>
      <c r="F26">
        <v>42.826544538045098</v>
      </c>
      <c r="G26">
        <v>12</v>
      </c>
      <c r="H26">
        <v>66</v>
      </c>
      <c r="I26">
        <v>17</v>
      </c>
      <c r="J26">
        <v>2</v>
      </c>
      <c r="K26">
        <v>0</v>
      </c>
      <c r="L26" t="str">
        <f t="shared" si="0"/>
        <v>C025</v>
      </c>
      <c r="M26" t="str">
        <f t="shared" si="1"/>
        <v>Female</v>
      </c>
      <c r="N26" t="str">
        <f t="shared" si="2"/>
        <v>Bachelor's Type 1</v>
      </c>
      <c r="O26" t="str">
        <f t="shared" si="3"/>
        <v>Senior Level</v>
      </c>
      <c r="P26" t="str">
        <f t="shared" si="4"/>
        <v>Low</v>
      </c>
      <c r="Q26" t="str">
        <f t="shared" si="5"/>
        <v>Intermediate</v>
      </c>
      <c r="R26" t="str">
        <f t="shared" si="6"/>
        <v>Needs Improvement</v>
      </c>
      <c r="S26" t="str">
        <f t="shared" si="7"/>
        <v>Not Hired</v>
      </c>
      <c r="T26">
        <f t="shared" si="8"/>
        <v>42</v>
      </c>
      <c r="U26" t="str">
        <f t="shared" si="9"/>
        <v>Needs Improvement</v>
      </c>
      <c r="V26" t="str">
        <f t="shared" si="10"/>
        <v>Technical Skills</v>
      </c>
      <c r="W26" t="str">
        <f t="shared" si="11"/>
        <v>Interview Preparation</v>
      </c>
      <c r="X26" t="str">
        <f t="shared" si="12"/>
        <v>Improve interview preparation and communication</v>
      </c>
    </row>
    <row r="27" spans="1:24" x14ac:dyDescent="0.3">
      <c r="A27">
        <v>49</v>
      </c>
      <c r="B27">
        <v>1</v>
      </c>
      <c r="C27">
        <v>2</v>
      </c>
      <c r="D27">
        <v>12</v>
      </c>
      <c r="E27">
        <v>4</v>
      </c>
      <c r="F27">
        <v>36.216765797858997</v>
      </c>
      <c r="G27">
        <v>22</v>
      </c>
      <c r="H27">
        <v>36</v>
      </c>
      <c r="I27">
        <v>76</v>
      </c>
      <c r="J27">
        <v>1</v>
      </c>
      <c r="K27">
        <v>1</v>
      </c>
      <c r="L27" t="str">
        <f t="shared" si="0"/>
        <v>C026</v>
      </c>
      <c r="M27" t="str">
        <f t="shared" si="1"/>
        <v>Female</v>
      </c>
      <c r="N27" t="str">
        <f t="shared" si="2"/>
        <v>Bachelor's Type 2</v>
      </c>
      <c r="O27" t="str">
        <f t="shared" si="3"/>
        <v>Senior Level</v>
      </c>
      <c r="P27" t="str">
        <f t="shared" si="4"/>
        <v>Low</v>
      </c>
      <c r="Q27" t="str">
        <f t="shared" si="5"/>
        <v>Beginner</v>
      </c>
      <c r="R27" t="str">
        <f t="shared" si="6"/>
        <v>Strong</v>
      </c>
      <c r="S27" t="str">
        <f t="shared" si="7"/>
        <v>Hired</v>
      </c>
      <c r="T27">
        <f t="shared" si="8"/>
        <v>47</v>
      </c>
      <c r="U27" t="str">
        <f t="shared" si="9"/>
        <v>Needs Improvement</v>
      </c>
      <c r="V27" t="str">
        <f t="shared" si="10"/>
        <v>Personality</v>
      </c>
      <c r="W27" t="str">
        <f t="shared" si="11"/>
        <v>Interview Preparation</v>
      </c>
      <c r="X27" t="str">
        <f t="shared" si="12"/>
        <v>Improve interview preparation and communication</v>
      </c>
    </row>
    <row r="28" spans="1:24" x14ac:dyDescent="0.3">
      <c r="A28">
        <v>25</v>
      </c>
      <c r="B28">
        <v>0</v>
      </c>
      <c r="C28">
        <v>2</v>
      </c>
      <c r="D28">
        <v>9</v>
      </c>
      <c r="E28">
        <v>4</v>
      </c>
      <c r="F28">
        <v>47.4298440765319</v>
      </c>
      <c r="G28">
        <v>82</v>
      </c>
      <c r="H28">
        <v>82</v>
      </c>
      <c r="I28">
        <v>44</v>
      </c>
      <c r="J28">
        <v>2</v>
      </c>
      <c r="K28">
        <v>0</v>
      </c>
      <c r="L28" t="str">
        <f t="shared" si="0"/>
        <v>C027</v>
      </c>
      <c r="M28" t="str">
        <f t="shared" si="1"/>
        <v>Male</v>
      </c>
      <c r="N28" t="str">
        <f t="shared" si="2"/>
        <v>Bachelor's Type 2</v>
      </c>
      <c r="O28" t="str">
        <f t="shared" si="3"/>
        <v>Senior Level</v>
      </c>
      <c r="P28" t="str">
        <f t="shared" si="4"/>
        <v>Strong</v>
      </c>
      <c r="Q28" t="str">
        <f t="shared" si="5"/>
        <v>Advanced</v>
      </c>
      <c r="R28" t="str">
        <f t="shared" si="6"/>
        <v>Needs Improvement</v>
      </c>
      <c r="S28" t="str">
        <f t="shared" si="7"/>
        <v>Not Hired</v>
      </c>
      <c r="T28">
        <f t="shared" si="8"/>
        <v>70</v>
      </c>
      <c r="U28" t="str">
        <f t="shared" si="9"/>
        <v>Developing</v>
      </c>
      <c r="V28" t="str">
        <f t="shared" si="10"/>
        <v>Interview</v>
      </c>
      <c r="W28" t="str">
        <f t="shared" si="11"/>
        <v>Personality &amp; Communication</v>
      </c>
      <c r="X28" t="str">
        <f t="shared" si="12"/>
        <v>Work on communication and personality development</v>
      </c>
    </row>
    <row r="29" spans="1:24" x14ac:dyDescent="0.3">
      <c r="A29">
        <v>21</v>
      </c>
      <c r="B29">
        <v>1</v>
      </c>
      <c r="C29">
        <v>2</v>
      </c>
      <c r="D29">
        <v>0</v>
      </c>
      <c r="E29">
        <v>4</v>
      </c>
      <c r="F29">
        <v>37.937175480796498</v>
      </c>
      <c r="G29">
        <v>100</v>
      </c>
      <c r="H29">
        <v>28</v>
      </c>
      <c r="I29">
        <v>87</v>
      </c>
      <c r="J29">
        <v>3</v>
      </c>
      <c r="K29">
        <v>0</v>
      </c>
      <c r="L29" t="str">
        <f t="shared" si="0"/>
        <v>C028</v>
      </c>
      <c r="M29" t="str">
        <f t="shared" si="1"/>
        <v>Female</v>
      </c>
      <c r="N29" t="str">
        <f t="shared" si="2"/>
        <v>Bachelor's Type 2</v>
      </c>
      <c r="O29" t="str">
        <f t="shared" si="3"/>
        <v>Entry Level</v>
      </c>
      <c r="P29" t="str">
        <f t="shared" si="4"/>
        <v>Strong</v>
      </c>
      <c r="Q29" t="str">
        <f t="shared" si="5"/>
        <v>Beginner</v>
      </c>
      <c r="R29" t="str">
        <f t="shared" si="6"/>
        <v>Strong</v>
      </c>
      <c r="S29" t="str">
        <f t="shared" si="7"/>
        <v>Not Hired</v>
      </c>
      <c r="T29">
        <f t="shared" si="8"/>
        <v>58</v>
      </c>
      <c r="U29" t="str">
        <f t="shared" si="9"/>
        <v>Developing</v>
      </c>
      <c r="V29" t="str">
        <f t="shared" si="10"/>
        <v>Interview</v>
      </c>
      <c r="W29" t="str">
        <f t="shared" si="11"/>
        <v>Technical Skills</v>
      </c>
      <c r="X29" t="str">
        <f t="shared" si="12"/>
        <v>Strengthen technical skills and practical knowledge</v>
      </c>
    </row>
    <row r="30" spans="1:24" x14ac:dyDescent="0.3">
      <c r="A30">
        <v>47</v>
      </c>
      <c r="B30">
        <v>1</v>
      </c>
      <c r="C30">
        <v>3</v>
      </c>
      <c r="D30">
        <v>1</v>
      </c>
      <c r="E30">
        <v>2</v>
      </c>
      <c r="F30">
        <v>16.313394350230698</v>
      </c>
      <c r="G30">
        <v>38</v>
      </c>
      <c r="H30">
        <v>88</v>
      </c>
      <c r="I30">
        <v>86</v>
      </c>
      <c r="J30">
        <v>2</v>
      </c>
      <c r="K30">
        <v>0</v>
      </c>
      <c r="L30" t="str">
        <f t="shared" si="0"/>
        <v>C029</v>
      </c>
      <c r="M30" t="str">
        <f t="shared" si="1"/>
        <v>Female</v>
      </c>
      <c r="N30" t="str">
        <f t="shared" si="2"/>
        <v>Master's</v>
      </c>
      <c r="O30" t="str">
        <f t="shared" si="3"/>
        <v>Entry Level</v>
      </c>
      <c r="P30" t="str">
        <f t="shared" si="4"/>
        <v>Low</v>
      </c>
      <c r="Q30" t="str">
        <f t="shared" si="5"/>
        <v>Advanced</v>
      </c>
      <c r="R30" t="str">
        <f t="shared" si="6"/>
        <v>Strong</v>
      </c>
      <c r="S30" t="str">
        <f t="shared" si="7"/>
        <v>Not Hired</v>
      </c>
      <c r="T30">
        <f t="shared" si="8"/>
        <v>60</v>
      </c>
      <c r="U30" t="str">
        <f t="shared" si="9"/>
        <v>Developing</v>
      </c>
      <c r="V30" t="str">
        <f t="shared" si="10"/>
        <v>Technical Skills</v>
      </c>
      <c r="W30" t="str">
        <f t="shared" si="11"/>
        <v>Interview Preparation</v>
      </c>
      <c r="X30" t="str">
        <f t="shared" si="12"/>
        <v>Improve interview preparation and communication</v>
      </c>
    </row>
    <row r="31" spans="1:24" x14ac:dyDescent="0.3">
      <c r="A31">
        <v>40</v>
      </c>
      <c r="B31">
        <v>0</v>
      </c>
      <c r="C31">
        <v>2</v>
      </c>
      <c r="D31">
        <v>5</v>
      </c>
      <c r="E31">
        <v>5</v>
      </c>
      <c r="F31">
        <v>14.254064216928599</v>
      </c>
      <c r="G31">
        <v>87</v>
      </c>
      <c r="H31">
        <v>32</v>
      </c>
      <c r="I31">
        <v>11</v>
      </c>
      <c r="J31">
        <v>2</v>
      </c>
      <c r="K31">
        <v>0</v>
      </c>
      <c r="L31" t="str">
        <f t="shared" si="0"/>
        <v>C030</v>
      </c>
      <c r="M31" t="str">
        <f t="shared" si="1"/>
        <v>Male</v>
      </c>
      <c r="N31" t="str">
        <f t="shared" si="2"/>
        <v>Bachelor's Type 2</v>
      </c>
      <c r="O31" t="str">
        <f t="shared" si="3"/>
        <v>Mid Level</v>
      </c>
      <c r="P31" t="str">
        <f t="shared" si="4"/>
        <v>Strong</v>
      </c>
      <c r="Q31" t="str">
        <f t="shared" si="5"/>
        <v>Beginner</v>
      </c>
      <c r="R31" t="str">
        <f t="shared" si="6"/>
        <v>Needs Improvement</v>
      </c>
      <c r="S31" t="str">
        <f t="shared" si="7"/>
        <v>Not Hired</v>
      </c>
      <c r="T31">
        <f t="shared" si="8"/>
        <v>45</v>
      </c>
      <c r="U31" t="str">
        <f t="shared" si="9"/>
        <v>Needs Improvement</v>
      </c>
      <c r="V31" t="str">
        <f t="shared" si="10"/>
        <v>Interview</v>
      </c>
      <c r="W31" t="str">
        <f t="shared" si="11"/>
        <v>Personality &amp; Communication</v>
      </c>
      <c r="X31" t="str">
        <f t="shared" si="12"/>
        <v>Work on communication and personality development</v>
      </c>
    </row>
    <row r="32" spans="1:24" x14ac:dyDescent="0.3">
      <c r="A32">
        <v>20</v>
      </c>
      <c r="B32">
        <v>1</v>
      </c>
      <c r="C32">
        <v>1</v>
      </c>
      <c r="D32">
        <v>9</v>
      </c>
      <c r="E32">
        <v>3</v>
      </c>
      <c r="F32">
        <v>35.8096225150544</v>
      </c>
      <c r="G32">
        <v>79</v>
      </c>
      <c r="H32">
        <v>99</v>
      </c>
      <c r="I32">
        <v>48</v>
      </c>
      <c r="J32">
        <v>2</v>
      </c>
      <c r="K32">
        <v>0</v>
      </c>
      <c r="L32" t="str">
        <f t="shared" si="0"/>
        <v>C031</v>
      </c>
      <c r="M32" t="str">
        <f t="shared" si="1"/>
        <v>Female</v>
      </c>
      <c r="N32" t="str">
        <f t="shared" si="2"/>
        <v>Bachelor's Type 1</v>
      </c>
      <c r="O32" t="str">
        <f t="shared" si="3"/>
        <v>Senior Level</v>
      </c>
      <c r="P32" t="str">
        <f t="shared" si="4"/>
        <v>Strong</v>
      </c>
      <c r="Q32" t="str">
        <f t="shared" si="5"/>
        <v>Advanced</v>
      </c>
      <c r="R32" t="str">
        <f t="shared" si="6"/>
        <v>Needs Improvement</v>
      </c>
      <c r="S32" t="str">
        <f t="shared" si="7"/>
        <v>Not Hired</v>
      </c>
      <c r="T32">
        <f t="shared" si="8"/>
        <v>75</v>
      </c>
      <c r="U32" t="str">
        <f t="shared" si="9"/>
        <v>Job Ready</v>
      </c>
      <c r="V32" t="str">
        <f t="shared" si="10"/>
        <v>Technical Skills</v>
      </c>
      <c r="W32" t="str">
        <f t="shared" si="11"/>
        <v>Personality &amp; Communication</v>
      </c>
      <c r="X32" t="str">
        <f t="shared" si="12"/>
        <v>Work on communication and personality development</v>
      </c>
    </row>
    <row r="33" spans="1:24" x14ac:dyDescent="0.3">
      <c r="A33">
        <v>31</v>
      </c>
      <c r="B33">
        <v>1</v>
      </c>
      <c r="C33">
        <v>2</v>
      </c>
      <c r="D33">
        <v>4</v>
      </c>
      <c r="E33">
        <v>5</v>
      </c>
      <c r="F33">
        <v>10.6435284344807</v>
      </c>
      <c r="G33">
        <v>96</v>
      </c>
      <c r="H33">
        <v>60</v>
      </c>
      <c r="I33">
        <v>93</v>
      </c>
      <c r="J33">
        <v>2</v>
      </c>
      <c r="K33">
        <v>0</v>
      </c>
      <c r="L33" t="str">
        <f t="shared" si="0"/>
        <v>C032</v>
      </c>
      <c r="M33" t="str">
        <f t="shared" si="1"/>
        <v>Female</v>
      </c>
      <c r="N33" t="str">
        <f t="shared" si="2"/>
        <v>Bachelor's Type 2</v>
      </c>
      <c r="O33" t="str">
        <f t="shared" si="3"/>
        <v>Mid Level</v>
      </c>
      <c r="P33" t="str">
        <f t="shared" si="4"/>
        <v>Strong</v>
      </c>
      <c r="Q33" t="str">
        <f t="shared" si="5"/>
        <v>Intermediate</v>
      </c>
      <c r="R33" t="str">
        <f t="shared" si="6"/>
        <v>Strong</v>
      </c>
      <c r="S33" t="str">
        <f t="shared" si="7"/>
        <v>Not Hired</v>
      </c>
      <c r="T33">
        <f t="shared" si="8"/>
        <v>72</v>
      </c>
      <c r="U33" t="str">
        <f t="shared" si="9"/>
        <v>Developing</v>
      </c>
      <c r="V33" t="str">
        <f t="shared" si="10"/>
        <v>Interview</v>
      </c>
      <c r="W33" t="str">
        <f t="shared" si="11"/>
        <v>Technical Skills</v>
      </c>
      <c r="X33" t="str">
        <f t="shared" si="12"/>
        <v>Strengthen technical skills and practical knowledge</v>
      </c>
    </row>
    <row r="34" spans="1:24" x14ac:dyDescent="0.3">
      <c r="A34">
        <v>45</v>
      </c>
      <c r="B34">
        <v>1</v>
      </c>
      <c r="C34">
        <v>4</v>
      </c>
      <c r="D34">
        <v>11</v>
      </c>
      <c r="E34">
        <v>5</v>
      </c>
      <c r="F34">
        <v>5.6357405405134902</v>
      </c>
      <c r="G34">
        <v>11</v>
      </c>
      <c r="H34">
        <v>92</v>
      </c>
      <c r="I34">
        <v>30</v>
      </c>
      <c r="J34">
        <v>1</v>
      </c>
      <c r="K34">
        <v>1</v>
      </c>
      <c r="L34" t="str">
        <f t="shared" si="0"/>
        <v>C033</v>
      </c>
      <c r="M34" t="str">
        <f t="shared" si="1"/>
        <v>Female</v>
      </c>
      <c r="N34" t="str">
        <f t="shared" si="2"/>
        <v>PhD</v>
      </c>
      <c r="O34" t="str">
        <f t="shared" si="3"/>
        <v>Senior Level</v>
      </c>
      <c r="P34" t="str">
        <f t="shared" si="4"/>
        <v>Low</v>
      </c>
      <c r="Q34" t="str">
        <f t="shared" si="5"/>
        <v>Advanced</v>
      </c>
      <c r="R34" t="str">
        <f t="shared" si="6"/>
        <v>Needs Improvement</v>
      </c>
      <c r="S34" t="str">
        <f t="shared" si="7"/>
        <v>Hired</v>
      </c>
      <c r="T34">
        <f t="shared" si="8"/>
        <v>53</v>
      </c>
      <c r="U34" t="str">
        <f t="shared" si="9"/>
        <v>Developing</v>
      </c>
      <c r="V34" t="str">
        <f t="shared" si="10"/>
        <v>Technical Skills</v>
      </c>
      <c r="W34" t="str">
        <f t="shared" si="11"/>
        <v>Interview Preparation</v>
      </c>
      <c r="X34" t="str">
        <f t="shared" si="12"/>
        <v>Improve interview preparation and communication</v>
      </c>
    </row>
    <row r="35" spans="1:24" x14ac:dyDescent="0.3">
      <c r="A35">
        <v>41</v>
      </c>
      <c r="B35">
        <v>0</v>
      </c>
      <c r="C35">
        <v>3</v>
      </c>
      <c r="D35">
        <v>13</v>
      </c>
      <c r="E35">
        <v>4</v>
      </c>
      <c r="F35">
        <v>27.611143742809599</v>
      </c>
      <c r="G35">
        <v>33</v>
      </c>
      <c r="H35">
        <v>89</v>
      </c>
      <c r="I35">
        <v>91</v>
      </c>
      <c r="J35">
        <v>3</v>
      </c>
      <c r="K35">
        <v>1</v>
      </c>
      <c r="L35" t="str">
        <f t="shared" si="0"/>
        <v>C034</v>
      </c>
      <c r="M35" t="str">
        <f t="shared" si="1"/>
        <v>Male</v>
      </c>
      <c r="N35" t="str">
        <f t="shared" si="2"/>
        <v>Master's</v>
      </c>
      <c r="O35" t="str">
        <f t="shared" si="3"/>
        <v>Senior Level</v>
      </c>
      <c r="P35" t="str">
        <f t="shared" si="4"/>
        <v>Low</v>
      </c>
      <c r="Q35" t="str">
        <f t="shared" si="5"/>
        <v>Advanced</v>
      </c>
      <c r="R35" t="str">
        <f t="shared" si="6"/>
        <v>Strong</v>
      </c>
      <c r="S35" t="str">
        <f t="shared" si="7"/>
        <v>Hired</v>
      </c>
      <c r="T35">
        <f t="shared" si="8"/>
        <v>72</v>
      </c>
      <c r="U35" t="str">
        <f t="shared" si="9"/>
        <v>Developing</v>
      </c>
      <c r="V35" t="str">
        <f t="shared" si="10"/>
        <v>Personality</v>
      </c>
      <c r="W35" t="str">
        <f t="shared" si="11"/>
        <v>Interview Preparation</v>
      </c>
      <c r="X35" t="str">
        <f t="shared" si="12"/>
        <v>Improve interview preparation and communication</v>
      </c>
    </row>
    <row r="36" spans="1:24" x14ac:dyDescent="0.3">
      <c r="A36">
        <v>48</v>
      </c>
      <c r="B36">
        <v>0</v>
      </c>
      <c r="C36">
        <v>2</v>
      </c>
      <c r="D36">
        <v>8</v>
      </c>
      <c r="E36">
        <v>2</v>
      </c>
      <c r="F36">
        <v>42.082078488947701</v>
      </c>
      <c r="G36">
        <v>70</v>
      </c>
      <c r="H36">
        <v>3</v>
      </c>
      <c r="I36">
        <v>21</v>
      </c>
      <c r="J36">
        <v>1</v>
      </c>
      <c r="K36">
        <v>0</v>
      </c>
      <c r="L36" t="str">
        <f t="shared" si="0"/>
        <v>C035</v>
      </c>
      <c r="M36" t="str">
        <f t="shared" si="1"/>
        <v>Male</v>
      </c>
      <c r="N36" t="str">
        <f t="shared" si="2"/>
        <v>Bachelor's Type 2</v>
      </c>
      <c r="O36" t="str">
        <f t="shared" si="3"/>
        <v>Senior Level</v>
      </c>
      <c r="P36" t="str">
        <f t="shared" si="4"/>
        <v>Average</v>
      </c>
      <c r="Q36" t="str">
        <f t="shared" si="5"/>
        <v>Beginner</v>
      </c>
      <c r="R36" t="str">
        <f t="shared" si="6"/>
        <v>Needs Improvement</v>
      </c>
      <c r="S36" t="str">
        <f t="shared" si="7"/>
        <v>Not Hired</v>
      </c>
      <c r="T36">
        <f t="shared" si="8"/>
        <v>37</v>
      </c>
      <c r="U36" t="str">
        <f t="shared" si="9"/>
        <v>Needs Improvement</v>
      </c>
      <c r="V36" t="str">
        <f t="shared" si="10"/>
        <v>Interview</v>
      </c>
      <c r="W36" t="str">
        <f t="shared" si="11"/>
        <v>Technical Skills</v>
      </c>
      <c r="X36" t="str">
        <f t="shared" si="12"/>
        <v>Strengthen technical skills and practical knowledge</v>
      </c>
    </row>
    <row r="37" spans="1:24" x14ac:dyDescent="0.3">
      <c r="A37">
        <v>31</v>
      </c>
      <c r="B37">
        <v>0</v>
      </c>
      <c r="C37">
        <v>2</v>
      </c>
      <c r="D37">
        <v>4</v>
      </c>
      <c r="E37">
        <v>1</v>
      </c>
      <c r="F37">
        <v>6.0689921234931701</v>
      </c>
      <c r="G37">
        <v>74</v>
      </c>
      <c r="H37">
        <v>13</v>
      </c>
      <c r="I37">
        <v>43</v>
      </c>
      <c r="J37">
        <v>2</v>
      </c>
      <c r="K37">
        <v>0</v>
      </c>
      <c r="L37" t="str">
        <f t="shared" si="0"/>
        <v>C036</v>
      </c>
      <c r="M37" t="str">
        <f t="shared" si="1"/>
        <v>Male</v>
      </c>
      <c r="N37" t="str">
        <f t="shared" si="2"/>
        <v>Bachelor's Type 2</v>
      </c>
      <c r="O37" t="str">
        <f t="shared" si="3"/>
        <v>Mid Level</v>
      </c>
      <c r="P37" t="str">
        <f t="shared" si="4"/>
        <v>Average</v>
      </c>
      <c r="Q37" t="str">
        <f t="shared" si="5"/>
        <v>Beginner</v>
      </c>
      <c r="R37" t="str">
        <f t="shared" si="6"/>
        <v>Needs Improvement</v>
      </c>
      <c r="S37" t="str">
        <f t="shared" si="7"/>
        <v>Not Hired</v>
      </c>
      <c r="T37">
        <f t="shared" si="8"/>
        <v>41</v>
      </c>
      <c r="U37" t="str">
        <f t="shared" si="9"/>
        <v>Needs Improvement</v>
      </c>
      <c r="V37" t="str">
        <f t="shared" si="10"/>
        <v>Interview</v>
      </c>
      <c r="W37" t="str">
        <f t="shared" si="11"/>
        <v>Technical Skills</v>
      </c>
      <c r="X37" t="str">
        <f t="shared" si="12"/>
        <v>Strengthen technical skills and practical knowledge</v>
      </c>
    </row>
    <row r="38" spans="1:24" x14ac:dyDescent="0.3">
      <c r="A38">
        <v>44</v>
      </c>
      <c r="B38">
        <v>1</v>
      </c>
      <c r="C38">
        <v>2</v>
      </c>
      <c r="D38">
        <v>1</v>
      </c>
      <c r="E38">
        <v>2</v>
      </c>
      <c r="F38">
        <v>40.594566189786399</v>
      </c>
      <c r="G38">
        <v>30</v>
      </c>
      <c r="H38">
        <v>90</v>
      </c>
      <c r="I38">
        <v>91</v>
      </c>
      <c r="J38">
        <v>2</v>
      </c>
      <c r="K38">
        <v>0</v>
      </c>
      <c r="L38" t="str">
        <f t="shared" si="0"/>
        <v>C037</v>
      </c>
      <c r="M38" t="str">
        <f t="shared" si="1"/>
        <v>Female</v>
      </c>
      <c r="N38" t="str">
        <f t="shared" si="2"/>
        <v>Bachelor's Type 2</v>
      </c>
      <c r="O38" t="str">
        <f t="shared" si="3"/>
        <v>Entry Level</v>
      </c>
      <c r="P38" t="str">
        <f t="shared" si="4"/>
        <v>Low</v>
      </c>
      <c r="Q38" t="str">
        <f t="shared" si="5"/>
        <v>Advanced</v>
      </c>
      <c r="R38" t="str">
        <f t="shared" si="6"/>
        <v>Strong</v>
      </c>
      <c r="S38" t="str">
        <f t="shared" si="7"/>
        <v>Not Hired</v>
      </c>
      <c r="T38">
        <f t="shared" si="8"/>
        <v>58</v>
      </c>
      <c r="U38" t="str">
        <f t="shared" si="9"/>
        <v>Developing</v>
      </c>
      <c r="V38" t="str">
        <f t="shared" si="10"/>
        <v>Personality</v>
      </c>
      <c r="W38" t="str">
        <f t="shared" si="11"/>
        <v>Interview Preparation</v>
      </c>
      <c r="X38" t="str">
        <f t="shared" si="12"/>
        <v>Improve interview preparation and communication</v>
      </c>
    </row>
    <row r="39" spans="1:24" x14ac:dyDescent="0.3">
      <c r="A39">
        <v>36</v>
      </c>
      <c r="B39">
        <v>1</v>
      </c>
      <c r="C39">
        <v>3</v>
      </c>
      <c r="D39">
        <v>9</v>
      </c>
      <c r="E39">
        <v>5</v>
      </c>
      <c r="F39">
        <v>41.578600217577403</v>
      </c>
      <c r="G39">
        <v>92</v>
      </c>
      <c r="H39">
        <v>32</v>
      </c>
      <c r="I39">
        <v>63</v>
      </c>
      <c r="J39">
        <v>2</v>
      </c>
      <c r="K39">
        <v>1</v>
      </c>
      <c r="L39" t="str">
        <f t="shared" si="0"/>
        <v>C038</v>
      </c>
      <c r="M39" t="str">
        <f t="shared" si="1"/>
        <v>Female</v>
      </c>
      <c r="N39" t="str">
        <f t="shared" si="2"/>
        <v>Master's</v>
      </c>
      <c r="O39" t="str">
        <f t="shared" si="3"/>
        <v>Senior Level</v>
      </c>
      <c r="P39" t="str">
        <f t="shared" si="4"/>
        <v>Strong</v>
      </c>
      <c r="Q39" t="str">
        <f t="shared" si="5"/>
        <v>Beginner</v>
      </c>
      <c r="R39" t="str">
        <f t="shared" si="6"/>
        <v>Good</v>
      </c>
      <c r="S39" t="str">
        <f t="shared" si="7"/>
        <v>Hired</v>
      </c>
      <c r="T39">
        <f t="shared" si="8"/>
        <v>63</v>
      </c>
      <c r="U39" t="str">
        <f t="shared" si="9"/>
        <v>Developing</v>
      </c>
      <c r="V39" t="str">
        <f t="shared" si="10"/>
        <v>Interview</v>
      </c>
      <c r="W39" t="str">
        <f t="shared" si="11"/>
        <v>Technical Skills</v>
      </c>
      <c r="X39" t="str">
        <f t="shared" si="12"/>
        <v>Strengthen technical skills and practical knowledge</v>
      </c>
    </row>
    <row r="40" spans="1:24" x14ac:dyDescent="0.3">
      <c r="A40">
        <v>46</v>
      </c>
      <c r="B40">
        <v>0</v>
      </c>
      <c r="C40">
        <v>3</v>
      </c>
      <c r="D40">
        <v>3</v>
      </c>
      <c r="E40">
        <v>2</v>
      </c>
      <c r="F40">
        <v>25.113700004077099</v>
      </c>
      <c r="G40">
        <v>61</v>
      </c>
      <c r="H40">
        <v>21</v>
      </c>
      <c r="I40">
        <v>76</v>
      </c>
      <c r="J40">
        <v>1</v>
      </c>
      <c r="K40">
        <v>1</v>
      </c>
      <c r="L40" t="str">
        <f t="shared" si="0"/>
        <v>C039</v>
      </c>
      <c r="M40" t="str">
        <f t="shared" si="1"/>
        <v>Male</v>
      </c>
      <c r="N40" t="str">
        <f t="shared" si="2"/>
        <v>Master's</v>
      </c>
      <c r="O40" t="str">
        <f t="shared" si="3"/>
        <v>Mid Level</v>
      </c>
      <c r="P40" t="str">
        <f t="shared" si="4"/>
        <v>Average</v>
      </c>
      <c r="Q40" t="str">
        <f t="shared" si="5"/>
        <v>Beginner</v>
      </c>
      <c r="R40" t="str">
        <f t="shared" si="6"/>
        <v>Strong</v>
      </c>
      <c r="S40" t="str">
        <f t="shared" si="7"/>
        <v>Hired</v>
      </c>
      <c r="T40">
        <f t="shared" si="8"/>
        <v>47</v>
      </c>
      <c r="U40" t="str">
        <f t="shared" si="9"/>
        <v>Needs Improvement</v>
      </c>
      <c r="V40" t="str">
        <f t="shared" si="10"/>
        <v>Personality</v>
      </c>
      <c r="W40" t="str">
        <f t="shared" si="11"/>
        <v>Technical Skills</v>
      </c>
      <c r="X40" t="str">
        <f t="shared" si="12"/>
        <v>Strengthen technical skills and practical knowledge</v>
      </c>
    </row>
    <row r="41" spans="1:24" x14ac:dyDescent="0.3">
      <c r="A41">
        <v>46</v>
      </c>
      <c r="B41">
        <v>1</v>
      </c>
      <c r="C41">
        <v>2</v>
      </c>
      <c r="D41">
        <v>8</v>
      </c>
      <c r="E41">
        <v>4</v>
      </c>
      <c r="F41">
        <v>3.86551550052434</v>
      </c>
      <c r="G41">
        <v>12</v>
      </c>
      <c r="H41">
        <v>47</v>
      </c>
      <c r="I41">
        <v>24</v>
      </c>
      <c r="J41">
        <v>2</v>
      </c>
      <c r="K41">
        <v>0</v>
      </c>
      <c r="L41" t="str">
        <f t="shared" si="0"/>
        <v>C040</v>
      </c>
      <c r="M41" t="str">
        <f t="shared" si="1"/>
        <v>Female</v>
      </c>
      <c r="N41" t="str">
        <f t="shared" si="2"/>
        <v>Bachelor's Type 2</v>
      </c>
      <c r="O41" t="str">
        <f t="shared" si="3"/>
        <v>Senior Level</v>
      </c>
      <c r="P41" t="str">
        <f t="shared" si="4"/>
        <v>Low</v>
      </c>
      <c r="Q41" t="str">
        <f t="shared" si="5"/>
        <v>Beginner</v>
      </c>
      <c r="R41" t="str">
        <f t="shared" si="6"/>
        <v>Needs Improvement</v>
      </c>
      <c r="S41" t="str">
        <f t="shared" si="7"/>
        <v>Not Hired</v>
      </c>
      <c r="T41">
        <f t="shared" si="8"/>
        <v>33</v>
      </c>
      <c r="U41" t="str">
        <f t="shared" si="9"/>
        <v>Needs Improvement</v>
      </c>
      <c r="V41" t="str">
        <f t="shared" si="10"/>
        <v>Technical Skills</v>
      </c>
      <c r="W41" t="str">
        <f t="shared" si="11"/>
        <v>Interview Preparation</v>
      </c>
      <c r="X41" t="str">
        <f t="shared" si="12"/>
        <v>Improve interview preparation and communication</v>
      </c>
    </row>
    <row r="42" spans="1:24" x14ac:dyDescent="0.3">
      <c r="A42">
        <v>50</v>
      </c>
      <c r="B42">
        <v>1</v>
      </c>
      <c r="C42">
        <v>3</v>
      </c>
      <c r="D42">
        <v>0</v>
      </c>
      <c r="E42">
        <v>1</v>
      </c>
      <c r="F42">
        <v>9.7294925623593205</v>
      </c>
      <c r="G42">
        <v>30</v>
      </c>
      <c r="H42">
        <v>2</v>
      </c>
      <c r="I42">
        <v>50</v>
      </c>
      <c r="J42">
        <v>1</v>
      </c>
      <c r="K42">
        <v>0</v>
      </c>
      <c r="L42" t="str">
        <f t="shared" si="0"/>
        <v>C041</v>
      </c>
      <c r="M42" t="str">
        <f t="shared" si="1"/>
        <v>Female</v>
      </c>
      <c r="N42" t="str">
        <f t="shared" si="2"/>
        <v>Master's</v>
      </c>
      <c r="O42" t="str">
        <f t="shared" si="3"/>
        <v>Entry Level</v>
      </c>
      <c r="P42" t="str">
        <f t="shared" si="4"/>
        <v>Low</v>
      </c>
      <c r="Q42" t="str">
        <f t="shared" si="5"/>
        <v>Beginner</v>
      </c>
      <c r="R42" t="str">
        <f t="shared" si="6"/>
        <v>Good</v>
      </c>
      <c r="S42" t="str">
        <f t="shared" si="7"/>
        <v>Not Hired</v>
      </c>
      <c r="T42">
        <f t="shared" si="8"/>
        <v>23</v>
      </c>
      <c r="U42" t="str">
        <f t="shared" si="9"/>
        <v>Needs Improvement</v>
      </c>
      <c r="V42" t="str">
        <f t="shared" si="10"/>
        <v>Personality</v>
      </c>
      <c r="W42" t="str">
        <f t="shared" si="11"/>
        <v>Technical Skills</v>
      </c>
      <c r="X42" t="str">
        <f t="shared" si="12"/>
        <v>Strengthen technical skills and practical knowledge</v>
      </c>
    </row>
    <row r="43" spans="1:24" x14ac:dyDescent="0.3">
      <c r="A43">
        <v>29</v>
      </c>
      <c r="B43">
        <v>1</v>
      </c>
      <c r="C43">
        <v>3</v>
      </c>
      <c r="D43">
        <v>10</v>
      </c>
      <c r="E43">
        <v>4</v>
      </c>
      <c r="F43">
        <v>36.371313758096598</v>
      </c>
      <c r="G43">
        <v>1</v>
      </c>
      <c r="H43">
        <v>86</v>
      </c>
      <c r="I43">
        <v>6</v>
      </c>
      <c r="J43">
        <v>1</v>
      </c>
      <c r="K43">
        <v>1</v>
      </c>
      <c r="L43" t="str">
        <f t="shared" si="0"/>
        <v>C042</v>
      </c>
      <c r="M43" t="str">
        <f t="shared" si="1"/>
        <v>Female</v>
      </c>
      <c r="N43" t="str">
        <f t="shared" si="2"/>
        <v>Master's</v>
      </c>
      <c r="O43" t="str">
        <f t="shared" si="3"/>
        <v>Senior Level</v>
      </c>
      <c r="P43" t="str">
        <f t="shared" si="4"/>
        <v>Low</v>
      </c>
      <c r="Q43" t="str">
        <f t="shared" si="5"/>
        <v>Advanced</v>
      </c>
      <c r="R43" t="str">
        <f t="shared" si="6"/>
        <v>Needs Improvement</v>
      </c>
      <c r="S43" t="str">
        <f t="shared" si="7"/>
        <v>Hired</v>
      </c>
      <c r="T43">
        <f t="shared" si="8"/>
        <v>41</v>
      </c>
      <c r="U43" t="str">
        <f t="shared" si="9"/>
        <v>Needs Improvement</v>
      </c>
      <c r="V43" t="str">
        <f t="shared" si="10"/>
        <v>Technical Skills</v>
      </c>
      <c r="W43" t="str">
        <f t="shared" si="11"/>
        <v>Interview Preparation</v>
      </c>
      <c r="X43" t="str">
        <f t="shared" si="12"/>
        <v>Improve interview preparation and communication</v>
      </c>
    </row>
    <row r="44" spans="1:24" x14ac:dyDescent="0.3">
      <c r="A44">
        <v>47</v>
      </c>
      <c r="B44">
        <v>1</v>
      </c>
      <c r="C44">
        <v>1</v>
      </c>
      <c r="D44">
        <v>0</v>
      </c>
      <c r="E44">
        <v>1</v>
      </c>
      <c r="F44">
        <v>36.588897249547401</v>
      </c>
      <c r="G44">
        <v>14</v>
      </c>
      <c r="H44">
        <v>84</v>
      </c>
      <c r="I44">
        <v>5</v>
      </c>
      <c r="J44">
        <v>2</v>
      </c>
      <c r="K44">
        <v>0</v>
      </c>
      <c r="L44" t="str">
        <f t="shared" si="0"/>
        <v>C043</v>
      </c>
      <c r="M44" t="str">
        <f t="shared" si="1"/>
        <v>Female</v>
      </c>
      <c r="N44" t="str">
        <f t="shared" si="2"/>
        <v>Bachelor's Type 1</v>
      </c>
      <c r="O44" t="str">
        <f t="shared" si="3"/>
        <v>Entry Level</v>
      </c>
      <c r="P44" t="str">
        <f t="shared" si="4"/>
        <v>Low</v>
      </c>
      <c r="Q44" t="str">
        <f t="shared" si="5"/>
        <v>Advanced</v>
      </c>
      <c r="R44" t="str">
        <f t="shared" si="6"/>
        <v>Needs Improvement</v>
      </c>
      <c r="S44" t="str">
        <f t="shared" si="7"/>
        <v>Not Hired</v>
      </c>
      <c r="T44">
        <f t="shared" si="8"/>
        <v>33</v>
      </c>
      <c r="U44" t="str">
        <f t="shared" si="9"/>
        <v>Needs Improvement</v>
      </c>
      <c r="V44" t="str">
        <f t="shared" si="10"/>
        <v>Technical Skills</v>
      </c>
      <c r="W44" t="str">
        <f t="shared" si="11"/>
        <v>Personality &amp; Communication</v>
      </c>
      <c r="X44" t="str">
        <f t="shared" si="12"/>
        <v>Work on communication and personality development</v>
      </c>
    </row>
    <row r="45" spans="1:24" x14ac:dyDescent="0.3">
      <c r="A45">
        <v>47</v>
      </c>
      <c r="B45">
        <v>1</v>
      </c>
      <c r="C45">
        <v>2</v>
      </c>
      <c r="D45">
        <v>11</v>
      </c>
      <c r="E45">
        <v>5</v>
      </c>
      <c r="F45">
        <v>45.917763758383202</v>
      </c>
      <c r="G45">
        <v>56</v>
      </c>
      <c r="H45">
        <v>22</v>
      </c>
      <c r="I45">
        <v>23</v>
      </c>
      <c r="J45">
        <v>2</v>
      </c>
      <c r="K45">
        <v>0</v>
      </c>
      <c r="L45" t="str">
        <f t="shared" si="0"/>
        <v>C044</v>
      </c>
      <c r="M45" t="str">
        <f t="shared" si="1"/>
        <v>Female</v>
      </c>
      <c r="N45" t="str">
        <f t="shared" si="2"/>
        <v>Bachelor's Type 2</v>
      </c>
      <c r="O45" t="str">
        <f t="shared" si="3"/>
        <v>Senior Level</v>
      </c>
      <c r="P45" t="str">
        <f t="shared" si="4"/>
        <v>Average</v>
      </c>
      <c r="Q45" t="str">
        <f t="shared" si="5"/>
        <v>Beginner</v>
      </c>
      <c r="R45" t="str">
        <f t="shared" si="6"/>
        <v>Needs Improvement</v>
      </c>
      <c r="S45" t="str">
        <f t="shared" si="7"/>
        <v>Not Hired</v>
      </c>
      <c r="T45">
        <f t="shared" si="8"/>
        <v>42</v>
      </c>
      <c r="U45" t="str">
        <f t="shared" si="9"/>
        <v>Needs Improvement</v>
      </c>
      <c r="V45" t="str">
        <f t="shared" si="10"/>
        <v>Interview</v>
      </c>
      <c r="W45" t="str">
        <f t="shared" si="11"/>
        <v>Technical Skills</v>
      </c>
      <c r="X45" t="str">
        <f t="shared" si="12"/>
        <v>Strengthen technical skills and practical knowledge</v>
      </c>
    </row>
    <row r="46" spans="1:24" x14ac:dyDescent="0.3">
      <c r="A46">
        <v>35</v>
      </c>
      <c r="B46">
        <v>0</v>
      </c>
      <c r="C46">
        <v>1</v>
      </c>
      <c r="D46">
        <v>6</v>
      </c>
      <c r="E46">
        <v>1</v>
      </c>
      <c r="F46">
        <v>30.1343073277291</v>
      </c>
      <c r="G46">
        <v>74</v>
      </c>
      <c r="H46">
        <v>67</v>
      </c>
      <c r="I46">
        <v>18</v>
      </c>
      <c r="J46">
        <v>1</v>
      </c>
      <c r="K46">
        <v>1</v>
      </c>
      <c r="L46" t="str">
        <f t="shared" si="0"/>
        <v>C045</v>
      </c>
      <c r="M46" t="str">
        <f t="shared" si="1"/>
        <v>Male</v>
      </c>
      <c r="N46" t="str">
        <f t="shared" si="2"/>
        <v>Bachelor's Type 1</v>
      </c>
      <c r="O46" t="str">
        <f t="shared" si="3"/>
        <v>Mid Level</v>
      </c>
      <c r="P46" t="str">
        <f t="shared" si="4"/>
        <v>Average</v>
      </c>
      <c r="Q46" t="str">
        <f t="shared" si="5"/>
        <v>Intermediate</v>
      </c>
      <c r="R46" t="str">
        <f t="shared" si="6"/>
        <v>Needs Improvement</v>
      </c>
      <c r="S46" t="str">
        <f t="shared" si="7"/>
        <v>Hired</v>
      </c>
      <c r="T46">
        <f t="shared" si="8"/>
        <v>54</v>
      </c>
      <c r="U46" t="str">
        <f t="shared" si="9"/>
        <v>Developing</v>
      </c>
      <c r="V46" t="str">
        <f t="shared" si="10"/>
        <v>Interview</v>
      </c>
      <c r="W46" t="str">
        <f t="shared" si="11"/>
        <v>Personality &amp; Communication</v>
      </c>
      <c r="X46" t="str">
        <f t="shared" si="12"/>
        <v>Work on communication and personality development</v>
      </c>
    </row>
    <row r="47" spans="1:24" x14ac:dyDescent="0.3">
      <c r="A47">
        <v>34</v>
      </c>
      <c r="B47">
        <v>1</v>
      </c>
      <c r="C47">
        <v>2</v>
      </c>
      <c r="D47">
        <v>10</v>
      </c>
      <c r="E47">
        <v>1</v>
      </c>
      <c r="F47">
        <v>7.2053683856888604</v>
      </c>
      <c r="G47">
        <v>33</v>
      </c>
      <c r="H47">
        <v>20</v>
      </c>
      <c r="I47">
        <v>82</v>
      </c>
      <c r="J47">
        <v>1</v>
      </c>
      <c r="K47">
        <v>1</v>
      </c>
      <c r="L47" t="str">
        <f t="shared" si="0"/>
        <v>C046</v>
      </c>
      <c r="M47" t="str">
        <f t="shared" si="1"/>
        <v>Female</v>
      </c>
      <c r="N47" t="str">
        <f t="shared" si="2"/>
        <v>Bachelor's Type 2</v>
      </c>
      <c r="O47" t="str">
        <f t="shared" si="3"/>
        <v>Senior Level</v>
      </c>
      <c r="P47" t="str">
        <f t="shared" si="4"/>
        <v>Low</v>
      </c>
      <c r="Q47" t="str">
        <f t="shared" si="5"/>
        <v>Beginner</v>
      </c>
      <c r="R47" t="str">
        <f t="shared" si="6"/>
        <v>Strong</v>
      </c>
      <c r="S47" t="str">
        <f t="shared" si="7"/>
        <v>Hired</v>
      </c>
      <c r="T47">
        <f t="shared" si="8"/>
        <v>45</v>
      </c>
      <c r="U47" t="str">
        <f t="shared" si="9"/>
        <v>Needs Improvement</v>
      </c>
      <c r="V47" t="str">
        <f t="shared" si="10"/>
        <v>Personality</v>
      </c>
      <c r="W47" t="str">
        <f t="shared" si="11"/>
        <v>Technical Skills</v>
      </c>
      <c r="X47" t="str">
        <f t="shared" si="12"/>
        <v>Strengthen technical skills and practical knowledge</v>
      </c>
    </row>
    <row r="48" spans="1:24" x14ac:dyDescent="0.3">
      <c r="A48">
        <v>49</v>
      </c>
      <c r="B48">
        <v>0</v>
      </c>
      <c r="C48">
        <v>3</v>
      </c>
      <c r="D48">
        <v>2</v>
      </c>
      <c r="E48">
        <v>1</v>
      </c>
      <c r="F48">
        <v>7.0707452752486004</v>
      </c>
      <c r="G48">
        <v>67</v>
      </c>
      <c r="H48">
        <v>100</v>
      </c>
      <c r="I48">
        <v>99</v>
      </c>
      <c r="J48">
        <v>3</v>
      </c>
      <c r="K48">
        <v>0</v>
      </c>
      <c r="L48" t="str">
        <f t="shared" si="0"/>
        <v>C047</v>
      </c>
      <c r="M48" t="str">
        <f t="shared" si="1"/>
        <v>Male</v>
      </c>
      <c r="N48" t="str">
        <f t="shared" si="2"/>
        <v>Master's</v>
      </c>
      <c r="O48" t="str">
        <f t="shared" si="3"/>
        <v>Entry Level</v>
      </c>
      <c r="P48" t="str">
        <f t="shared" si="4"/>
        <v>Average</v>
      </c>
      <c r="Q48" t="str">
        <f t="shared" si="5"/>
        <v>Advanced</v>
      </c>
      <c r="R48" t="str">
        <f t="shared" si="6"/>
        <v>Strong</v>
      </c>
      <c r="S48" t="str">
        <f t="shared" si="7"/>
        <v>Not Hired</v>
      </c>
      <c r="T48">
        <f t="shared" si="8"/>
        <v>76</v>
      </c>
      <c r="U48" t="str">
        <f t="shared" si="9"/>
        <v>Job Ready</v>
      </c>
      <c r="V48" t="str">
        <f t="shared" si="10"/>
        <v>Technical Skills</v>
      </c>
      <c r="W48" t="str">
        <f t="shared" si="11"/>
        <v>Interview Preparation</v>
      </c>
      <c r="X48" t="str">
        <f t="shared" si="12"/>
        <v>Improve interview preparation and communication</v>
      </c>
    </row>
    <row r="49" spans="1:24" x14ac:dyDescent="0.3">
      <c r="A49">
        <v>49</v>
      </c>
      <c r="B49">
        <v>1</v>
      </c>
      <c r="C49">
        <v>2</v>
      </c>
      <c r="D49">
        <v>9</v>
      </c>
      <c r="E49">
        <v>2</v>
      </c>
      <c r="F49">
        <v>37.056617867841098</v>
      </c>
      <c r="G49">
        <v>74</v>
      </c>
      <c r="H49">
        <v>42</v>
      </c>
      <c r="I49">
        <v>8</v>
      </c>
      <c r="J49">
        <v>3</v>
      </c>
      <c r="K49">
        <v>0</v>
      </c>
      <c r="L49" t="str">
        <f t="shared" si="0"/>
        <v>C048</v>
      </c>
      <c r="M49" t="str">
        <f t="shared" si="1"/>
        <v>Female</v>
      </c>
      <c r="N49" t="str">
        <f t="shared" si="2"/>
        <v>Bachelor's Type 2</v>
      </c>
      <c r="O49" t="str">
        <f t="shared" si="3"/>
        <v>Senior Level</v>
      </c>
      <c r="P49" t="str">
        <f t="shared" si="4"/>
        <v>Average</v>
      </c>
      <c r="Q49" t="str">
        <f t="shared" si="5"/>
        <v>Beginner</v>
      </c>
      <c r="R49" t="str">
        <f t="shared" si="6"/>
        <v>Needs Improvement</v>
      </c>
      <c r="S49" t="str">
        <f t="shared" si="7"/>
        <v>Not Hired</v>
      </c>
      <c r="T49">
        <f t="shared" si="8"/>
        <v>48</v>
      </c>
      <c r="U49" t="str">
        <f t="shared" si="9"/>
        <v>Needs Improvement</v>
      </c>
      <c r="V49" t="str">
        <f t="shared" si="10"/>
        <v>Interview</v>
      </c>
      <c r="W49" t="str">
        <f t="shared" si="11"/>
        <v>Personality &amp; Communication</v>
      </c>
      <c r="X49" t="str">
        <f t="shared" si="12"/>
        <v>Work on communication and personality development</v>
      </c>
    </row>
    <row r="50" spans="1:24" x14ac:dyDescent="0.3">
      <c r="A50">
        <v>34</v>
      </c>
      <c r="B50">
        <v>0</v>
      </c>
      <c r="C50">
        <v>2</v>
      </c>
      <c r="D50">
        <v>1</v>
      </c>
      <c r="E50">
        <v>2</v>
      </c>
      <c r="F50">
        <v>10.189233255394999</v>
      </c>
      <c r="G50">
        <v>28</v>
      </c>
      <c r="H50">
        <v>94</v>
      </c>
      <c r="I50">
        <v>35</v>
      </c>
      <c r="J50">
        <v>1</v>
      </c>
      <c r="K50">
        <v>0</v>
      </c>
      <c r="L50" t="str">
        <f t="shared" si="0"/>
        <v>C049</v>
      </c>
      <c r="M50" t="str">
        <f t="shared" si="1"/>
        <v>Male</v>
      </c>
      <c r="N50" t="str">
        <f t="shared" si="2"/>
        <v>Bachelor's Type 2</v>
      </c>
      <c r="O50" t="str">
        <f t="shared" si="3"/>
        <v>Entry Level</v>
      </c>
      <c r="P50" t="str">
        <f t="shared" si="4"/>
        <v>Low</v>
      </c>
      <c r="Q50" t="str">
        <f t="shared" si="5"/>
        <v>Advanced</v>
      </c>
      <c r="R50" t="str">
        <f t="shared" si="6"/>
        <v>Needs Improvement</v>
      </c>
      <c r="S50" t="str">
        <f t="shared" si="7"/>
        <v>Not Hired</v>
      </c>
      <c r="T50">
        <f t="shared" si="8"/>
        <v>47</v>
      </c>
      <c r="U50" t="str">
        <f t="shared" si="9"/>
        <v>Needs Improvement</v>
      </c>
      <c r="V50" t="str">
        <f t="shared" si="10"/>
        <v>Technical Skills</v>
      </c>
      <c r="W50" t="str">
        <f t="shared" si="11"/>
        <v>Interview Preparation</v>
      </c>
      <c r="X50" t="str">
        <f t="shared" si="12"/>
        <v>Improve interview preparation and communication</v>
      </c>
    </row>
    <row r="51" spans="1:24" x14ac:dyDescent="0.3">
      <c r="A51">
        <v>49</v>
      </c>
      <c r="B51">
        <v>1</v>
      </c>
      <c r="C51">
        <v>1</v>
      </c>
      <c r="D51">
        <v>8</v>
      </c>
      <c r="E51">
        <v>5</v>
      </c>
      <c r="F51">
        <v>17.419274980830199</v>
      </c>
      <c r="G51">
        <v>65</v>
      </c>
      <c r="H51">
        <v>84</v>
      </c>
      <c r="I51">
        <v>39</v>
      </c>
      <c r="J51">
        <v>2</v>
      </c>
      <c r="K51">
        <v>0</v>
      </c>
      <c r="L51" t="str">
        <f t="shared" si="0"/>
        <v>C050</v>
      </c>
      <c r="M51" t="str">
        <f t="shared" si="1"/>
        <v>Female</v>
      </c>
      <c r="N51" t="str">
        <f t="shared" si="2"/>
        <v>Bachelor's Type 1</v>
      </c>
      <c r="O51" t="str">
        <f t="shared" si="3"/>
        <v>Senior Level</v>
      </c>
      <c r="P51" t="str">
        <f t="shared" si="4"/>
        <v>Average</v>
      </c>
      <c r="Q51" t="str">
        <f t="shared" si="5"/>
        <v>Advanced</v>
      </c>
      <c r="R51" t="str">
        <f t="shared" si="6"/>
        <v>Needs Improvement</v>
      </c>
      <c r="S51" t="str">
        <f t="shared" si="7"/>
        <v>Not Hired</v>
      </c>
      <c r="T51">
        <f t="shared" si="8"/>
        <v>63</v>
      </c>
      <c r="U51" t="str">
        <f t="shared" si="9"/>
        <v>Developing</v>
      </c>
      <c r="V51" t="str">
        <f t="shared" si="10"/>
        <v>Technical Skills</v>
      </c>
      <c r="W51" t="str">
        <f t="shared" si="11"/>
        <v>Personality &amp; Communication</v>
      </c>
      <c r="X51" t="str">
        <f t="shared" si="12"/>
        <v>Work on communication and personality development</v>
      </c>
    </row>
    <row r="52" spans="1:24" x14ac:dyDescent="0.3">
      <c r="A52">
        <v>38</v>
      </c>
      <c r="B52">
        <v>0</v>
      </c>
      <c r="C52">
        <v>2</v>
      </c>
      <c r="D52">
        <v>2</v>
      </c>
      <c r="E52">
        <v>1</v>
      </c>
      <c r="F52">
        <v>25.360600346095602</v>
      </c>
      <c r="G52">
        <v>15</v>
      </c>
      <c r="H52">
        <v>25</v>
      </c>
      <c r="I52">
        <v>92</v>
      </c>
      <c r="J52">
        <v>2</v>
      </c>
      <c r="K52">
        <v>0</v>
      </c>
      <c r="L52" t="str">
        <f t="shared" si="0"/>
        <v>C051</v>
      </c>
      <c r="M52" t="str">
        <f t="shared" si="1"/>
        <v>Male</v>
      </c>
      <c r="N52" t="str">
        <f t="shared" si="2"/>
        <v>Bachelor's Type 2</v>
      </c>
      <c r="O52" t="str">
        <f t="shared" si="3"/>
        <v>Entry Level</v>
      </c>
      <c r="P52" t="str">
        <f t="shared" si="4"/>
        <v>Low</v>
      </c>
      <c r="Q52" t="str">
        <f t="shared" si="5"/>
        <v>Beginner</v>
      </c>
      <c r="R52" t="str">
        <f t="shared" si="6"/>
        <v>Strong</v>
      </c>
      <c r="S52" t="str">
        <f t="shared" si="7"/>
        <v>Not Hired</v>
      </c>
      <c r="T52">
        <f t="shared" si="8"/>
        <v>35</v>
      </c>
      <c r="U52" t="str">
        <f t="shared" si="9"/>
        <v>Needs Improvement</v>
      </c>
      <c r="V52" t="str">
        <f t="shared" si="10"/>
        <v>Personality</v>
      </c>
      <c r="W52" t="str">
        <f t="shared" si="11"/>
        <v>Interview Preparation</v>
      </c>
      <c r="X52" t="str">
        <f t="shared" si="12"/>
        <v>Improve interview preparation and communication</v>
      </c>
    </row>
    <row r="53" spans="1:24" x14ac:dyDescent="0.3">
      <c r="A53">
        <v>31</v>
      </c>
      <c r="B53">
        <v>1</v>
      </c>
      <c r="C53">
        <v>2</v>
      </c>
      <c r="D53">
        <v>15</v>
      </c>
      <c r="E53">
        <v>3</v>
      </c>
      <c r="F53">
        <v>2.2382438788075598</v>
      </c>
      <c r="G53">
        <v>38</v>
      </c>
      <c r="H53">
        <v>40</v>
      </c>
      <c r="I53">
        <v>23</v>
      </c>
      <c r="J53">
        <v>2</v>
      </c>
      <c r="K53">
        <v>0</v>
      </c>
      <c r="L53" t="str">
        <f t="shared" si="0"/>
        <v>C052</v>
      </c>
      <c r="M53" t="str">
        <f t="shared" si="1"/>
        <v>Female</v>
      </c>
      <c r="N53" t="str">
        <f t="shared" si="2"/>
        <v>Bachelor's Type 2</v>
      </c>
      <c r="O53" t="str">
        <f t="shared" si="3"/>
        <v>Senior Level</v>
      </c>
      <c r="P53" t="str">
        <f t="shared" si="4"/>
        <v>Low</v>
      </c>
      <c r="Q53" t="str">
        <f t="shared" si="5"/>
        <v>Beginner</v>
      </c>
      <c r="R53" t="str">
        <f t="shared" si="6"/>
        <v>Needs Improvement</v>
      </c>
      <c r="S53" t="str">
        <f t="shared" si="7"/>
        <v>Not Hired</v>
      </c>
      <c r="T53">
        <f t="shared" si="8"/>
        <v>46</v>
      </c>
      <c r="U53" t="str">
        <f t="shared" si="9"/>
        <v>Needs Improvement</v>
      </c>
      <c r="V53" t="str">
        <f t="shared" si="10"/>
        <v>Technical Skills</v>
      </c>
      <c r="W53" t="str">
        <f t="shared" si="11"/>
        <v>Personality &amp; Communication</v>
      </c>
      <c r="X53" t="str">
        <f t="shared" si="12"/>
        <v>Work on communication and personality development</v>
      </c>
    </row>
    <row r="54" spans="1:24" x14ac:dyDescent="0.3">
      <c r="A54">
        <v>42</v>
      </c>
      <c r="B54">
        <v>0</v>
      </c>
      <c r="C54">
        <v>2</v>
      </c>
      <c r="D54">
        <v>1</v>
      </c>
      <c r="E54">
        <v>5</v>
      </c>
      <c r="F54">
        <v>13.4409513509965</v>
      </c>
      <c r="G54">
        <v>76</v>
      </c>
      <c r="H54">
        <v>98</v>
      </c>
      <c r="I54">
        <v>47</v>
      </c>
      <c r="J54">
        <v>3</v>
      </c>
      <c r="K54">
        <v>0</v>
      </c>
      <c r="L54" t="str">
        <f t="shared" si="0"/>
        <v>C053</v>
      </c>
      <c r="M54" t="str">
        <f t="shared" si="1"/>
        <v>Male</v>
      </c>
      <c r="N54" t="str">
        <f t="shared" si="2"/>
        <v>Bachelor's Type 2</v>
      </c>
      <c r="O54" t="str">
        <f t="shared" si="3"/>
        <v>Entry Level</v>
      </c>
      <c r="P54" t="str">
        <f t="shared" si="4"/>
        <v>Strong</v>
      </c>
      <c r="Q54" t="str">
        <f t="shared" si="5"/>
        <v>Advanced</v>
      </c>
      <c r="R54" t="str">
        <f t="shared" si="6"/>
        <v>Needs Improvement</v>
      </c>
      <c r="S54" t="str">
        <f t="shared" si="7"/>
        <v>Not Hired</v>
      </c>
      <c r="T54">
        <f t="shared" si="8"/>
        <v>65</v>
      </c>
      <c r="U54" t="str">
        <f t="shared" si="9"/>
        <v>Developing</v>
      </c>
      <c r="V54" t="str">
        <f t="shared" si="10"/>
        <v>Technical Skills</v>
      </c>
      <c r="W54" t="str">
        <f t="shared" si="11"/>
        <v>Personality &amp; Communication</v>
      </c>
      <c r="X54" t="str">
        <f t="shared" si="12"/>
        <v>Work on communication and personality development</v>
      </c>
    </row>
    <row r="55" spans="1:24" x14ac:dyDescent="0.3">
      <c r="A55">
        <v>39</v>
      </c>
      <c r="B55">
        <v>1</v>
      </c>
      <c r="C55">
        <v>2</v>
      </c>
      <c r="D55">
        <v>11</v>
      </c>
      <c r="E55">
        <v>1</v>
      </c>
      <c r="F55">
        <v>21.394480425364002</v>
      </c>
      <c r="G55">
        <v>36</v>
      </c>
      <c r="H55">
        <v>37</v>
      </c>
      <c r="I55">
        <v>62</v>
      </c>
      <c r="J55">
        <v>1</v>
      </c>
      <c r="K55">
        <v>1</v>
      </c>
      <c r="L55" t="str">
        <f t="shared" si="0"/>
        <v>C054</v>
      </c>
      <c r="M55" t="str">
        <f t="shared" si="1"/>
        <v>Female</v>
      </c>
      <c r="N55" t="str">
        <f t="shared" si="2"/>
        <v>Bachelor's Type 2</v>
      </c>
      <c r="O55" t="str">
        <f t="shared" si="3"/>
        <v>Senior Level</v>
      </c>
      <c r="P55" t="str">
        <f t="shared" si="4"/>
        <v>Low</v>
      </c>
      <c r="Q55" t="str">
        <f t="shared" si="5"/>
        <v>Beginner</v>
      </c>
      <c r="R55" t="str">
        <f t="shared" si="6"/>
        <v>Good</v>
      </c>
      <c r="S55" t="str">
        <f t="shared" si="7"/>
        <v>Hired</v>
      </c>
      <c r="T55">
        <f t="shared" si="8"/>
        <v>48</v>
      </c>
      <c r="U55" t="str">
        <f t="shared" si="9"/>
        <v>Needs Improvement</v>
      </c>
      <c r="V55" t="str">
        <f t="shared" si="10"/>
        <v>Personality</v>
      </c>
      <c r="W55" t="str">
        <f t="shared" si="11"/>
        <v>Interview Preparation</v>
      </c>
      <c r="X55" t="str">
        <f t="shared" si="12"/>
        <v>Improve interview preparation and communication</v>
      </c>
    </row>
    <row r="56" spans="1:24" x14ac:dyDescent="0.3">
      <c r="A56">
        <v>44</v>
      </c>
      <c r="B56">
        <v>0</v>
      </c>
      <c r="C56">
        <v>2</v>
      </c>
      <c r="D56">
        <v>7</v>
      </c>
      <c r="E56">
        <v>1</v>
      </c>
      <c r="F56">
        <v>14.9818159246603</v>
      </c>
      <c r="G56">
        <v>80</v>
      </c>
      <c r="H56">
        <v>87</v>
      </c>
      <c r="I56">
        <v>68</v>
      </c>
      <c r="J56">
        <v>2</v>
      </c>
      <c r="K56">
        <v>1</v>
      </c>
      <c r="L56" t="str">
        <f t="shared" si="0"/>
        <v>C055</v>
      </c>
      <c r="M56" t="str">
        <f t="shared" si="1"/>
        <v>Male</v>
      </c>
      <c r="N56" t="str">
        <f t="shared" si="2"/>
        <v>Bachelor's Type 2</v>
      </c>
      <c r="O56" t="str">
        <f t="shared" si="3"/>
        <v>Senior Level</v>
      </c>
      <c r="P56" t="str">
        <f t="shared" si="4"/>
        <v>Strong</v>
      </c>
      <c r="Q56" t="str">
        <f t="shared" si="5"/>
        <v>Advanced</v>
      </c>
      <c r="R56" t="str">
        <f t="shared" si="6"/>
        <v>Good</v>
      </c>
      <c r="S56" t="str">
        <f t="shared" si="7"/>
        <v>Hired</v>
      </c>
      <c r="T56">
        <f t="shared" si="8"/>
        <v>73</v>
      </c>
      <c r="U56" t="str">
        <f t="shared" si="9"/>
        <v>Developing</v>
      </c>
      <c r="V56" t="str">
        <f t="shared" si="10"/>
        <v>Technical Skills</v>
      </c>
      <c r="W56" t="str">
        <f t="shared" si="11"/>
        <v>Personality &amp; Communication</v>
      </c>
      <c r="X56" t="str">
        <f t="shared" si="12"/>
        <v>Work on communication and personality development</v>
      </c>
    </row>
    <row r="57" spans="1:24" x14ac:dyDescent="0.3">
      <c r="A57">
        <v>22</v>
      </c>
      <c r="B57">
        <v>1</v>
      </c>
      <c r="C57">
        <v>2</v>
      </c>
      <c r="D57">
        <v>9</v>
      </c>
      <c r="E57">
        <v>2</v>
      </c>
      <c r="F57">
        <v>7.8185163733782899</v>
      </c>
      <c r="G57">
        <v>20</v>
      </c>
      <c r="H57">
        <v>10</v>
      </c>
      <c r="I57">
        <v>52</v>
      </c>
      <c r="J57">
        <v>2</v>
      </c>
      <c r="K57">
        <v>0</v>
      </c>
      <c r="L57" t="str">
        <f t="shared" si="0"/>
        <v>C056</v>
      </c>
      <c r="M57" t="str">
        <f t="shared" si="1"/>
        <v>Female</v>
      </c>
      <c r="N57" t="str">
        <f t="shared" si="2"/>
        <v>Bachelor's Type 2</v>
      </c>
      <c r="O57" t="str">
        <f t="shared" si="3"/>
        <v>Senior Level</v>
      </c>
      <c r="P57" t="str">
        <f t="shared" si="4"/>
        <v>Low</v>
      </c>
      <c r="Q57" t="str">
        <f t="shared" si="5"/>
        <v>Beginner</v>
      </c>
      <c r="R57" t="str">
        <f t="shared" si="6"/>
        <v>Good</v>
      </c>
      <c r="S57" t="str">
        <f t="shared" si="7"/>
        <v>Not Hired</v>
      </c>
      <c r="T57">
        <f t="shared" si="8"/>
        <v>31</v>
      </c>
      <c r="U57" t="str">
        <f t="shared" si="9"/>
        <v>Needs Improvement</v>
      </c>
      <c r="V57" t="str">
        <f t="shared" si="10"/>
        <v>Personality</v>
      </c>
      <c r="W57" t="str">
        <f t="shared" si="11"/>
        <v>Technical Skills</v>
      </c>
      <c r="X57" t="str">
        <f t="shared" si="12"/>
        <v>Strengthen technical skills and practical knowledge</v>
      </c>
    </row>
    <row r="58" spans="1:24" x14ac:dyDescent="0.3">
      <c r="A58">
        <v>24</v>
      </c>
      <c r="B58">
        <v>0</v>
      </c>
      <c r="C58">
        <v>1</v>
      </c>
      <c r="D58">
        <v>5</v>
      </c>
      <c r="E58">
        <v>5</v>
      </c>
      <c r="F58">
        <v>37.4006128898098</v>
      </c>
      <c r="G58">
        <v>43</v>
      </c>
      <c r="H58">
        <v>28</v>
      </c>
      <c r="I58">
        <v>53</v>
      </c>
      <c r="J58">
        <v>2</v>
      </c>
      <c r="K58">
        <v>0</v>
      </c>
      <c r="L58" t="str">
        <f t="shared" si="0"/>
        <v>C057</v>
      </c>
      <c r="M58" t="str">
        <f t="shared" si="1"/>
        <v>Male</v>
      </c>
      <c r="N58" t="str">
        <f t="shared" si="2"/>
        <v>Bachelor's Type 1</v>
      </c>
      <c r="O58" t="str">
        <f t="shared" si="3"/>
        <v>Mid Level</v>
      </c>
      <c r="P58" t="str">
        <f t="shared" si="4"/>
        <v>Low</v>
      </c>
      <c r="Q58" t="str">
        <f t="shared" si="5"/>
        <v>Beginner</v>
      </c>
      <c r="R58" t="str">
        <f t="shared" si="6"/>
        <v>Good</v>
      </c>
      <c r="S58" t="str">
        <f t="shared" si="7"/>
        <v>Not Hired</v>
      </c>
      <c r="T58">
        <f t="shared" si="8"/>
        <v>39</v>
      </c>
      <c r="U58" t="str">
        <f t="shared" si="9"/>
        <v>Needs Improvement</v>
      </c>
      <c r="V58" t="str">
        <f t="shared" si="10"/>
        <v>Personality</v>
      </c>
      <c r="W58" t="str">
        <f t="shared" si="11"/>
        <v>Technical Skills</v>
      </c>
      <c r="X58" t="str">
        <f t="shared" si="12"/>
        <v>Strengthen technical skills and practical knowledge</v>
      </c>
    </row>
    <row r="59" spans="1:24" x14ac:dyDescent="0.3">
      <c r="A59">
        <v>38</v>
      </c>
      <c r="B59">
        <v>0</v>
      </c>
      <c r="C59">
        <v>1</v>
      </c>
      <c r="D59">
        <v>5</v>
      </c>
      <c r="E59">
        <v>1</v>
      </c>
      <c r="F59">
        <v>41.657382758399201</v>
      </c>
      <c r="G59">
        <v>18</v>
      </c>
      <c r="H59">
        <v>59</v>
      </c>
      <c r="I59">
        <v>41</v>
      </c>
      <c r="J59">
        <v>2</v>
      </c>
      <c r="K59">
        <v>0</v>
      </c>
      <c r="L59" t="str">
        <f t="shared" si="0"/>
        <v>C058</v>
      </c>
      <c r="M59" t="str">
        <f t="shared" si="1"/>
        <v>Male</v>
      </c>
      <c r="N59" t="str">
        <f t="shared" si="2"/>
        <v>Bachelor's Type 1</v>
      </c>
      <c r="O59" t="str">
        <f t="shared" si="3"/>
        <v>Mid Level</v>
      </c>
      <c r="P59" t="str">
        <f t="shared" si="4"/>
        <v>Low</v>
      </c>
      <c r="Q59" t="str">
        <f t="shared" si="5"/>
        <v>Intermediate</v>
      </c>
      <c r="R59" t="str">
        <f t="shared" si="6"/>
        <v>Needs Improvement</v>
      </c>
      <c r="S59" t="str">
        <f t="shared" si="7"/>
        <v>Not Hired</v>
      </c>
      <c r="T59">
        <f t="shared" si="8"/>
        <v>39</v>
      </c>
      <c r="U59" t="str">
        <f t="shared" si="9"/>
        <v>Needs Improvement</v>
      </c>
      <c r="V59" t="str">
        <f t="shared" si="10"/>
        <v>Technical Skills</v>
      </c>
      <c r="W59" t="str">
        <f t="shared" si="11"/>
        <v>Interview Preparation</v>
      </c>
      <c r="X59" t="str">
        <f t="shared" si="12"/>
        <v>Improve interview preparation and communication</v>
      </c>
    </row>
    <row r="60" spans="1:24" x14ac:dyDescent="0.3">
      <c r="A60">
        <v>26</v>
      </c>
      <c r="B60">
        <v>1</v>
      </c>
      <c r="C60">
        <v>2</v>
      </c>
      <c r="D60">
        <v>9</v>
      </c>
      <c r="E60">
        <v>1</v>
      </c>
      <c r="F60">
        <v>13.873948807186199</v>
      </c>
      <c r="G60">
        <v>70</v>
      </c>
      <c r="H60">
        <v>66</v>
      </c>
      <c r="I60">
        <v>44</v>
      </c>
      <c r="J60">
        <v>3</v>
      </c>
      <c r="K60">
        <v>0</v>
      </c>
      <c r="L60" t="str">
        <f t="shared" si="0"/>
        <v>C059</v>
      </c>
      <c r="M60" t="str">
        <f t="shared" si="1"/>
        <v>Female</v>
      </c>
      <c r="N60" t="str">
        <f t="shared" si="2"/>
        <v>Bachelor's Type 2</v>
      </c>
      <c r="O60" t="str">
        <f t="shared" si="3"/>
        <v>Senior Level</v>
      </c>
      <c r="P60" t="str">
        <f t="shared" si="4"/>
        <v>Average</v>
      </c>
      <c r="Q60" t="str">
        <f t="shared" si="5"/>
        <v>Intermediate</v>
      </c>
      <c r="R60" t="str">
        <f t="shared" si="6"/>
        <v>Needs Improvement</v>
      </c>
      <c r="S60" t="str">
        <f t="shared" si="7"/>
        <v>Not Hired</v>
      </c>
      <c r="T60">
        <f t="shared" si="8"/>
        <v>61</v>
      </c>
      <c r="U60" t="str">
        <f t="shared" si="9"/>
        <v>Developing</v>
      </c>
      <c r="V60" t="str">
        <f t="shared" si="10"/>
        <v>Interview</v>
      </c>
      <c r="W60" t="str">
        <f t="shared" si="11"/>
        <v>Personality &amp; Communication</v>
      </c>
      <c r="X60" t="str">
        <f t="shared" si="12"/>
        <v>Work on communication and personality development</v>
      </c>
    </row>
    <row r="61" spans="1:24" x14ac:dyDescent="0.3">
      <c r="A61">
        <v>40</v>
      </c>
      <c r="B61">
        <v>1</v>
      </c>
      <c r="C61">
        <v>2</v>
      </c>
      <c r="D61">
        <v>10</v>
      </c>
      <c r="E61">
        <v>5</v>
      </c>
      <c r="F61">
        <v>39.720974730315099</v>
      </c>
      <c r="G61">
        <v>7</v>
      </c>
      <c r="H61">
        <v>64</v>
      </c>
      <c r="I61">
        <v>89</v>
      </c>
      <c r="J61">
        <v>1</v>
      </c>
      <c r="K61">
        <v>1</v>
      </c>
      <c r="L61" t="str">
        <f t="shared" si="0"/>
        <v>C060</v>
      </c>
      <c r="M61" t="str">
        <f t="shared" si="1"/>
        <v>Female</v>
      </c>
      <c r="N61" t="str">
        <f t="shared" si="2"/>
        <v>Bachelor's Type 2</v>
      </c>
      <c r="O61" t="str">
        <f t="shared" si="3"/>
        <v>Senior Level</v>
      </c>
      <c r="P61" t="str">
        <f t="shared" si="4"/>
        <v>Low</v>
      </c>
      <c r="Q61" t="str">
        <f t="shared" si="5"/>
        <v>Intermediate</v>
      </c>
      <c r="R61" t="str">
        <f t="shared" si="6"/>
        <v>Strong</v>
      </c>
      <c r="S61" t="str">
        <f t="shared" si="7"/>
        <v>Hired</v>
      </c>
      <c r="T61">
        <f t="shared" si="8"/>
        <v>52</v>
      </c>
      <c r="U61" t="str">
        <f t="shared" si="9"/>
        <v>Developing</v>
      </c>
      <c r="V61" t="str">
        <f t="shared" si="10"/>
        <v>Personality</v>
      </c>
      <c r="W61" t="str">
        <f t="shared" si="11"/>
        <v>Interview Preparation</v>
      </c>
      <c r="X61" t="str">
        <f t="shared" si="12"/>
        <v>Improve interview preparation and communication</v>
      </c>
    </row>
    <row r="62" spans="1:24" x14ac:dyDescent="0.3">
      <c r="A62">
        <v>28</v>
      </c>
      <c r="B62">
        <v>0</v>
      </c>
      <c r="C62">
        <v>2</v>
      </c>
      <c r="D62">
        <v>6</v>
      </c>
      <c r="E62">
        <v>3</v>
      </c>
      <c r="F62">
        <v>20.277678220065599</v>
      </c>
      <c r="G62">
        <v>76</v>
      </c>
      <c r="H62">
        <v>60</v>
      </c>
      <c r="I62">
        <v>13</v>
      </c>
      <c r="J62">
        <v>1</v>
      </c>
      <c r="K62">
        <v>1</v>
      </c>
      <c r="L62" t="str">
        <f t="shared" si="0"/>
        <v>C061</v>
      </c>
      <c r="M62" t="str">
        <f t="shared" si="1"/>
        <v>Male</v>
      </c>
      <c r="N62" t="str">
        <f t="shared" si="2"/>
        <v>Bachelor's Type 2</v>
      </c>
      <c r="O62" t="str">
        <f t="shared" si="3"/>
        <v>Mid Level</v>
      </c>
      <c r="P62" t="str">
        <f t="shared" si="4"/>
        <v>Strong</v>
      </c>
      <c r="Q62" t="str">
        <f t="shared" si="5"/>
        <v>Intermediate</v>
      </c>
      <c r="R62" t="str">
        <f t="shared" si="6"/>
        <v>Needs Improvement</v>
      </c>
      <c r="S62" t="str">
        <f t="shared" si="7"/>
        <v>Hired</v>
      </c>
      <c r="T62">
        <f t="shared" si="8"/>
        <v>52</v>
      </c>
      <c r="U62" t="str">
        <f t="shared" si="9"/>
        <v>Developing</v>
      </c>
      <c r="V62" t="str">
        <f t="shared" si="10"/>
        <v>Interview</v>
      </c>
      <c r="W62" t="str">
        <f t="shared" si="11"/>
        <v>Personality &amp; Communication</v>
      </c>
      <c r="X62" t="str">
        <f t="shared" si="12"/>
        <v>Work on communication and personality development</v>
      </c>
    </row>
    <row r="63" spans="1:24" x14ac:dyDescent="0.3">
      <c r="A63">
        <v>26</v>
      </c>
      <c r="B63">
        <v>1</v>
      </c>
      <c r="C63">
        <v>2</v>
      </c>
      <c r="D63">
        <v>6</v>
      </c>
      <c r="E63">
        <v>5</v>
      </c>
      <c r="F63">
        <v>26.334289542700098</v>
      </c>
      <c r="G63">
        <v>100</v>
      </c>
      <c r="H63">
        <v>18</v>
      </c>
      <c r="I63">
        <v>28</v>
      </c>
      <c r="J63">
        <v>1</v>
      </c>
      <c r="K63">
        <v>1</v>
      </c>
      <c r="L63" t="str">
        <f t="shared" si="0"/>
        <v>C062</v>
      </c>
      <c r="M63" t="str">
        <f t="shared" si="1"/>
        <v>Female</v>
      </c>
      <c r="N63" t="str">
        <f t="shared" si="2"/>
        <v>Bachelor's Type 2</v>
      </c>
      <c r="O63" t="str">
        <f t="shared" si="3"/>
        <v>Mid Level</v>
      </c>
      <c r="P63" t="str">
        <f t="shared" si="4"/>
        <v>Strong</v>
      </c>
      <c r="Q63" t="str">
        <f t="shared" si="5"/>
        <v>Beginner</v>
      </c>
      <c r="R63" t="str">
        <f t="shared" si="6"/>
        <v>Needs Improvement</v>
      </c>
      <c r="S63" t="str">
        <f t="shared" si="7"/>
        <v>Hired</v>
      </c>
      <c r="T63">
        <f t="shared" si="8"/>
        <v>50</v>
      </c>
      <c r="U63" t="str">
        <f t="shared" si="9"/>
        <v>Developing</v>
      </c>
      <c r="V63" t="str">
        <f t="shared" si="10"/>
        <v>Interview</v>
      </c>
      <c r="W63" t="str">
        <f t="shared" si="11"/>
        <v>Technical Skills</v>
      </c>
      <c r="X63" t="str">
        <f t="shared" si="12"/>
        <v>Strengthen technical skills and practical knowledge</v>
      </c>
    </row>
    <row r="64" spans="1:24" x14ac:dyDescent="0.3">
      <c r="A64">
        <v>37</v>
      </c>
      <c r="B64">
        <v>0</v>
      </c>
      <c r="C64">
        <v>2</v>
      </c>
      <c r="D64">
        <v>10</v>
      </c>
      <c r="E64">
        <v>5</v>
      </c>
      <c r="F64">
        <v>43.800053744657603</v>
      </c>
      <c r="G64">
        <v>65</v>
      </c>
      <c r="H64">
        <v>45</v>
      </c>
      <c r="I64">
        <v>5</v>
      </c>
      <c r="J64">
        <v>3</v>
      </c>
      <c r="K64">
        <v>0</v>
      </c>
      <c r="L64" t="str">
        <f t="shared" si="0"/>
        <v>C063</v>
      </c>
      <c r="M64" t="str">
        <f t="shared" si="1"/>
        <v>Male</v>
      </c>
      <c r="N64" t="str">
        <f t="shared" si="2"/>
        <v>Bachelor's Type 2</v>
      </c>
      <c r="O64" t="str">
        <f t="shared" si="3"/>
        <v>Senior Level</v>
      </c>
      <c r="P64" t="str">
        <f t="shared" si="4"/>
        <v>Average</v>
      </c>
      <c r="Q64" t="str">
        <f t="shared" si="5"/>
        <v>Beginner</v>
      </c>
      <c r="R64" t="str">
        <f t="shared" si="6"/>
        <v>Needs Improvement</v>
      </c>
      <c r="S64" t="str">
        <f t="shared" si="7"/>
        <v>Not Hired</v>
      </c>
      <c r="T64">
        <f t="shared" si="8"/>
        <v>47</v>
      </c>
      <c r="U64" t="str">
        <f t="shared" si="9"/>
        <v>Needs Improvement</v>
      </c>
      <c r="V64" t="str">
        <f t="shared" si="10"/>
        <v>Interview</v>
      </c>
      <c r="W64" t="str">
        <f t="shared" si="11"/>
        <v>Personality &amp; Communication</v>
      </c>
      <c r="X64" t="str">
        <f t="shared" si="12"/>
        <v>Work on communication and personality development</v>
      </c>
    </row>
    <row r="65" spans="1:24" x14ac:dyDescent="0.3">
      <c r="A65">
        <v>23</v>
      </c>
      <c r="B65">
        <v>0</v>
      </c>
      <c r="C65">
        <v>3</v>
      </c>
      <c r="D65">
        <v>12</v>
      </c>
      <c r="E65">
        <v>3</v>
      </c>
      <c r="F65">
        <v>38.497684090120302</v>
      </c>
      <c r="G65">
        <v>40</v>
      </c>
      <c r="H65">
        <v>48</v>
      </c>
      <c r="I65">
        <v>6</v>
      </c>
      <c r="J65">
        <v>2</v>
      </c>
      <c r="K65">
        <v>0</v>
      </c>
      <c r="L65" t="str">
        <f t="shared" si="0"/>
        <v>C064</v>
      </c>
      <c r="M65" t="str">
        <f t="shared" si="1"/>
        <v>Male</v>
      </c>
      <c r="N65" t="str">
        <f t="shared" si="2"/>
        <v>Master's</v>
      </c>
      <c r="O65" t="str">
        <f t="shared" si="3"/>
        <v>Senior Level</v>
      </c>
      <c r="P65" t="str">
        <f t="shared" si="4"/>
        <v>Low</v>
      </c>
      <c r="Q65" t="str">
        <f t="shared" si="5"/>
        <v>Beginner</v>
      </c>
      <c r="R65" t="str">
        <f t="shared" si="6"/>
        <v>Needs Improvement</v>
      </c>
      <c r="S65" t="str">
        <f t="shared" si="7"/>
        <v>Not Hired</v>
      </c>
      <c r="T65">
        <f t="shared" si="8"/>
        <v>43</v>
      </c>
      <c r="U65" t="str">
        <f t="shared" si="9"/>
        <v>Needs Improvement</v>
      </c>
      <c r="V65" t="str">
        <f t="shared" si="10"/>
        <v>Technical Skills</v>
      </c>
      <c r="W65" t="str">
        <f t="shared" si="11"/>
        <v>Personality &amp; Communication</v>
      </c>
      <c r="X65" t="str">
        <f t="shared" si="12"/>
        <v>Work on communication and personality development</v>
      </c>
    </row>
    <row r="66" spans="1:24" x14ac:dyDescent="0.3">
      <c r="A66">
        <v>44</v>
      </c>
      <c r="B66">
        <v>0</v>
      </c>
      <c r="C66">
        <v>1</v>
      </c>
      <c r="D66">
        <v>14</v>
      </c>
      <c r="E66">
        <v>5</v>
      </c>
      <c r="F66">
        <v>41.255842565808798</v>
      </c>
      <c r="G66">
        <v>74</v>
      </c>
      <c r="H66">
        <v>21</v>
      </c>
      <c r="I66">
        <v>36</v>
      </c>
      <c r="J66">
        <v>2</v>
      </c>
      <c r="K66">
        <v>0</v>
      </c>
      <c r="L66" t="str">
        <f t="shared" si="0"/>
        <v>C065</v>
      </c>
      <c r="M66" t="str">
        <f t="shared" si="1"/>
        <v>Male</v>
      </c>
      <c r="N66" t="str">
        <f t="shared" si="2"/>
        <v>Bachelor's Type 1</v>
      </c>
      <c r="O66" t="str">
        <f t="shared" si="3"/>
        <v>Senior Level</v>
      </c>
      <c r="P66" t="str">
        <f t="shared" si="4"/>
        <v>Average</v>
      </c>
      <c r="Q66" t="str">
        <f t="shared" si="5"/>
        <v>Beginner</v>
      </c>
      <c r="R66" t="str">
        <f t="shared" si="6"/>
        <v>Needs Improvement</v>
      </c>
      <c r="S66" t="str">
        <f t="shared" si="7"/>
        <v>Not Hired</v>
      </c>
      <c r="T66">
        <f t="shared" si="8"/>
        <v>52</v>
      </c>
      <c r="U66" t="str">
        <f t="shared" si="9"/>
        <v>Developing</v>
      </c>
      <c r="V66" t="str">
        <f t="shared" si="10"/>
        <v>Interview</v>
      </c>
      <c r="W66" t="str">
        <f t="shared" si="11"/>
        <v>Technical Skills</v>
      </c>
      <c r="X66" t="str">
        <f t="shared" si="12"/>
        <v>Strengthen technical skills and practical knowledge</v>
      </c>
    </row>
    <row r="67" spans="1:24" x14ac:dyDescent="0.3">
      <c r="A67">
        <v>47</v>
      </c>
      <c r="B67">
        <v>1</v>
      </c>
      <c r="C67">
        <v>2</v>
      </c>
      <c r="D67">
        <v>5</v>
      </c>
      <c r="E67">
        <v>1</v>
      </c>
      <c r="F67">
        <v>7.8422583293178398</v>
      </c>
      <c r="G67">
        <v>87</v>
      </c>
      <c r="H67">
        <v>77</v>
      </c>
      <c r="I67">
        <v>52</v>
      </c>
      <c r="J67">
        <v>1</v>
      </c>
      <c r="K67">
        <v>1</v>
      </c>
      <c r="L67" t="str">
        <f t="shared" ref="L67:L130" si="13">"C"&amp;TEXT(ROW()-1,"000")</f>
        <v>C066</v>
      </c>
      <c r="M67" t="str">
        <f t="shared" ref="M67:M130" si="14">IF(B67=0,"Male","Female")</f>
        <v>Female</v>
      </c>
      <c r="N67" t="str">
        <f t="shared" ref="N67:N130" si="15">IF(C67=1,"Bachelor's Type 1",IF(C67=2,"Bachelor's Type 2",IF(C67=3,"Master's","PhD")))</f>
        <v>Bachelor's Type 2</v>
      </c>
      <c r="O67" t="str">
        <f t="shared" ref="O67:O130" si="16">IF(D67&lt;=2,"Entry Level",IF(D67&lt;=6,"Mid Level","Senior Level"))</f>
        <v>Mid Level</v>
      </c>
      <c r="P67" t="str">
        <f t="shared" ref="P67:P130" si="17">IF(G67&lt;50,"Low",IF(G67&lt;75,"Average","Strong"))</f>
        <v>Strong</v>
      </c>
      <c r="Q67" t="str">
        <f t="shared" ref="Q67:Q130" si="18">IF(H67&lt;50,"Beginner",IF(H67&lt;75,"Intermediate","Advanced"))</f>
        <v>Advanced</v>
      </c>
      <c r="R67" t="str">
        <f t="shared" ref="R67:R130" si="19">IF(I67&lt;50,"Needs Improvement",IF(I67&lt;75,"Good","Strong"))</f>
        <v>Good</v>
      </c>
      <c r="S67" t="str">
        <f t="shared" ref="S67:S130" si="20">IF(K67=1,"Hired","Not Hired")</f>
        <v>Hired</v>
      </c>
      <c r="T67">
        <f t="shared" ref="T67:T130" si="21">ROUND((G67*30%)+(H67*30%)+(I67*20%)+((D67/15)*100*15%)+(IF(C67&lt;=2,50,IF(C67=3,75,100))*5%),0)</f>
        <v>67</v>
      </c>
      <c r="U67" t="str">
        <f t="shared" ref="U67:U130" si="22">IF(T67&lt;50,"Needs Improvement",IF(T67&lt;75,"Developing","Job Ready"))</f>
        <v>Developing</v>
      </c>
      <c r="V67" t="str">
        <f t="shared" ref="V67:V130" si="23">IF(AND(G67&gt;=H67,G67&gt;=I67),"Interview",IF(H67&gt;=I67,"Technical Skills","Personality"))</f>
        <v>Interview</v>
      </c>
      <c r="W67" t="str">
        <f t="shared" ref="W67:W130" si="24">IF(AND(G67&lt;=H67,G67&lt;=I67),"Interview Preparation",IF(H67&lt;=I67,"Technical Skills","Personality &amp; Communication"))</f>
        <v>Personality &amp; Communication</v>
      </c>
      <c r="X67" t="str">
        <f t="shared" ref="X67:X130" si="25">IF(W67="Interview Preparation","Improve interview preparation and communication",IF(W67="Technical Skills","Strengthen technical skills and practical knowledge","Work on communication and personality development"))</f>
        <v>Work on communication and personality development</v>
      </c>
    </row>
    <row r="68" spans="1:24" x14ac:dyDescent="0.3">
      <c r="A68">
        <v>33</v>
      </c>
      <c r="B68">
        <v>0</v>
      </c>
      <c r="C68">
        <v>3</v>
      </c>
      <c r="D68">
        <v>3</v>
      </c>
      <c r="E68">
        <v>5</v>
      </c>
      <c r="F68">
        <v>4.4859712916864698</v>
      </c>
      <c r="G68">
        <v>69</v>
      </c>
      <c r="H68">
        <v>56</v>
      </c>
      <c r="I68">
        <v>17</v>
      </c>
      <c r="J68">
        <v>3</v>
      </c>
      <c r="K68">
        <v>0</v>
      </c>
      <c r="L68" t="str">
        <f t="shared" si="13"/>
        <v>C067</v>
      </c>
      <c r="M68" t="str">
        <f t="shared" si="14"/>
        <v>Male</v>
      </c>
      <c r="N68" t="str">
        <f t="shared" si="15"/>
        <v>Master's</v>
      </c>
      <c r="O68" t="str">
        <f t="shared" si="16"/>
        <v>Mid Level</v>
      </c>
      <c r="P68" t="str">
        <f t="shared" si="17"/>
        <v>Average</v>
      </c>
      <c r="Q68" t="str">
        <f t="shared" si="18"/>
        <v>Intermediate</v>
      </c>
      <c r="R68" t="str">
        <f t="shared" si="19"/>
        <v>Needs Improvement</v>
      </c>
      <c r="S68" t="str">
        <f t="shared" si="20"/>
        <v>Not Hired</v>
      </c>
      <c r="T68">
        <f t="shared" si="21"/>
        <v>48</v>
      </c>
      <c r="U68" t="str">
        <f t="shared" si="22"/>
        <v>Needs Improvement</v>
      </c>
      <c r="V68" t="str">
        <f t="shared" si="23"/>
        <v>Interview</v>
      </c>
      <c r="W68" t="str">
        <f t="shared" si="24"/>
        <v>Personality &amp; Communication</v>
      </c>
      <c r="X68" t="str">
        <f t="shared" si="25"/>
        <v>Work on communication and personality development</v>
      </c>
    </row>
    <row r="69" spans="1:24" x14ac:dyDescent="0.3">
      <c r="A69">
        <v>37</v>
      </c>
      <c r="B69">
        <v>0</v>
      </c>
      <c r="C69">
        <v>2</v>
      </c>
      <c r="D69">
        <v>10</v>
      </c>
      <c r="E69">
        <v>3</v>
      </c>
      <c r="F69">
        <v>45.670236454399301</v>
      </c>
      <c r="G69">
        <v>60</v>
      </c>
      <c r="H69">
        <v>13</v>
      </c>
      <c r="I69">
        <v>86</v>
      </c>
      <c r="J69">
        <v>3</v>
      </c>
      <c r="K69">
        <v>0</v>
      </c>
      <c r="L69" t="str">
        <f t="shared" si="13"/>
        <v>C068</v>
      </c>
      <c r="M69" t="str">
        <f t="shared" si="14"/>
        <v>Male</v>
      </c>
      <c r="N69" t="str">
        <f t="shared" si="15"/>
        <v>Bachelor's Type 2</v>
      </c>
      <c r="O69" t="str">
        <f t="shared" si="16"/>
        <v>Senior Level</v>
      </c>
      <c r="P69" t="str">
        <f t="shared" si="17"/>
        <v>Average</v>
      </c>
      <c r="Q69" t="str">
        <f t="shared" si="18"/>
        <v>Beginner</v>
      </c>
      <c r="R69" t="str">
        <f t="shared" si="19"/>
        <v>Strong</v>
      </c>
      <c r="S69" t="str">
        <f t="shared" si="20"/>
        <v>Not Hired</v>
      </c>
      <c r="T69">
        <f t="shared" si="21"/>
        <v>52</v>
      </c>
      <c r="U69" t="str">
        <f t="shared" si="22"/>
        <v>Developing</v>
      </c>
      <c r="V69" t="str">
        <f t="shared" si="23"/>
        <v>Personality</v>
      </c>
      <c r="W69" t="str">
        <f t="shared" si="24"/>
        <v>Technical Skills</v>
      </c>
      <c r="X69" t="str">
        <f t="shared" si="25"/>
        <v>Strengthen technical skills and practical knowledge</v>
      </c>
    </row>
    <row r="70" spans="1:24" x14ac:dyDescent="0.3">
      <c r="A70">
        <v>45</v>
      </c>
      <c r="B70">
        <v>1</v>
      </c>
      <c r="C70">
        <v>2</v>
      </c>
      <c r="D70">
        <v>8</v>
      </c>
      <c r="E70">
        <v>4</v>
      </c>
      <c r="F70">
        <v>20.391713478554699</v>
      </c>
      <c r="G70">
        <v>25</v>
      </c>
      <c r="H70">
        <v>43</v>
      </c>
      <c r="I70">
        <v>37</v>
      </c>
      <c r="J70">
        <v>2</v>
      </c>
      <c r="K70">
        <v>0</v>
      </c>
      <c r="L70" t="str">
        <f t="shared" si="13"/>
        <v>C069</v>
      </c>
      <c r="M70" t="str">
        <f t="shared" si="14"/>
        <v>Female</v>
      </c>
      <c r="N70" t="str">
        <f t="shared" si="15"/>
        <v>Bachelor's Type 2</v>
      </c>
      <c r="O70" t="str">
        <f t="shared" si="16"/>
        <v>Senior Level</v>
      </c>
      <c r="P70" t="str">
        <f t="shared" si="17"/>
        <v>Low</v>
      </c>
      <c r="Q70" t="str">
        <f t="shared" si="18"/>
        <v>Beginner</v>
      </c>
      <c r="R70" t="str">
        <f t="shared" si="19"/>
        <v>Needs Improvement</v>
      </c>
      <c r="S70" t="str">
        <f t="shared" si="20"/>
        <v>Not Hired</v>
      </c>
      <c r="T70">
        <f t="shared" si="21"/>
        <v>38</v>
      </c>
      <c r="U70" t="str">
        <f t="shared" si="22"/>
        <v>Needs Improvement</v>
      </c>
      <c r="V70" t="str">
        <f t="shared" si="23"/>
        <v>Technical Skills</v>
      </c>
      <c r="W70" t="str">
        <f t="shared" si="24"/>
        <v>Interview Preparation</v>
      </c>
      <c r="X70" t="str">
        <f t="shared" si="25"/>
        <v>Improve interview preparation and communication</v>
      </c>
    </row>
    <row r="71" spans="1:24" x14ac:dyDescent="0.3">
      <c r="A71">
        <v>28</v>
      </c>
      <c r="B71">
        <v>1</v>
      </c>
      <c r="C71">
        <v>4</v>
      </c>
      <c r="D71">
        <v>5</v>
      </c>
      <c r="E71">
        <v>5</v>
      </c>
      <c r="F71">
        <v>15.393983903483999</v>
      </c>
      <c r="G71">
        <v>70</v>
      </c>
      <c r="H71">
        <v>15</v>
      </c>
      <c r="I71">
        <v>58</v>
      </c>
      <c r="J71">
        <v>2</v>
      </c>
      <c r="K71">
        <v>0</v>
      </c>
      <c r="L71" t="str">
        <f t="shared" si="13"/>
        <v>C070</v>
      </c>
      <c r="M71" t="str">
        <f t="shared" si="14"/>
        <v>Female</v>
      </c>
      <c r="N71" t="str">
        <f t="shared" si="15"/>
        <v>PhD</v>
      </c>
      <c r="O71" t="str">
        <f t="shared" si="16"/>
        <v>Mid Level</v>
      </c>
      <c r="P71" t="str">
        <f t="shared" si="17"/>
        <v>Average</v>
      </c>
      <c r="Q71" t="str">
        <f t="shared" si="18"/>
        <v>Beginner</v>
      </c>
      <c r="R71" t="str">
        <f t="shared" si="19"/>
        <v>Good</v>
      </c>
      <c r="S71" t="str">
        <f t="shared" si="20"/>
        <v>Not Hired</v>
      </c>
      <c r="T71">
        <f t="shared" si="21"/>
        <v>47</v>
      </c>
      <c r="U71" t="str">
        <f t="shared" si="22"/>
        <v>Needs Improvement</v>
      </c>
      <c r="V71" t="str">
        <f t="shared" si="23"/>
        <v>Interview</v>
      </c>
      <c r="W71" t="str">
        <f t="shared" si="24"/>
        <v>Technical Skills</v>
      </c>
      <c r="X71" t="str">
        <f t="shared" si="25"/>
        <v>Strengthen technical skills and practical knowledge</v>
      </c>
    </row>
    <row r="72" spans="1:24" x14ac:dyDescent="0.3">
      <c r="A72">
        <v>45</v>
      </c>
      <c r="B72">
        <v>1</v>
      </c>
      <c r="C72">
        <v>3</v>
      </c>
      <c r="D72">
        <v>3</v>
      </c>
      <c r="E72">
        <v>2</v>
      </c>
      <c r="F72">
        <v>37.234812713091202</v>
      </c>
      <c r="G72">
        <v>82</v>
      </c>
      <c r="H72">
        <v>96</v>
      </c>
      <c r="I72">
        <v>0</v>
      </c>
      <c r="J72">
        <v>1</v>
      </c>
      <c r="K72">
        <v>1</v>
      </c>
      <c r="L72" t="str">
        <f t="shared" si="13"/>
        <v>C071</v>
      </c>
      <c r="M72" t="str">
        <f t="shared" si="14"/>
        <v>Female</v>
      </c>
      <c r="N72" t="str">
        <f t="shared" si="15"/>
        <v>Master's</v>
      </c>
      <c r="O72" t="str">
        <f t="shared" si="16"/>
        <v>Mid Level</v>
      </c>
      <c r="P72" t="str">
        <f t="shared" si="17"/>
        <v>Strong</v>
      </c>
      <c r="Q72" t="str">
        <f t="shared" si="18"/>
        <v>Advanced</v>
      </c>
      <c r="R72" t="str">
        <f t="shared" si="19"/>
        <v>Needs Improvement</v>
      </c>
      <c r="S72" t="str">
        <f t="shared" si="20"/>
        <v>Hired</v>
      </c>
      <c r="T72">
        <f t="shared" si="21"/>
        <v>60</v>
      </c>
      <c r="U72" t="str">
        <f t="shared" si="22"/>
        <v>Developing</v>
      </c>
      <c r="V72" t="str">
        <f t="shared" si="23"/>
        <v>Technical Skills</v>
      </c>
      <c r="W72" t="str">
        <f t="shared" si="24"/>
        <v>Personality &amp; Communication</v>
      </c>
      <c r="X72" t="str">
        <f t="shared" si="25"/>
        <v>Work on communication and personality development</v>
      </c>
    </row>
    <row r="73" spans="1:24" x14ac:dyDescent="0.3">
      <c r="A73">
        <v>40</v>
      </c>
      <c r="B73">
        <v>1</v>
      </c>
      <c r="C73">
        <v>2</v>
      </c>
      <c r="D73">
        <v>11</v>
      </c>
      <c r="E73">
        <v>1</v>
      </c>
      <c r="F73">
        <v>42.820779828992798</v>
      </c>
      <c r="G73">
        <v>69</v>
      </c>
      <c r="H73">
        <v>76</v>
      </c>
      <c r="I73">
        <v>67</v>
      </c>
      <c r="J73">
        <v>2</v>
      </c>
      <c r="K73">
        <v>0</v>
      </c>
      <c r="L73" t="str">
        <f t="shared" si="13"/>
        <v>C072</v>
      </c>
      <c r="M73" t="str">
        <f t="shared" si="14"/>
        <v>Female</v>
      </c>
      <c r="N73" t="str">
        <f t="shared" si="15"/>
        <v>Bachelor's Type 2</v>
      </c>
      <c r="O73" t="str">
        <f t="shared" si="16"/>
        <v>Senior Level</v>
      </c>
      <c r="P73" t="str">
        <f t="shared" si="17"/>
        <v>Average</v>
      </c>
      <c r="Q73" t="str">
        <f t="shared" si="18"/>
        <v>Advanced</v>
      </c>
      <c r="R73" t="str">
        <f t="shared" si="19"/>
        <v>Good</v>
      </c>
      <c r="S73" t="str">
        <f t="shared" si="20"/>
        <v>Not Hired</v>
      </c>
      <c r="T73">
        <f t="shared" si="21"/>
        <v>70</v>
      </c>
      <c r="U73" t="str">
        <f t="shared" si="22"/>
        <v>Developing</v>
      </c>
      <c r="V73" t="str">
        <f t="shared" si="23"/>
        <v>Technical Skills</v>
      </c>
      <c r="W73" t="str">
        <f t="shared" si="24"/>
        <v>Personality &amp; Communication</v>
      </c>
      <c r="X73" t="str">
        <f t="shared" si="25"/>
        <v>Work on communication and personality development</v>
      </c>
    </row>
    <row r="74" spans="1:24" x14ac:dyDescent="0.3">
      <c r="A74">
        <v>21</v>
      </c>
      <c r="B74">
        <v>0</v>
      </c>
      <c r="C74">
        <v>2</v>
      </c>
      <c r="D74">
        <v>2</v>
      </c>
      <c r="E74">
        <v>1</v>
      </c>
      <c r="F74">
        <v>44.124481094914998</v>
      </c>
      <c r="G74">
        <v>28</v>
      </c>
      <c r="H74">
        <v>11</v>
      </c>
      <c r="I74">
        <v>43</v>
      </c>
      <c r="J74">
        <v>2</v>
      </c>
      <c r="K74">
        <v>0</v>
      </c>
      <c r="L74" t="str">
        <f t="shared" si="13"/>
        <v>C073</v>
      </c>
      <c r="M74" t="str">
        <f t="shared" si="14"/>
        <v>Male</v>
      </c>
      <c r="N74" t="str">
        <f t="shared" si="15"/>
        <v>Bachelor's Type 2</v>
      </c>
      <c r="O74" t="str">
        <f t="shared" si="16"/>
        <v>Entry Level</v>
      </c>
      <c r="P74" t="str">
        <f t="shared" si="17"/>
        <v>Low</v>
      </c>
      <c r="Q74" t="str">
        <f t="shared" si="18"/>
        <v>Beginner</v>
      </c>
      <c r="R74" t="str">
        <f t="shared" si="19"/>
        <v>Needs Improvement</v>
      </c>
      <c r="S74" t="str">
        <f t="shared" si="20"/>
        <v>Not Hired</v>
      </c>
      <c r="T74">
        <f t="shared" si="21"/>
        <v>25</v>
      </c>
      <c r="U74" t="str">
        <f t="shared" si="22"/>
        <v>Needs Improvement</v>
      </c>
      <c r="V74" t="str">
        <f t="shared" si="23"/>
        <v>Personality</v>
      </c>
      <c r="W74" t="str">
        <f t="shared" si="24"/>
        <v>Technical Skills</v>
      </c>
      <c r="X74" t="str">
        <f t="shared" si="25"/>
        <v>Strengthen technical skills and practical knowledge</v>
      </c>
    </row>
    <row r="75" spans="1:24" x14ac:dyDescent="0.3">
      <c r="A75">
        <v>39</v>
      </c>
      <c r="B75">
        <v>0</v>
      </c>
      <c r="C75">
        <v>2</v>
      </c>
      <c r="D75">
        <v>3</v>
      </c>
      <c r="E75">
        <v>2</v>
      </c>
      <c r="F75">
        <v>16.799857056261299</v>
      </c>
      <c r="G75">
        <v>65</v>
      </c>
      <c r="H75">
        <v>54</v>
      </c>
      <c r="I75">
        <v>46</v>
      </c>
      <c r="J75">
        <v>1</v>
      </c>
      <c r="K75">
        <v>0</v>
      </c>
      <c r="L75" t="str">
        <f t="shared" si="13"/>
        <v>C074</v>
      </c>
      <c r="M75" t="str">
        <f t="shared" si="14"/>
        <v>Male</v>
      </c>
      <c r="N75" t="str">
        <f t="shared" si="15"/>
        <v>Bachelor's Type 2</v>
      </c>
      <c r="O75" t="str">
        <f t="shared" si="16"/>
        <v>Mid Level</v>
      </c>
      <c r="P75" t="str">
        <f t="shared" si="17"/>
        <v>Average</v>
      </c>
      <c r="Q75" t="str">
        <f t="shared" si="18"/>
        <v>Intermediate</v>
      </c>
      <c r="R75" t="str">
        <f t="shared" si="19"/>
        <v>Needs Improvement</v>
      </c>
      <c r="S75" t="str">
        <f t="shared" si="20"/>
        <v>Not Hired</v>
      </c>
      <c r="T75">
        <f t="shared" si="21"/>
        <v>50</v>
      </c>
      <c r="U75" t="str">
        <f t="shared" si="22"/>
        <v>Developing</v>
      </c>
      <c r="V75" t="str">
        <f t="shared" si="23"/>
        <v>Interview</v>
      </c>
      <c r="W75" t="str">
        <f t="shared" si="24"/>
        <v>Personality &amp; Communication</v>
      </c>
      <c r="X75" t="str">
        <f t="shared" si="25"/>
        <v>Work on communication and personality development</v>
      </c>
    </row>
    <row r="76" spans="1:24" x14ac:dyDescent="0.3">
      <c r="A76">
        <v>47</v>
      </c>
      <c r="B76">
        <v>0</v>
      </c>
      <c r="C76">
        <v>2</v>
      </c>
      <c r="D76">
        <v>2</v>
      </c>
      <c r="E76">
        <v>2</v>
      </c>
      <c r="F76">
        <v>43.610619560083698</v>
      </c>
      <c r="G76">
        <v>18</v>
      </c>
      <c r="H76">
        <v>50</v>
      </c>
      <c r="I76">
        <v>34</v>
      </c>
      <c r="J76">
        <v>2</v>
      </c>
      <c r="K76">
        <v>0</v>
      </c>
      <c r="L76" t="str">
        <f t="shared" si="13"/>
        <v>C075</v>
      </c>
      <c r="M76" t="str">
        <f t="shared" si="14"/>
        <v>Male</v>
      </c>
      <c r="N76" t="str">
        <f t="shared" si="15"/>
        <v>Bachelor's Type 2</v>
      </c>
      <c r="O76" t="str">
        <f t="shared" si="16"/>
        <v>Entry Level</v>
      </c>
      <c r="P76" t="str">
        <f t="shared" si="17"/>
        <v>Low</v>
      </c>
      <c r="Q76" t="str">
        <f t="shared" si="18"/>
        <v>Intermediate</v>
      </c>
      <c r="R76" t="str">
        <f t="shared" si="19"/>
        <v>Needs Improvement</v>
      </c>
      <c r="S76" t="str">
        <f t="shared" si="20"/>
        <v>Not Hired</v>
      </c>
      <c r="T76">
        <f t="shared" si="21"/>
        <v>32</v>
      </c>
      <c r="U76" t="str">
        <f t="shared" si="22"/>
        <v>Needs Improvement</v>
      </c>
      <c r="V76" t="str">
        <f t="shared" si="23"/>
        <v>Technical Skills</v>
      </c>
      <c r="W76" t="str">
        <f t="shared" si="24"/>
        <v>Interview Preparation</v>
      </c>
      <c r="X76" t="str">
        <f t="shared" si="25"/>
        <v>Improve interview preparation and communication</v>
      </c>
    </row>
    <row r="77" spans="1:24" x14ac:dyDescent="0.3">
      <c r="A77">
        <v>34</v>
      </c>
      <c r="B77">
        <v>0</v>
      </c>
      <c r="C77">
        <v>2</v>
      </c>
      <c r="D77">
        <v>14</v>
      </c>
      <c r="E77">
        <v>5</v>
      </c>
      <c r="F77">
        <v>3.0466972187172598</v>
      </c>
      <c r="G77">
        <v>67</v>
      </c>
      <c r="H77">
        <v>38</v>
      </c>
      <c r="I77">
        <v>86</v>
      </c>
      <c r="J77">
        <v>1</v>
      </c>
      <c r="K77">
        <v>1</v>
      </c>
      <c r="L77" t="str">
        <f t="shared" si="13"/>
        <v>C076</v>
      </c>
      <c r="M77" t="str">
        <f t="shared" si="14"/>
        <v>Male</v>
      </c>
      <c r="N77" t="str">
        <f t="shared" si="15"/>
        <v>Bachelor's Type 2</v>
      </c>
      <c r="O77" t="str">
        <f t="shared" si="16"/>
        <v>Senior Level</v>
      </c>
      <c r="P77" t="str">
        <f t="shared" si="17"/>
        <v>Average</v>
      </c>
      <c r="Q77" t="str">
        <f t="shared" si="18"/>
        <v>Beginner</v>
      </c>
      <c r="R77" t="str">
        <f t="shared" si="19"/>
        <v>Strong</v>
      </c>
      <c r="S77" t="str">
        <f t="shared" si="20"/>
        <v>Hired</v>
      </c>
      <c r="T77">
        <f t="shared" si="21"/>
        <v>65</v>
      </c>
      <c r="U77" t="str">
        <f t="shared" si="22"/>
        <v>Developing</v>
      </c>
      <c r="V77" t="str">
        <f t="shared" si="23"/>
        <v>Personality</v>
      </c>
      <c r="W77" t="str">
        <f t="shared" si="24"/>
        <v>Technical Skills</v>
      </c>
      <c r="X77" t="str">
        <f t="shared" si="25"/>
        <v>Strengthen technical skills and practical knowledge</v>
      </c>
    </row>
    <row r="78" spans="1:24" x14ac:dyDescent="0.3">
      <c r="A78">
        <v>47</v>
      </c>
      <c r="B78">
        <v>1</v>
      </c>
      <c r="C78">
        <v>2</v>
      </c>
      <c r="D78">
        <v>1</v>
      </c>
      <c r="E78">
        <v>2</v>
      </c>
      <c r="F78">
        <v>3.4830745729859398</v>
      </c>
      <c r="G78">
        <v>57</v>
      </c>
      <c r="H78">
        <v>32</v>
      </c>
      <c r="I78">
        <v>90</v>
      </c>
      <c r="J78">
        <v>2</v>
      </c>
      <c r="K78">
        <v>0</v>
      </c>
      <c r="L78" t="str">
        <f t="shared" si="13"/>
        <v>C077</v>
      </c>
      <c r="M78" t="str">
        <f t="shared" si="14"/>
        <v>Female</v>
      </c>
      <c r="N78" t="str">
        <f t="shared" si="15"/>
        <v>Bachelor's Type 2</v>
      </c>
      <c r="O78" t="str">
        <f t="shared" si="16"/>
        <v>Entry Level</v>
      </c>
      <c r="P78" t="str">
        <f t="shared" si="17"/>
        <v>Average</v>
      </c>
      <c r="Q78" t="str">
        <f t="shared" si="18"/>
        <v>Beginner</v>
      </c>
      <c r="R78" t="str">
        <f t="shared" si="19"/>
        <v>Strong</v>
      </c>
      <c r="S78" t="str">
        <f t="shared" si="20"/>
        <v>Not Hired</v>
      </c>
      <c r="T78">
        <f t="shared" si="21"/>
        <v>48</v>
      </c>
      <c r="U78" t="str">
        <f t="shared" si="22"/>
        <v>Needs Improvement</v>
      </c>
      <c r="V78" t="str">
        <f t="shared" si="23"/>
        <v>Personality</v>
      </c>
      <c r="W78" t="str">
        <f t="shared" si="24"/>
        <v>Technical Skills</v>
      </c>
      <c r="X78" t="str">
        <f t="shared" si="25"/>
        <v>Strengthen technical skills and practical knowledge</v>
      </c>
    </row>
    <row r="79" spans="1:24" x14ac:dyDescent="0.3">
      <c r="A79">
        <v>26</v>
      </c>
      <c r="B79">
        <v>0</v>
      </c>
      <c r="C79">
        <v>2</v>
      </c>
      <c r="D79">
        <v>13</v>
      </c>
      <c r="E79">
        <v>4</v>
      </c>
      <c r="F79">
        <v>32.175959758707698</v>
      </c>
      <c r="G79">
        <v>69</v>
      </c>
      <c r="H79">
        <v>32</v>
      </c>
      <c r="I79">
        <v>59</v>
      </c>
      <c r="J79">
        <v>2</v>
      </c>
      <c r="K79">
        <v>0</v>
      </c>
      <c r="L79" t="str">
        <f t="shared" si="13"/>
        <v>C078</v>
      </c>
      <c r="M79" t="str">
        <f t="shared" si="14"/>
        <v>Male</v>
      </c>
      <c r="N79" t="str">
        <f t="shared" si="15"/>
        <v>Bachelor's Type 2</v>
      </c>
      <c r="O79" t="str">
        <f t="shared" si="16"/>
        <v>Senior Level</v>
      </c>
      <c r="P79" t="str">
        <f t="shared" si="17"/>
        <v>Average</v>
      </c>
      <c r="Q79" t="str">
        <f t="shared" si="18"/>
        <v>Beginner</v>
      </c>
      <c r="R79" t="str">
        <f t="shared" si="19"/>
        <v>Good</v>
      </c>
      <c r="S79" t="str">
        <f t="shared" si="20"/>
        <v>Not Hired</v>
      </c>
      <c r="T79">
        <f t="shared" si="21"/>
        <v>58</v>
      </c>
      <c r="U79" t="str">
        <f t="shared" si="22"/>
        <v>Developing</v>
      </c>
      <c r="V79" t="str">
        <f t="shared" si="23"/>
        <v>Interview</v>
      </c>
      <c r="W79" t="str">
        <f t="shared" si="24"/>
        <v>Technical Skills</v>
      </c>
      <c r="X79" t="str">
        <f t="shared" si="25"/>
        <v>Strengthen technical skills and practical knowledge</v>
      </c>
    </row>
    <row r="80" spans="1:24" x14ac:dyDescent="0.3">
      <c r="A80">
        <v>31</v>
      </c>
      <c r="B80">
        <v>0</v>
      </c>
      <c r="C80">
        <v>2</v>
      </c>
      <c r="D80">
        <v>4</v>
      </c>
      <c r="E80">
        <v>3</v>
      </c>
      <c r="F80">
        <v>4.1553184557773104</v>
      </c>
      <c r="G80">
        <v>56</v>
      </c>
      <c r="H80">
        <v>28</v>
      </c>
      <c r="I80">
        <v>89</v>
      </c>
      <c r="J80">
        <v>1</v>
      </c>
      <c r="K80">
        <v>0</v>
      </c>
      <c r="L80" t="str">
        <f t="shared" si="13"/>
        <v>C079</v>
      </c>
      <c r="M80" t="str">
        <f t="shared" si="14"/>
        <v>Male</v>
      </c>
      <c r="N80" t="str">
        <f t="shared" si="15"/>
        <v>Bachelor's Type 2</v>
      </c>
      <c r="O80" t="str">
        <f t="shared" si="16"/>
        <v>Mid Level</v>
      </c>
      <c r="P80" t="str">
        <f t="shared" si="17"/>
        <v>Average</v>
      </c>
      <c r="Q80" t="str">
        <f t="shared" si="18"/>
        <v>Beginner</v>
      </c>
      <c r="R80" t="str">
        <f t="shared" si="19"/>
        <v>Strong</v>
      </c>
      <c r="S80" t="str">
        <f t="shared" si="20"/>
        <v>Not Hired</v>
      </c>
      <c r="T80">
        <f t="shared" si="21"/>
        <v>50</v>
      </c>
      <c r="U80" t="str">
        <f t="shared" si="22"/>
        <v>Developing</v>
      </c>
      <c r="V80" t="str">
        <f t="shared" si="23"/>
        <v>Personality</v>
      </c>
      <c r="W80" t="str">
        <f t="shared" si="24"/>
        <v>Technical Skills</v>
      </c>
      <c r="X80" t="str">
        <f t="shared" si="25"/>
        <v>Strengthen technical skills and practical knowledge</v>
      </c>
    </row>
    <row r="81" spans="1:24" x14ac:dyDescent="0.3">
      <c r="A81">
        <v>48</v>
      </c>
      <c r="B81">
        <v>1</v>
      </c>
      <c r="C81">
        <v>3</v>
      </c>
      <c r="D81">
        <v>1</v>
      </c>
      <c r="E81">
        <v>2</v>
      </c>
      <c r="F81">
        <v>17.230458425508001</v>
      </c>
      <c r="G81">
        <v>36</v>
      </c>
      <c r="H81">
        <v>68</v>
      </c>
      <c r="I81">
        <v>51</v>
      </c>
      <c r="J81">
        <v>2</v>
      </c>
      <c r="K81">
        <v>0</v>
      </c>
      <c r="L81" t="str">
        <f t="shared" si="13"/>
        <v>C080</v>
      </c>
      <c r="M81" t="str">
        <f t="shared" si="14"/>
        <v>Female</v>
      </c>
      <c r="N81" t="str">
        <f t="shared" si="15"/>
        <v>Master's</v>
      </c>
      <c r="O81" t="str">
        <f t="shared" si="16"/>
        <v>Entry Level</v>
      </c>
      <c r="P81" t="str">
        <f t="shared" si="17"/>
        <v>Low</v>
      </c>
      <c r="Q81" t="str">
        <f t="shared" si="18"/>
        <v>Intermediate</v>
      </c>
      <c r="R81" t="str">
        <f t="shared" si="19"/>
        <v>Good</v>
      </c>
      <c r="S81" t="str">
        <f t="shared" si="20"/>
        <v>Not Hired</v>
      </c>
      <c r="T81">
        <f t="shared" si="21"/>
        <v>46</v>
      </c>
      <c r="U81" t="str">
        <f t="shared" si="22"/>
        <v>Needs Improvement</v>
      </c>
      <c r="V81" t="str">
        <f t="shared" si="23"/>
        <v>Technical Skills</v>
      </c>
      <c r="W81" t="str">
        <f t="shared" si="24"/>
        <v>Interview Preparation</v>
      </c>
      <c r="X81" t="str">
        <f t="shared" si="25"/>
        <v>Improve interview preparation and communication</v>
      </c>
    </row>
    <row r="82" spans="1:24" x14ac:dyDescent="0.3">
      <c r="A82">
        <v>27</v>
      </c>
      <c r="B82">
        <v>0</v>
      </c>
      <c r="C82">
        <v>2</v>
      </c>
      <c r="D82">
        <v>5</v>
      </c>
      <c r="E82">
        <v>2</v>
      </c>
      <c r="F82">
        <v>34.637799312346203</v>
      </c>
      <c r="G82">
        <v>60</v>
      </c>
      <c r="H82">
        <v>69</v>
      </c>
      <c r="I82">
        <v>7</v>
      </c>
      <c r="J82">
        <v>2</v>
      </c>
      <c r="K82">
        <v>0</v>
      </c>
      <c r="L82" t="str">
        <f t="shared" si="13"/>
        <v>C081</v>
      </c>
      <c r="M82" t="str">
        <f t="shared" si="14"/>
        <v>Male</v>
      </c>
      <c r="N82" t="str">
        <f t="shared" si="15"/>
        <v>Bachelor's Type 2</v>
      </c>
      <c r="O82" t="str">
        <f t="shared" si="16"/>
        <v>Mid Level</v>
      </c>
      <c r="P82" t="str">
        <f t="shared" si="17"/>
        <v>Average</v>
      </c>
      <c r="Q82" t="str">
        <f t="shared" si="18"/>
        <v>Intermediate</v>
      </c>
      <c r="R82" t="str">
        <f t="shared" si="19"/>
        <v>Needs Improvement</v>
      </c>
      <c r="S82" t="str">
        <f t="shared" si="20"/>
        <v>Not Hired</v>
      </c>
      <c r="T82">
        <f t="shared" si="21"/>
        <v>48</v>
      </c>
      <c r="U82" t="str">
        <f t="shared" si="22"/>
        <v>Needs Improvement</v>
      </c>
      <c r="V82" t="str">
        <f t="shared" si="23"/>
        <v>Technical Skills</v>
      </c>
      <c r="W82" t="str">
        <f t="shared" si="24"/>
        <v>Personality &amp; Communication</v>
      </c>
      <c r="X82" t="str">
        <f t="shared" si="25"/>
        <v>Work on communication and personality development</v>
      </c>
    </row>
    <row r="83" spans="1:24" x14ac:dyDescent="0.3">
      <c r="A83">
        <v>34</v>
      </c>
      <c r="B83">
        <v>0</v>
      </c>
      <c r="C83">
        <v>1</v>
      </c>
      <c r="D83">
        <v>2</v>
      </c>
      <c r="E83">
        <v>4</v>
      </c>
      <c r="F83">
        <v>17.8633448027113</v>
      </c>
      <c r="G83">
        <v>91</v>
      </c>
      <c r="H83">
        <v>30</v>
      </c>
      <c r="I83">
        <v>79</v>
      </c>
      <c r="J83">
        <v>1</v>
      </c>
      <c r="K83">
        <v>1</v>
      </c>
      <c r="L83" t="str">
        <f t="shared" si="13"/>
        <v>C082</v>
      </c>
      <c r="M83" t="str">
        <f t="shared" si="14"/>
        <v>Male</v>
      </c>
      <c r="N83" t="str">
        <f t="shared" si="15"/>
        <v>Bachelor's Type 1</v>
      </c>
      <c r="O83" t="str">
        <f t="shared" si="16"/>
        <v>Entry Level</v>
      </c>
      <c r="P83" t="str">
        <f t="shared" si="17"/>
        <v>Strong</v>
      </c>
      <c r="Q83" t="str">
        <f t="shared" si="18"/>
        <v>Beginner</v>
      </c>
      <c r="R83" t="str">
        <f t="shared" si="19"/>
        <v>Strong</v>
      </c>
      <c r="S83" t="str">
        <f t="shared" si="20"/>
        <v>Hired</v>
      </c>
      <c r="T83">
        <f t="shared" si="21"/>
        <v>57</v>
      </c>
      <c r="U83" t="str">
        <f t="shared" si="22"/>
        <v>Developing</v>
      </c>
      <c r="V83" t="str">
        <f t="shared" si="23"/>
        <v>Interview</v>
      </c>
      <c r="W83" t="str">
        <f t="shared" si="24"/>
        <v>Technical Skills</v>
      </c>
      <c r="X83" t="str">
        <f t="shared" si="25"/>
        <v>Strengthen technical skills and practical knowledge</v>
      </c>
    </row>
    <row r="84" spans="1:24" x14ac:dyDescent="0.3">
      <c r="A84">
        <v>22</v>
      </c>
      <c r="B84">
        <v>0</v>
      </c>
      <c r="C84">
        <v>2</v>
      </c>
      <c r="D84">
        <v>5</v>
      </c>
      <c r="E84">
        <v>1</v>
      </c>
      <c r="F84">
        <v>9.9799890720047895</v>
      </c>
      <c r="G84">
        <v>29</v>
      </c>
      <c r="H84">
        <v>79</v>
      </c>
      <c r="I84">
        <v>40</v>
      </c>
      <c r="J84">
        <v>3</v>
      </c>
      <c r="K84">
        <v>0</v>
      </c>
      <c r="L84" t="str">
        <f t="shared" si="13"/>
        <v>C083</v>
      </c>
      <c r="M84" t="str">
        <f t="shared" si="14"/>
        <v>Male</v>
      </c>
      <c r="N84" t="str">
        <f t="shared" si="15"/>
        <v>Bachelor's Type 2</v>
      </c>
      <c r="O84" t="str">
        <f t="shared" si="16"/>
        <v>Mid Level</v>
      </c>
      <c r="P84" t="str">
        <f t="shared" si="17"/>
        <v>Low</v>
      </c>
      <c r="Q84" t="str">
        <f t="shared" si="18"/>
        <v>Advanced</v>
      </c>
      <c r="R84" t="str">
        <f t="shared" si="19"/>
        <v>Needs Improvement</v>
      </c>
      <c r="S84" t="str">
        <f t="shared" si="20"/>
        <v>Not Hired</v>
      </c>
      <c r="T84">
        <f t="shared" si="21"/>
        <v>48</v>
      </c>
      <c r="U84" t="str">
        <f t="shared" si="22"/>
        <v>Needs Improvement</v>
      </c>
      <c r="V84" t="str">
        <f t="shared" si="23"/>
        <v>Technical Skills</v>
      </c>
      <c r="W84" t="str">
        <f t="shared" si="24"/>
        <v>Interview Preparation</v>
      </c>
      <c r="X84" t="str">
        <f t="shared" si="25"/>
        <v>Improve interview preparation and communication</v>
      </c>
    </row>
    <row r="85" spans="1:24" x14ac:dyDescent="0.3">
      <c r="A85">
        <v>33</v>
      </c>
      <c r="B85">
        <v>0</v>
      </c>
      <c r="C85">
        <v>2</v>
      </c>
      <c r="D85">
        <v>14</v>
      </c>
      <c r="E85">
        <v>1</v>
      </c>
      <c r="F85">
        <v>15.067531092692001</v>
      </c>
      <c r="G85">
        <v>70</v>
      </c>
      <c r="H85">
        <v>30</v>
      </c>
      <c r="I85">
        <v>2</v>
      </c>
      <c r="J85">
        <v>1</v>
      </c>
      <c r="K85">
        <v>0</v>
      </c>
      <c r="L85" t="str">
        <f t="shared" si="13"/>
        <v>C084</v>
      </c>
      <c r="M85" t="str">
        <f t="shared" si="14"/>
        <v>Male</v>
      </c>
      <c r="N85" t="str">
        <f t="shared" si="15"/>
        <v>Bachelor's Type 2</v>
      </c>
      <c r="O85" t="str">
        <f t="shared" si="16"/>
        <v>Senior Level</v>
      </c>
      <c r="P85" t="str">
        <f t="shared" si="17"/>
        <v>Average</v>
      </c>
      <c r="Q85" t="str">
        <f t="shared" si="18"/>
        <v>Beginner</v>
      </c>
      <c r="R85" t="str">
        <f t="shared" si="19"/>
        <v>Needs Improvement</v>
      </c>
      <c r="S85" t="str">
        <f t="shared" si="20"/>
        <v>Not Hired</v>
      </c>
      <c r="T85">
        <f t="shared" si="21"/>
        <v>47</v>
      </c>
      <c r="U85" t="str">
        <f t="shared" si="22"/>
        <v>Needs Improvement</v>
      </c>
      <c r="V85" t="str">
        <f t="shared" si="23"/>
        <v>Interview</v>
      </c>
      <c r="W85" t="str">
        <f t="shared" si="24"/>
        <v>Personality &amp; Communication</v>
      </c>
      <c r="X85" t="str">
        <f t="shared" si="25"/>
        <v>Work on communication and personality development</v>
      </c>
    </row>
    <row r="86" spans="1:24" x14ac:dyDescent="0.3">
      <c r="A86">
        <v>36</v>
      </c>
      <c r="B86">
        <v>0</v>
      </c>
      <c r="C86">
        <v>2</v>
      </c>
      <c r="D86">
        <v>10</v>
      </c>
      <c r="E86">
        <v>5</v>
      </c>
      <c r="F86">
        <v>23.878766612521499</v>
      </c>
      <c r="G86">
        <v>72</v>
      </c>
      <c r="H86">
        <v>88</v>
      </c>
      <c r="I86">
        <v>95</v>
      </c>
      <c r="J86">
        <v>2</v>
      </c>
      <c r="K86">
        <v>1</v>
      </c>
      <c r="L86" t="str">
        <f t="shared" si="13"/>
        <v>C085</v>
      </c>
      <c r="M86" t="str">
        <f t="shared" si="14"/>
        <v>Male</v>
      </c>
      <c r="N86" t="str">
        <f t="shared" si="15"/>
        <v>Bachelor's Type 2</v>
      </c>
      <c r="O86" t="str">
        <f t="shared" si="16"/>
        <v>Senior Level</v>
      </c>
      <c r="P86" t="str">
        <f t="shared" si="17"/>
        <v>Average</v>
      </c>
      <c r="Q86" t="str">
        <f t="shared" si="18"/>
        <v>Advanced</v>
      </c>
      <c r="R86" t="str">
        <f t="shared" si="19"/>
        <v>Strong</v>
      </c>
      <c r="S86" t="str">
        <f t="shared" si="20"/>
        <v>Hired</v>
      </c>
      <c r="T86">
        <f t="shared" si="21"/>
        <v>80</v>
      </c>
      <c r="U86" t="str">
        <f t="shared" si="22"/>
        <v>Job Ready</v>
      </c>
      <c r="V86" t="str">
        <f t="shared" si="23"/>
        <v>Personality</v>
      </c>
      <c r="W86" t="str">
        <f t="shared" si="24"/>
        <v>Interview Preparation</v>
      </c>
      <c r="X86" t="str">
        <f t="shared" si="25"/>
        <v>Improve interview preparation and communication</v>
      </c>
    </row>
    <row r="87" spans="1:24" x14ac:dyDescent="0.3">
      <c r="A87">
        <v>23</v>
      </c>
      <c r="B87">
        <v>0</v>
      </c>
      <c r="C87">
        <v>2</v>
      </c>
      <c r="D87">
        <v>9</v>
      </c>
      <c r="E87">
        <v>4</v>
      </c>
      <c r="F87">
        <v>24.7692927677741</v>
      </c>
      <c r="G87">
        <v>24</v>
      </c>
      <c r="H87">
        <v>45</v>
      </c>
      <c r="I87">
        <v>68</v>
      </c>
      <c r="J87">
        <v>1</v>
      </c>
      <c r="K87">
        <v>1</v>
      </c>
      <c r="L87" t="str">
        <f t="shared" si="13"/>
        <v>C086</v>
      </c>
      <c r="M87" t="str">
        <f t="shared" si="14"/>
        <v>Male</v>
      </c>
      <c r="N87" t="str">
        <f t="shared" si="15"/>
        <v>Bachelor's Type 2</v>
      </c>
      <c r="O87" t="str">
        <f t="shared" si="16"/>
        <v>Senior Level</v>
      </c>
      <c r="P87" t="str">
        <f t="shared" si="17"/>
        <v>Low</v>
      </c>
      <c r="Q87" t="str">
        <f t="shared" si="18"/>
        <v>Beginner</v>
      </c>
      <c r="R87" t="str">
        <f t="shared" si="19"/>
        <v>Good</v>
      </c>
      <c r="S87" t="str">
        <f t="shared" si="20"/>
        <v>Hired</v>
      </c>
      <c r="T87">
        <f t="shared" si="21"/>
        <v>46</v>
      </c>
      <c r="U87" t="str">
        <f t="shared" si="22"/>
        <v>Needs Improvement</v>
      </c>
      <c r="V87" t="str">
        <f t="shared" si="23"/>
        <v>Personality</v>
      </c>
      <c r="W87" t="str">
        <f t="shared" si="24"/>
        <v>Interview Preparation</v>
      </c>
      <c r="X87" t="str">
        <f t="shared" si="25"/>
        <v>Improve interview preparation and communication</v>
      </c>
    </row>
    <row r="88" spans="1:24" x14ac:dyDescent="0.3">
      <c r="A88">
        <v>37</v>
      </c>
      <c r="B88">
        <v>1</v>
      </c>
      <c r="C88">
        <v>2</v>
      </c>
      <c r="D88">
        <v>8</v>
      </c>
      <c r="E88">
        <v>3</v>
      </c>
      <c r="F88">
        <v>40.150011567360004</v>
      </c>
      <c r="G88">
        <v>96</v>
      </c>
      <c r="H88">
        <v>96</v>
      </c>
      <c r="I88">
        <v>83</v>
      </c>
      <c r="J88">
        <v>1</v>
      </c>
      <c r="K88">
        <v>1</v>
      </c>
      <c r="L88" t="str">
        <f t="shared" si="13"/>
        <v>C087</v>
      </c>
      <c r="M88" t="str">
        <f t="shared" si="14"/>
        <v>Female</v>
      </c>
      <c r="N88" t="str">
        <f t="shared" si="15"/>
        <v>Bachelor's Type 2</v>
      </c>
      <c r="O88" t="str">
        <f t="shared" si="16"/>
        <v>Senior Level</v>
      </c>
      <c r="P88" t="str">
        <f t="shared" si="17"/>
        <v>Strong</v>
      </c>
      <c r="Q88" t="str">
        <f t="shared" si="18"/>
        <v>Advanced</v>
      </c>
      <c r="R88" t="str">
        <f t="shared" si="19"/>
        <v>Strong</v>
      </c>
      <c r="S88" t="str">
        <f t="shared" si="20"/>
        <v>Hired</v>
      </c>
      <c r="T88">
        <f t="shared" si="21"/>
        <v>85</v>
      </c>
      <c r="U88" t="str">
        <f t="shared" si="22"/>
        <v>Job Ready</v>
      </c>
      <c r="V88" t="str">
        <f t="shared" si="23"/>
        <v>Interview</v>
      </c>
      <c r="W88" t="str">
        <f t="shared" si="24"/>
        <v>Personality &amp; Communication</v>
      </c>
      <c r="X88" t="str">
        <f t="shared" si="25"/>
        <v>Work on communication and personality development</v>
      </c>
    </row>
    <row r="89" spans="1:24" x14ac:dyDescent="0.3">
      <c r="A89">
        <v>27</v>
      </c>
      <c r="B89">
        <v>1</v>
      </c>
      <c r="C89">
        <v>2</v>
      </c>
      <c r="D89">
        <v>0</v>
      </c>
      <c r="E89">
        <v>3</v>
      </c>
      <c r="F89">
        <v>38.507661471575602</v>
      </c>
      <c r="G89">
        <v>64</v>
      </c>
      <c r="H89">
        <v>76</v>
      </c>
      <c r="I89">
        <v>13</v>
      </c>
      <c r="J89">
        <v>1</v>
      </c>
      <c r="K89">
        <v>0</v>
      </c>
      <c r="L89" t="str">
        <f t="shared" si="13"/>
        <v>C088</v>
      </c>
      <c r="M89" t="str">
        <f t="shared" si="14"/>
        <v>Female</v>
      </c>
      <c r="N89" t="str">
        <f t="shared" si="15"/>
        <v>Bachelor's Type 2</v>
      </c>
      <c r="O89" t="str">
        <f t="shared" si="16"/>
        <v>Entry Level</v>
      </c>
      <c r="P89" t="str">
        <f t="shared" si="17"/>
        <v>Average</v>
      </c>
      <c r="Q89" t="str">
        <f t="shared" si="18"/>
        <v>Advanced</v>
      </c>
      <c r="R89" t="str">
        <f t="shared" si="19"/>
        <v>Needs Improvement</v>
      </c>
      <c r="S89" t="str">
        <f t="shared" si="20"/>
        <v>Not Hired</v>
      </c>
      <c r="T89">
        <f t="shared" si="21"/>
        <v>47</v>
      </c>
      <c r="U89" t="str">
        <f t="shared" si="22"/>
        <v>Needs Improvement</v>
      </c>
      <c r="V89" t="str">
        <f t="shared" si="23"/>
        <v>Technical Skills</v>
      </c>
      <c r="W89" t="str">
        <f t="shared" si="24"/>
        <v>Personality &amp; Communication</v>
      </c>
      <c r="X89" t="str">
        <f t="shared" si="25"/>
        <v>Work on communication and personality development</v>
      </c>
    </row>
    <row r="90" spans="1:24" x14ac:dyDescent="0.3">
      <c r="A90">
        <v>23</v>
      </c>
      <c r="B90">
        <v>0</v>
      </c>
      <c r="C90">
        <v>1</v>
      </c>
      <c r="D90">
        <v>15</v>
      </c>
      <c r="E90">
        <v>4</v>
      </c>
      <c r="F90">
        <v>23.8408902278067</v>
      </c>
      <c r="G90">
        <v>5</v>
      </c>
      <c r="H90">
        <v>51</v>
      </c>
      <c r="I90">
        <v>95</v>
      </c>
      <c r="J90">
        <v>1</v>
      </c>
      <c r="K90">
        <v>1</v>
      </c>
      <c r="L90" t="str">
        <f t="shared" si="13"/>
        <v>C089</v>
      </c>
      <c r="M90" t="str">
        <f t="shared" si="14"/>
        <v>Male</v>
      </c>
      <c r="N90" t="str">
        <f t="shared" si="15"/>
        <v>Bachelor's Type 1</v>
      </c>
      <c r="O90" t="str">
        <f t="shared" si="16"/>
        <v>Senior Level</v>
      </c>
      <c r="P90" t="str">
        <f t="shared" si="17"/>
        <v>Low</v>
      </c>
      <c r="Q90" t="str">
        <f t="shared" si="18"/>
        <v>Intermediate</v>
      </c>
      <c r="R90" t="str">
        <f t="shared" si="19"/>
        <v>Strong</v>
      </c>
      <c r="S90" t="str">
        <f t="shared" si="20"/>
        <v>Hired</v>
      </c>
      <c r="T90">
        <f t="shared" si="21"/>
        <v>53</v>
      </c>
      <c r="U90" t="str">
        <f t="shared" si="22"/>
        <v>Developing</v>
      </c>
      <c r="V90" t="str">
        <f t="shared" si="23"/>
        <v>Personality</v>
      </c>
      <c r="W90" t="str">
        <f t="shared" si="24"/>
        <v>Interview Preparation</v>
      </c>
      <c r="X90" t="str">
        <f t="shared" si="25"/>
        <v>Improve interview preparation and communication</v>
      </c>
    </row>
    <row r="91" spans="1:24" x14ac:dyDescent="0.3">
      <c r="A91">
        <v>21</v>
      </c>
      <c r="B91">
        <v>0</v>
      </c>
      <c r="C91">
        <v>1</v>
      </c>
      <c r="D91">
        <v>15</v>
      </c>
      <c r="E91">
        <v>3</v>
      </c>
      <c r="F91">
        <v>43.283367454938499</v>
      </c>
      <c r="G91">
        <v>17</v>
      </c>
      <c r="H91">
        <v>9</v>
      </c>
      <c r="I91">
        <v>25</v>
      </c>
      <c r="J91">
        <v>2</v>
      </c>
      <c r="K91">
        <v>0</v>
      </c>
      <c r="L91" t="str">
        <f t="shared" si="13"/>
        <v>C090</v>
      </c>
      <c r="M91" t="str">
        <f t="shared" si="14"/>
        <v>Male</v>
      </c>
      <c r="N91" t="str">
        <f t="shared" si="15"/>
        <v>Bachelor's Type 1</v>
      </c>
      <c r="O91" t="str">
        <f t="shared" si="16"/>
        <v>Senior Level</v>
      </c>
      <c r="P91" t="str">
        <f t="shared" si="17"/>
        <v>Low</v>
      </c>
      <c r="Q91" t="str">
        <f t="shared" si="18"/>
        <v>Beginner</v>
      </c>
      <c r="R91" t="str">
        <f t="shared" si="19"/>
        <v>Needs Improvement</v>
      </c>
      <c r="S91" t="str">
        <f t="shared" si="20"/>
        <v>Not Hired</v>
      </c>
      <c r="T91">
        <f t="shared" si="21"/>
        <v>30</v>
      </c>
      <c r="U91" t="str">
        <f t="shared" si="22"/>
        <v>Needs Improvement</v>
      </c>
      <c r="V91" t="str">
        <f t="shared" si="23"/>
        <v>Personality</v>
      </c>
      <c r="W91" t="str">
        <f t="shared" si="24"/>
        <v>Technical Skills</v>
      </c>
      <c r="X91" t="str">
        <f t="shared" si="25"/>
        <v>Strengthen technical skills and practical knowledge</v>
      </c>
    </row>
    <row r="92" spans="1:24" x14ac:dyDescent="0.3">
      <c r="A92">
        <v>49</v>
      </c>
      <c r="B92">
        <v>1</v>
      </c>
      <c r="C92">
        <v>2</v>
      </c>
      <c r="D92">
        <v>5</v>
      </c>
      <c r="E92">
        <v>1</v>
      </c>
      <c r="F92">
        <v>6.7118569295697901</v>
      </c>
      <c r="G92">
        <v>9</v>
      </c>
      <c r="H92">
        <v>87</v>
      </c>
      <c r="I92">
        <v>69</v>
      </c>
      <c r="J92">
        <v>1</v>
      </c>
      <c r="K92">
        <v>1</v>
      </c>
      <c r="L92" t="str">
        <f t="shared" si="13"/>
        <v>C091</v>
      </c>
      <c r="M92" t="str">
        <f t="shared" si="14"/>
        <v>Female</v>
      </c>
      <c r="N92" t="str">
        <f t="shared" si="15"/>
        <v>Bachelor's Type 2</v>
      </c>
      <c r="O92" t="str">
        <f t="shared" si="16"/>
        <v>Mid Level</v>
      </c>
      <c r="P92" t="str">
        <f t="shared" si="17"/>
        <v>Low</v>
      </c>
      <c r="Q92" t="str">
        <f t="shared" si="18"/>
        <v>Advanced</v>
      </c>
      <c r="R92" t="str">
        <f t="shared" si="19"/>
        <v>Good</v>
      </c>
      <c r="S92" t="str">
        <f t="shared" si="20"/>
        <v>Hired</v>
      </c>
      <c r="T92">
        <f t="shared" si="21"/>
        <v>50</v>
      </c>
      <c r="U92" t="str">
        <f t="shared" si="22"/>
        <v>Developing</v>
      </c>
      <c r="V92" t="str">
        <f t="shared" si="23"/>
        <v>Technical Skills</v>
      </c>
      <c r="W92" t="str">
        <f t="shared" si="24"/>
        <v>Interview Preparation</v>
      </c>
      <c r="X92" t="str">
        <f t="shared" si="25"/>
        <v>Improve interview preparation and communication</v>
      </c>
    </row>
    <row r="93" spans="1:24" x14ac:dyDescent="0.3">
      <c r="A93">
        <v>25</v>
      </c>
      <c r="B93">
        <v>0</v>
      </c>
      <c r="C93">
        <v>2</v>
      </c>
      <c r="D93">
        <v>8</v>
      </c>
      <c r="E93">
        <v>3</v>
      </c>
      <c r="F93">
        <v>13.767667511445</v>
      </c>
      <c r="G93">
        <v>91</v>
      </c>
      <c r="H93">
        <v>73</v>
      </c>
      <c r="I93">
        <v>57</v>
      </c>
      <c r="J93">
        <v>2</v>
      </c>
      <c r="K93">
        <v>0</v>
      </c>
      <c r="L93" t="str">
        <f t="shared" si="13"/>
        <v>C092</v>
      </c>
      <c r="M93" t="str">
        <f t="shared" si="14"/>
        <v>Male</v>
      </c>
      <c r="N93" t="str">
        <f t="shared" si="15"/>
        <v>Bachelor's Type 2</v>
      </c>
      <c r="O93" t="str">
        <f t="shared" si="16"/>
        <v>Senior Level</v>
      </c>
      <c r="P93" t="str">
        <f t="shared" si="17"/>
        <v>Strong</v>
      </c>
      <c r="Q93" t="str">
        <f t="shared" si="18"/>
        <v>Intermediate</v>
      </c>
      <c r="R93" t="str">
        <f t="shared" si="19"/>
        <v>Good</v>
      </c>
      <c r="S93" t="str">
        <f t="shared" si="20"/>
        <v>Not Hired</v>
      </c>
      <c r="T93">
        <f t="shared" si="21"/>
        <v>71</v>
      </c>
      <c r="U93" t="str">
        <f t="shared" si="22"/>
        <v>Developing</v>
      </c>
      <c r="V93" t="str">
        <f t="shared" si="23"/>
        <v>Interview</v>
      </c>
      <c r="W93" t="str">
        <f t="shared" si="24"/>
        <v>Personality &amp; Communication</v>
      </c>
      <c r="X93" t="str">
        <f t="shared" si="25"/>
        <v>Work on communication and personality development</v>
      </c>
    </row>
    <row r="94" spans="1:24" x14ac:dyDescent="0.3">
      <c r="A94">
        <v>41</v>
      </c>
      <c r="B94">
        <v>0</v>
      </c>
      <c r="C94">
        <v>4</v>
      </c>
      <c r="D94">
        <v>10</v>
      </c>
      <c r="E94">
        <v>3</v>
      </c>
      <c r="F94">
        <v>42.398823175112497</v>
      </c>
      <c r="G94">
        <v>10</v>
      </c>
      <c r="H94">
        <v>40</v>
      </c>
      <c r="I94">
        <v>99</v>
      </c>
      <c r="J94">
        <v>1</v>
      </c>
      <c r="K94">
        <v>1</v>
      </c>
      <c r="L94" t="str">
        <f t="shared" si="13"/>
        <v>C093</v>
      </c>
      <c r="M94" t="str">
        <f t="shared" si="14"/>
        <v>Male</v>
      </c>
      <c r="N94" t="str">
        <f t="shared" si="15"/>
        <v>PhD</v>
      </c>
      <c r="O94" t="str">
        <f t="shared" si="16"/>
        <v>Senior Level</v>
      </c>
      <c r="P94" t="str">
        <f t="shared" si="17"/>
        <v>Low</v>
      </c>
      <c r="Q94" t="str">
        <f t="shared" si="18"/>
        <v>Beginner</v>
      </c>
      <c r="R94" t="str">
        <f t="shared" si="19"/>
        <v>Strong</v>
      </c>
      <c r="S94" t="str">
        <f t="shared" si="20"/>
        <v>Hired</v>
      </c>
      <c r="T94">
        <f t="shared" si="21"/>
        <v>50</v>
      </c>
      <c r="U94" t="str">
        <f t="shared" si="22"/>
        <v>Developing</v>
      </c>
      <c r="V94" t="str">
        <f t="shared" si="23"/>
        <v>Personality</v>
      </c>
      <c r="W94" t="str">
        <f t="shared" si="24"/>
        <v>Interview Preparation</v>
      </c>
      <c r="X94" t="str">
        <f t="shared" si="25"/>
        <v>Improve interview preparation and communication</v>
      </c>
    </row>
    <row r="95" spans="1:24" x14ac:dyDescent="0.3">
      <c r="A95">
        <v>29</v>
      </c>
      <c r="B95">
        <v>0</v>
      </c>
      <c r="C95">
        <v>2</v>
      </c>
      <c r="D95">
        <v>3</v>
      </c>
      <c r="E95">
        <v>4</v>
      </c>
      <c r="F95">
        <v>19.8997019313076</v>
      </c>
      <c r="G95">
        <v>96</v>
      </c>
      <c r="H95">
        <v>94</v>
      </c>
      <c r="I95">
        <v>39</v>
      </c>
      <c r="J95">
        <v>1</v>
      </c>
      <c r="K95">
        <v>1</v>
      </c>
      <c r="L95" t="str">
        <f t="shared" si="13"/>
        <v>C094</v>
      </c>
      <c r="M95" t="str">
        <f t="shared" si="14"/>
        <v>Male</v>
      </c>
      <c r="N95" t="str">
        <f t="shared" si="15"/>
        <v>Bachelor's Type 2</v>
      </c>
      <c r="O95" t="str">
        <f t="shared" si="16"/>
        <v>Mid Level</v>
      </c>
      <c r="P95" t="str">
        <f t="shared" si="17"/>
        <v>Strong</v>
      </c>
      <c r="Q95" t="str">
        <f t="shared" si="18"/>
        <v>Advanced</v>
      </c>
      <c r="R95" t="str">
        <f t="shared" si="19"/>
        <v>Needs Improvement</v>
      </c>
      <c r="S95" t="str">
        <f t="shared" si="20"/>
        <v>Hired</v>
      </c>
      <c r="T95">
        <f t="shared" si="21"/>
        <v>70</v>
      </c>
      <c r="U95" t="str">
        <f t="shared" si="22"/>
        <v>Developing</v>
      </c>
      <c r="V95" t="str">
        <f t="shared" si="23"/>
        <v>Interview</v>
      </c>
      <c r="W95" t="str">
        <f t="shared" si="24"/>
        <v>Personality &amp; Communication</v>
      </c>
      <c r="X95" t="str">
        <f t="shared" si="25"/>
        <v>Work on communication and personality development</v>
      </c>
    </row>
    <row r="96" spans="1:24" x14ac:dyDescent="0.3">
      <c r="A96">
        <v>23</v>
      </c>
      <c r="B96">
        <v>1</v>
      </c>
      <c r="C96">
        <v>2</v>
      </c>
      <c r="D96">
        <v>10</v>
      </c>
      <c r="E96">
        <v>4</v>
      </c>
      <c r="F96">
        <v>50.059077939692102</v>
      </c>
      <c r="G96">
        <v>64</v>
      </c>
      <c r="H96">
        <v>76</v>
      </c>
      <c r="I96">
        <v>50</v>
      </c>
      <c r="J96">
        <v>2</v>
      </c>
      <c r="K96">
        <v>0</v>
      </c>
      <c r="L96" t="str">
        <f t="shared" si="13"/>
        <v>C095</v>
      </c>
      <c r="M96" t="str">
        <f t="shared" si="14"/>
        <v>Female</v>
      </c>
      <c r="N96" t="str">
        <f t="shared" si="15"/>
        <v>Bachelor's Type 2</v>
      </c>
      <c r="O96" t="str">
        <f t="shared" si="16"/>
        <v>Senior Level</v>
      </c>
      <c r="P96" t="str">
        <f t="shared" si="17"/>
        <v>Average</v>
      </c>
      <c r="Q96" t="str">
        <f t="shared" si="18"/>
        <v>Advanced</v>
      </c>
      <c r="R96" t="str">
        <f t="shared" si="19"/>
        <v>Good</v>
      </c>
      <c r="S96" t="str">
        <f t="shared" si="20"/>
        <v>Not Hired</v>
      </c>
      <c r="T96">
        <f t="shared" si="21"/>
        <v>65</v>
      </c>
      <c r="U96" t="str">
        <f t="shared" si="22"/>
        <v>Developing</v>
      </c>
      <c r="V96" t="str">
        <f t="shared" si="23"/>
        <v>Technical Skills</v>
      </c>
      <c r="W96" t="str">
        <f t="shared" si="24"/>
        <v>Personality &amp; Communication</v>
      </c>
      <c r="X96" t="str">
        <f t="shared" si="25"/>
        <v>Work on communication and personality development</v>
      </c>
    </row>
    <row r="97" spans="1:24" x14ac:dyDescent="0.3">
      <c r="A97">
        <v>41</v>
      </c>
      <c r="B97">
        <v>0</v>
      </c>
      <c r="C97">
        <v>2</v>
      </c>
      <c r="D97">
        <v>11</v>
      </c>
      <c r="E97">
        <v>3</v>
      </c>
      <c r="F97">
        <v>24.312664076391702</v>
      </c>
      <c r="G97">
        <v>76</v>
      </c>
      <c r="H97">
        <v>2</v>
      </c>
      <c r="I97">
        <v>4</v>
      </c>
      <c r="J97">
        <v>3</v>
      </c>
      <c r="K97">
        <v>0</v>
      </c>
      <c r="L97" t="str">
        <f t="shared" si="13"/>
        <v>C096</v>
      </c>
      <c r="M97" t="str">
        <f t="shared" si="14"/>
        <v>Male</v>
      </c>
      <c r="N97" t="str">
        <f t="shared" si="15"/>
        <v>Bachelor's Type 2</v>
      </c>
      <c r="O97" t="str">
        <f t="shared" si="16"/>
        <v>Senior Level</v>
      </c>
      <c r="P97" t="str">
        <f t="shared" si="17"/>
        <v>Strong</v>
      </c>
      <c r="Q97" t="str">
        <f t="shared" si="18"/>
        <v>Beginner</v>
      </c>
      <c r="R97" t="str">
        <f t="shared" si="19"/>
        <v>Needs Improvement</v>
      </c>
      <c r="S97" t="str">
        <f t="shared" si="20"/>
        <v>Not Hired</v>
      </c>
      <c r="T97">
        <f t="shared" si="21"/>
        <v>38</v>
      </c>
      <c r="U97" t="str">
        <f t="shared" si="22"/>
        <v>Needs Improvement</v>
      </c>
      <c r="V97" t="str">
        <f t="shared" si="23"/>
        <v>Interview</v>
      </c>
      <c r="W97" t="str">
        <f t="shared" si="24"/>
        <v>Technical Skills</v>
      </c>
      <c r="X97" t="str">
        <f t="shared" si="25"/>
        <v>Strengthen technical skills and practical knowledge</v>
      </c>
    </row>
    <row r="98" spans="1:24" x14ac:dyDescent="0.3">
      <c r="A98">
        <v>48</v>
      </c>
      <c r="B98">
        <v>1</v>
      </c>
      <c r="C98">
        <v>1</v>
      </c>
      <c r="D98">
        <v>1</v>
      </c>
      <c r="E98">
        <v>2</v>
      </c>
      <c r="F98">
        <v>40.596781148188199</v>
      </c>
      <c r="G98">
        <v>100</v>
      </c>
      <c r="H98">
        <v>58</v>
      </c>
      <c r="I98">
        <v>76</v>
      </c>
      <c r="J98">
        <v>2</v>
      </c>
      <c r="K98">
        <v>0</v>
      </c>
      <c r="L98" t="str">
        <f t="shared" si="13"/>
        <v>C097</v>
      </c>
      <c r="M98" t="str">
        <f t="shared" si="14"/>
        <v>Female</v>
      </c>
      <c r="N98" t="str">
        <f t="shared" si="15"/>
        <v>Bachelor's Type 1</v>
      </c>
      <c r="O98" t="str">
        <f t="shared" si="16"/>
        <v>Entry Level</v>
      </c>
      <c r="P98" t="str">
        <f t="shared" si="17"/>
        <v>Strong</v>
      </c>
      <c r="Q98" t="str">
        <f t="shared" si="18"/>
        <v>Intermediate</v>
      </c>
      <c r="R98" t="str">
        <f t="shared" si="19"/>
        <v>Strong</v>
      </c>
      <c r="S98" t="str">
        <f t="shared" si="20"/>
        <v>Not Hired</v>
      </c>
      <c r="T98">
        <f t="shared" si="21"/>
        <v>66</v>
      </c>
      <c r="U98" t="str">
        <f t="shared" si="22"/>
        <v>Developing</v>
      </c>
      <c r="V98" t="str">
        <f t="shared" si="23"/>
        <v>Interview</v>
      </c>
      <c r="W98" t="str">
        <f t="shared" si="24"/>
        <v>Technical Skills</v>
      </c>
      <c r="X98" t="str">
        <f t="shared" si="25"/>
        <v>Strengthen technical skills and practical knowledge</v>
      </c>
    </row>
    <row r="99" spans="1:24" x14ac:dyDescent="0.3">
      <c r="A99">
        <v>50</v>
      </c>
      <c r="B99">
        <v>0</v>
      </c>
      <c r="C99">
        <v>4</v>
      </c>
      <c r="D99">
        <v>12</v>
      </c>
      <c r="E99">
        <v>4</v>
      </c>
      <c r="F99">
        <v>21.115352069118501</v>
      </c>
      <c r="G99">
        <v>83</v>
      </c>
      <c r="H99">
        <v>51</v>
      </c>
      <c r="I99">
        <v>31</v>
      </c>
      <c r="J99">
        <v>2</v>
      </c>
      <c r="K99">
        <v>1</v>
      </c>
      <c r="L99" t="str">
        <f t="shared" si="13"/>
        <v>C098</v>
      </c>
      <c r="M99" t="str">
        <f t="shared" si="14"/>
        <v>Male</v>
      </c>
      <c r="N99" t="str">
        <f t="shared" si="15"/>
        <v>PhD</v>
      </c>
      <c r="O99" t="str">
        <f t="shared" si="16"/>
        <v>Senior Level</v>
      </c>
      <c r="P99" t="str">
        <f t="shared" si="17"/>
        <v>Strong</v>
      </c>
      <c r="Q99" t="str">
        <f t="shared" si="18"/>
        <v>Intermediate</v>
      </c>
      <c r="R99" t="str">
        <f t="shared" si="19"/>
        <v>Needs Improvement</v>
      </c>
      <c r="S99" t="str">
        <f t="shared" si="20"/>
        <v>Hired</v>
      </c>
      <c r="T99">
        <f t="shared" si="21"/>
        <v>63</v>
      </c>
      <c r="U99" t="str">
        <f t="shared" si="22"/>
        <v>Developing</v>
      </c>
      <c r="V99" t="str">
        <f t="shared" si="23"/>
        <v>Interview</v>
      </c>
      <c r="W99" t="str">
        <f t="shared" si="24"/>
        <v>Personality &amp; Communication</v>
      </c>
      <c r="X99" t="str">
        <f t="shared" si="25"/>
        <v>Work on communication and personality development</v>
      </c>
    </row>
    <row r="100" spans="1:24" x14ac:dyDescent="0.3">
      <c r="A100">
        <v>37</v>
      </c>
      <c r="B100">
        <v>1</v>
      </c>
      <c r="C100">
        <v>2</v>
      </c>
      <c r="D100">
        <v>3</v>
      </c>
      <c r="E100">
        <v>5</v>
      </c>
      <c r="F100">
        <v>22.247675953121501</v>
      </c>
      <c r="G100">
        <v>64</v>
      </c>
      <c r="H100">
        <v>33</v>
      </c>
      <c r="I100">
        <v>79</v>
      </c>
      <c r="J100">
        <v>1</v>
      </c>
      <c r="K100">
        <v>0</v>
      </c>
      <c r="L100" t="str">
        <f t="shared" si="13"/>
        <v>C099</v>
      </c>
      <c r="M100" t="str">
        <f t="shared" si="14"/>
        <v>Female</v>
      </c>
      <c r="N100" t="str">
        <f t="shared" si="15"/>
        <v>Bachelor's Type 2</v>
      </c>
      <c r="O100" t="str">
        <f t="shared" si="16"/>
        <v>Mid Level</v>
      </c>
      <c r="P100" t="str">
        <f t="shared" si="17"/>
        <v>Average</v>
      </c>
      <c r="Q100" t="str">
        <f t="shared" si="18"/>
        <v>Beginner</v>
      </c>
      <c r="R100" t="str">
        <f t="shared" si="19"/>
        <v>Strong</v>
      </c>
      <c r="S100" t="str">
        <f t="shared" si="20"/>
        <v>Not Hired</v>
      </c>
      <c r="T100">
        <f t="shared" si="21"/>
        <v>50</v>
      </c>
      <c r="U100" t="str">
        <f t="shared" si="22"/>
        <v>Developing</v>
      </c>
      <c r="V100" t="str">
        <f t="shared" si="23"/>
        <v>Personality</v>
      </c>
      <c r="W100" t="str">
        <f t="shared" si="24"/>
        <v>Technical Skills</v>
      </c>
      <c r="X100" t="str">
        <f t="shared" si="25"/>
        <v>Strengthen technical skills and practical knowledge</v>
      </c>
    </row>
    <row r="101" spans="1:24" x14ac:dyDescent="0.3">
      <c r="A101">
        <v>45</v>
      </c>
      <c r="B101">
        <v>1</v>
      </c>
      <c r="C101">
        <v>3</v>
      </c>
      <c r="D101">
        <v>0</v>
      </c>
      <c r="E101">
        <v>5</v>
      </c>
      <c r="F101">
        <v>20.1441573642091</v>
      </c>
      <c r="G101">
        <v>51</v>
      </c>
      <c r="H101">
        <v>48</v>
      </c>
      <c r="I101">
        <v>0</v>
      </c>
      <c r="J101">
        <v>3</v>
      </c>
      <c r="K101">
        <v>0</v>
      </c>
      <c r="L101" t="str">
        <f t="shared" si="13"/>
        <v>C100</v>
      </c>
      <c r="M101" t="str">
        <f t="shared" si="14"/>
        <v>Female</v>
      </c>
      <c r="N101" t="str">
        <f t="shared" si="15"/>
        <v>Master's</v>
      </c>
      <c r="O101" t="str">
        <f t="shared" si="16"/>
        <v>Entry Level</v>
      </c>
      <c r="P101" t="str">
        <f t="shared" si="17"/>
        <v>Average</v>
      </c>
      <c r="Q101" t="str">
        <f t="shared" si="18"/>
        <v>Beginner</v>
      </c>
      <c r="R101" t="str">
        <f t="shared" si="19"/>
        <v>Needs Improvement</v>
      </c>
      <c r="S101" t="str">
        <f t="shared" si="20"/>
        <v>Not Hired</v>
      </c>
      <c r="T101">
        <f t="shared" si="21"/>
        <v>33</v>
      </c>
      <c r="U101" t="str">
        <f t="shared" si="22"/>
        <v>Needs Improvement</v>
      </c>
      <c r="V101" t="str">
        <f t="shared" si="23"/>
        <v>Interview</v>
      </c>
      <c r="W101" t="str">
        <f t="shared" si="24"/>
        <v>Personality &amp; Communication</v>
      </c>
      <c r="X101" t="str">
        <f t="shared" si="25"/>
        <v>Work on communication and personality development</v>
      </c>
    </row>
    <row r="102" spans="1:24" x14ac:dyDescent="0.3">
      <c r="A102">
        <v>31</v>
      </c>
      <c r="B102">
        <v>0</v>
      </c>
      <c r="C102">
        <v>1</v>
      </c>
      <c r="D102">
        <v>2</v>
      </c>
      <c r="E102">
        <v>1</v>
      </c>
      <c r="F102">
        <v>36.953781025540501</v>
      </c>
      <c r="G102">
        <v>66</v>
      </c>
      <c r="H102">
        <v>27</v>
      </c>
      <c r="I102">
        <v>76</v>
      </c>
      <c r="J102">
        <v>1</v>
      </c>
      <c r="K102">
        <v>0</v>
      </c>
      <c r="L102" t="str">
        <f t="shared" si="13"/>
        <v>C101</v>
      </c>
      <c r="M102" t="str">
        <f t="shared" si="14"/>
        <v>Male</v>
      </c>
      <c r="N102" t="str">
        <f t="shared" si="15"/>
        <v>Bachelor's Type 1</v>
      </c>
      <c r="O102" t="str">
        <f t="shared" si="16"/>
        <v>Entry Level</v>
      </c>
      <c r="P102" t="str">
        <f t="shared" si="17"/>
        <v>Average</v>
      </c>
      <c r="Q102" t="str">
        <f t="shared" si="18"/>
        <v>Beginner</v>
      </c>
      <c r="R102" t="str">
        <f t="shared" si="19"/>
        <v>Strong</v>
      </c>
      <c r="S102" t="str">
        <f t="shared" si="20"/>
        <v>Not Hired</v>
      </c>
      <c r="T102">
        <f t="shared" si="21"/>
        <v>48</v>
      </c>
      <c r="U102" t="str">
        <f t="shared" si="22"/>
        <v>Needs Improvement</v>
      </c>
      <c r="V102" t="str">
        <f t="shared" si="23"/>
        <v>Personality</v>
      </c>
      <c r="W102" t="str">
        <f t="shared" si="24"/>
        <v>Technical Skills</v>
      </c>
      <c r="X102" t="str">
        <f t="shared" si="25"/>
        <v>Strengthen technical skills and practical knowledge</v>
      </c>
    </row>
    <row r="103" spans="1:24" x14ac:dyDescent="0.3">
      <c r="A103">
        <v>21</v>
      </c>
      <c r="B103">
        <v>1</v>
      </c>
      <c r="C103">
        <v>2</v>
      </c>
      <c r="D103">
        <v>9</v>
      </c>
      <c r="E103">
        <v>3</v>
      </c>
      <c r="F103">
        <v>28.375894202999699</v>
      </c>
      <c r="G103">
        <v>81</v>
      </c>
      <c r="H103">
        <v>82</v>
      </c>
      <c r="I103">
        <v>53</v>
      </c>
      <c r="J103">
        <v>1</v>
      </c>
      <c r="K103">
        <v>1</v>
      </c>
      <c r="L103" t="str">
        <f t="shared" si="13"/>
        <v>C102</v>
      </c>
      <c r="M103" t="str">
        <f t="shared" si="14"/>
        <v>Female</v>
      </c>
      <c r="N103" t="str">
        <f t="shared" si="15"/>
        <v>Bachelor's Type 2</v>
      </c>
      <c r="O103" t="str">
        <f t="shared" si="16"/>
        <v>Senior Level</v>
      </c>
      <c r="P103" t="str">
        <f t="shared" si="17"/>
        <v>Strong</v>
      </c>
      <c r="Q103" t="str">
        <f t="shared" si="18"/>
        <v>Advanced</v>
      </c>
      <c r="R103" t="str">
        <f t="shared" si="19"/>
        <v>Good</v>
      </c>
      <c r="S103" t="str">
        <f t="shared" si="20"/>
        <v>Hired</v>
      </c>
      <c r="T103">
        <f t="shared" si="21"/>
        <v>71</v>
      </c>
      <c r="U103" t="str">
        <f t="shared" si="22"/>
        <v>Developing</v>
      </c>
      <c r="V103" t="str">
        <f t="shared" si="23"/>
        <v>Technical Skills</v>
      </c>
      <c r="W103" t="str">
        <f t="shared" si="24"/>
        <v>Personality &amp; Communication</v>
      </c>
      <c r="X103" t="str">
        <f t="shared" si="25"/>
        <v>Work on communication and personality development</v>
      </c>
    </row>
    <row r="104" spans="1:24" x14ac:dyDescent="0.3">
      <c r="A104">
        <v>29</v>
      </c>
      <c r="B104">
        <v>0</v>
      </c>
      <c r="C104">
        <v>2</v>
      </c>
      <c r="D104">
        <v>8</v>
      </c>
      <c r="E104">
        <v>2</v>
      </c>
      <c r="F104">
        <v>48.188905568418399</v>
      </c>
      <c r="G104">
        <v>77</v>
      </c>
      <c r="H104">
        <v>86</v>
      </c>
      <c r="I104">
        <v>10</v>
      </c>
      <c r="J104">
        <v>2</v>
      </c>
      <c r="K104">
        <v>0</v>
      </c>
      <c r="L104" t="str">
        <f t="shared" si="13"/>
        <v>C103</v>
      </c>
      <c r="M104" t="str">
        <f t="shared" si="14"/>
        <v>Male</v>
      </c>
      <c r="N104" t="str">
        <f t="shared" si="15"/>
        <v>Bachelor's Type 2</v>
      </c>
      <c r="O104" t="str">
        <f t="shared" si="16"/>
        <v>Senior Level</v>
      </c>
      <c r="P104" t="str">
        <f t="shared" si="17"/>
        <v>Strong</v>
      </c>
      <c r="Q104" t="str">
        <f t="shared" si="18"/>
        <v>Advanced</v>
      </c>
      <c r="R104" t="str">
        <f t="shared" si="19"/>
        <v>Needs Improvement</v>
      </c>
      <c r="S104" t="str">
        <f t="shared" si="20"/>
        <v>Not Hired</v>
      </c>
      <c r="T104">
        <f t="shared" si="21"/>
        <v>61</v>
      </c>
      <c r="U104" t="str">
        <f t="shared" si="22"/>
        <v>Developing</v>
      </c>
      <c r="V104" t="str">
        <f t="shared" si="23"/>
        <v>Technical Skills</v>
      </c>
      <c r="W104" t="str">
        <f t="shared" si="24"/>
        <v>Personality &amp; Communication</v>
      </c>
      <c r="X104" t="str">
        <f t="shared" si="25"/>
        <v>Work on communication and personality development</v>
      </c>
    </row>
    <row r="105" spans="1:24" x14ac:dyDescent="0.3">
      <c r="A105">
        <v>49</v>
      </c>
      <c r="B105">
        <v>1</v>
      </c>
      <c r="C105">
        <v>3</v>
      </c>
      <c r="D105">
        <v>9</v>
      </c>
      <c r="E105">
        <v>1</v>
      </c>
      <c r="F105">
        <v>13.544515826705201</v>
      </c>
      <c r="G105">
        <v>30</v>
      </c>
      <c r="H105">
        <v>95</v>
      </c>
      <c r="I105">
        <v>52</v>
      </c>
      <c r="J105">
        <v>2</v>
      </c>
      <c r="K105">
        <v>0</v>
      </c>
      <c r="L105" t="str">
        <f t="shared" si="13"/>
        <v>C104</v>
      </c>
      <c r="M105" t="str">
        <f t="shared" si="14"/>
        <v>Female</v>
      </c>
      <c r="N105" t="str">
        <f t="shared" si="15"/>
        <v>Master's</v>
      </c>
      <c r="O105" t="str">
        <f t="shared" si="16"/>
        <v>Senior Level</v>
      </c>
      <c r="P105" t="str">
        <f t="shared" si="17"/>
        <v>Low</v>
      </c>
      <c r="Q105" t="str">
        <f t="shared" si="18"/>
        <v>Advanced</v>
      </c>
      <c r="R105" t="str">
        <f t="shared" si="19"/>
        <v>Good</v>
      </c>
      <c r="S105" t="str">
        <f t="shared" si="20"/>
        <v>Not Hired</v>
      </c>
      <c r="T105">
        <f t="shared" si="21"/>
        <v>61</v>
      </c>
      <c r="U105" t="str">
        <f t="shared" si="22"/>
        <v>Developing</v>
      </c>
      <c r="V105" t="str">
        <f t="shared" si="23"/>
        <v>Technical Skills</v>
      </c>
      <c r="W105" t="str">
        <f t="shared" si="24"/>
        <v>Interview Preparation</v>
      </c>
      <c r="X105" t="str">
        <f t="shared" si="25"/>
        <v>Improve interview preparation and communication</v>
      </c>
    </row>
    <row r="106" spans="1:24" x14ac:dyDescent="0.3">
      <c r="A106">
        <v>23</v>
      </c>
      <c r="B106">
        <v>0</v>
      </c>
      <c r="C106">
        <v>1</v>
      </c>
      <c r="D106">
        <v>4</v>
      </c>
      <c r="E106">
        <v>3</v>
      </c>
      <c r="F106">
        <v>6.02813660417221</v>
      </c>
      <c r="G106">
        <v>90</v>
      </c>
      <c r="H106">
        <v>12</v>
      </c>
      <c r="I106">
        <v>7</v>
      </c>
      <c r="J106">
        <v>3</v>
      </c>
      <c r="K106">
        <v>0</v>
      </c>
      <c r="L106" t="str">
        <f t="shared" si="13"/>
        <v>C105</v>
      </c>
      <c r="M106" t="str">
        <f t="shared" si="14"/>
        <v>Male</v>
      </c>
      <c r="N106" t="str">
        <f t="shared" si="15"/>
        <v>Bachelor's Type 1</v>
      </c>
      <c r="O106" t="str">
        <f t="shared" si="16"/>
        <v>Mid Level</v>
      </c>
      <c r="P106" t="str">
        <f t="shared" si="17"/>
        <v>Strong</v>
      </c>
      <c r="Q106" t="str">
        <f t="shared" si="18"/>
        <v>Beginner</v>
      </c>
      <c r="R106" t="str">
        <f t="shared" si="19"/>
        <v>Needs Improvement</v>
      </c>
      <c r="S106" t="str">
        <f t="shared" si="20"/>
        <v>Not Hired</v>
      </c>
      <c r="T106">
        <f t="shared" si="21"/>
        <v>39</v>
      </c>
      <c r="U106" t="str">
        <f t="shared" si="22"/>
        <v>Needs Improvement</v>
      </c>
      <c r="V106" t="str">
        <f t="shared" si="23"/>
        <v>Interview</v>
      </c>
      <c r="W106" t="str">
        <f t="shared" si="24"/>
        <v>Personality &amp; Communication</v>
      </c>
      <c r="X106" t="str">
        <f t="shared" si="25"/>
        <v>Work on communication and personality development</v>
      </c>
    </row>
    <row r="107" spans="1:24" x14ac:dyDescent="0.3">
      <c r="A107">
        <v>33</v>
      </c>
      <c r="B107">
        <v>0</v>
      </c>
      <c r="C107">
        <v>2</v>
      </c>
      <c r="D107">
        <v>14</v>
      </c>
      <c r="E107">
        <v>4</v>
      </c>
      <c r="F107">
        <v>20.663074254960701</v>
      </c>
      <c r="G107">
        <v>16</v>
      </c>
      <c r="H107">
        <v>96</v>
      </c>
      <c r="I107">
        <v>24</v>
      </c>
      <c r="J107">
        <v>1</v>
      </c>
      <c r="K107">
        <v>1</v>
      </c>
      <c r="L107" t="str">
        <f t="shared" si="13"/>
        <v>C106</v>
      </c>
      <c r="M107" t="str">
        <f t="shared" si="14"/>
        <v>Male</v>
      </c>
      <c r="N107" t="str">
        <f t="shared" si="15"/>
        <v>Bachelor's Type 2</v>
      </c>
      <c r="O107" t="str">
        <f t="shared" si="16"/>
        <v>Senior Level</v>
      </c>
      <c r="P107" t="str">
        <f t="shared" si="17"/>
        <v>Low</v>
      </c>
      <c r="Q107" t="str">
        <f t="shared" si="18"/>
        <v>Advanced</v>
      </c>
      <c r="R107" t="str">
        <f t="shared" si="19"/>
        <v>Needs Improvement</v>
      </c>
      <c r="S107" t="str">
        <f t="shared" si="20"/>
        <v>Hired</v>
      </c>
      <c r="T107">
        <f t="shared" si="21"/>
        <v>55</v>
      </c>
      <c r="U107" t="str">
        <f t="shared" si="22"/>
        <v>Developing</v>
      </c>
      <c r="V107" t="str">
        <f t="shared" si="23"/>
        <v>Technical Skills</v>
      </c>
      <c r="W107" t="str">
        <f t="shared" si="24"/>
        <v>Interview Preparation</v>
      </c>
      <c r="X107" t="str">
        <f t="shared" si="25"/>
        <v>Improve interview preparation and communication</v>
      </c>
    </row>
    <row r="108" spans="1:24" x14ac:dyDescent="0.3">
      <c r="A108">
        <v>50</v>
      </c>
      <c r="B108">
        <v>1</v>
      </c>
      <c r="C108">
        <v>4</v>
      </c>
      <c r="D108">
        <v>10</v>
      </c>
      <c r="E108">
        <v>5</v>
      </c>
      <c r="F108">
        <v>31.835635382338801</v>
      </c>
      <c r="G108">
        <v>54</v>
      </c>
      <c r="H108">
        <v>97</v>
      </c>
      <c r="I108">
        <v>39</v>
      </c>
      <c r="J108">
        <v>3</v>
      </c>
      <c r="K108">
        <v>0</v>
      </c>
      <c r="L108" t="str">
        <f t="shared" si="13"/>
        <v>C107</v>
      </c>
      <c r="M108" t="str">
        <f t="shared" si="14"/>
        <v>Female</v>
      </c>
      <c r="N108" t="str">
        <f t="shared" si="15"/>
        <v>PhD</v>
      </c>
      <c r="O108" t="str">
        <f t="shared" si="16"/>
        <v>Senior Level</v>
      </c>
      <c r="P108" t="str">
        <f t="shared" si="17"/>
        <v>Average</v>
      </c>
      <c r="Q108" t="str">
        <f t="shared" si="18"/>
        <v>Advanced</v>
      </c>
      <c r="R108" t="str">
        <f t="shared" si="19"/>
        <v>Needs Improvement</v>
      </c>
      <c r="S108" t="str">
        <f t="shared" si="20"/>
        <v>Not Hired</v>
      </c>
      <c r="T108">
        <f t="shared" si="21"/>
        <v>68</v>
      </c>
      <c r="U108" t="str">
        <f t="shared" si="22"/>
        <v>Developing</v>
      </c>
      <c r="V108" t="str">
        <f t="shared" si="23"/>
        <v>Technical Skills</v>
      </c>
      <c r="W108" t="str">
        <f t="shared" si="24"/>
        <v>Personality &amp; Communication</v>
      </c>
      <c r="X108" t="str">
        <f t="shared" si="25"/>
        <v>Work on communication and personality development</v>
      </c>
    </row>
    <row r="109" spans="1:24" x14ac:dyDescent="0.3">
      <c r="A109">
        <v>35</v>
      </c>
      <c r="B109">
        <v>0</v>
      </c>
      <c r="C109">
        <v>2</v>
      </c>
      <c r="D109">
        <v>5</v>
      </c>
      <c r="E109">
        <v>2</v>
      </c>
      <c r="F109">
        <v>44.039946845774701</v>
      </c>
      <c r="G109">
        <v>92</v>
      </c>
      <c r="H109">
        <v>96</v>
      </c>
      <c r="I109">
        <v>31</v>
      </c>
      <c r="J109">
        <v>2</v>
      </c>
      <c r="K109">
        <v>0</v>
      </c>
      <c r="L109" t="str">
        <f t="shared" si="13"/>
        <v>C108</v>
      </c>
      <c r="M109" t="str">
        <f t="shared" si="14"/>
        <v>Male</v>
      </c>
      <c r="N109" t="str">
        <f t="shared" si="15"/>
        <v>Bachelor's Type 2</v>
      </c>
      <c r="O109" t="str">
        <f t="shared" si="16"/>
        <v>Mid Level</v>
      </c>
      <c r="P109" t="str">
        <f t="shared" si="17"/>
        <v>Strong</v>
      </c>
      <c r="Q109" t="str">
        <f t="shared" si="18"/>
        <v>Advanced</v>
      </c>
      <c r="R109" t="str">
        <f t="shared" si="19"/>
        <v>Needs Improvement</v>
      </c>
      <c r="S109" t="str">
        <f t="shared" si="20"/>
        <v>Not Hired</v>
      </c>
      <c r="T109">
        <f t="shared" si="21"/>
        <v>70</v>
      </c>
      <c r="U109" t="str">
        <f t="shared" si="22"/>
        <v>Developing</v>
      </c>
      <c r="V109" t="str">
        <f t="shared" si="23"/>
        <v>Technical Skills</v>
      </c>
      <c r="W109" t="str">
        <f t="shared" si="24"/>
        <v>Personality &amp; Communication</v>
      </c>
      <c r="X109" t="str">
        <f t="shared" si="25"/>
        <v>Work on communication and personality development</v>
      </c>
    </row>
    <row r="110" spans="1:24" x14ac:dyDescent="0.3">
      <c r="A110">
        <v>34</v>
      </c>
      <c r="B110">
        <v>0</v>
      </c>
      <c r="C110">
        <v>2</v>
      </c>
      <c r="D110">
        <v>2</v>
      </c>
      <c r="E110">
        <v>5</v>
      </c>
      <c r="F110">
        <v>18.309844334016301</v>
      </c>
      <c r="G110">
        <v>35</v>
      </c>
      <c r="H110">
        <v>68</v>
      </c>
      <c r="I110">
        <v>87</v>
      </c>
      <c r="J110">
        <v>2</v>
      </c>
      <c r="K110">
        <v>0</v>
      </c>
      <c r="L110" t="str">
        <f t="shared" si="13"/>
        <v>C109</v>
      </c>
      <c r="M110" t="str">
        <f t="shared" si="14"/>
        <v>Male</v>
      </c>
      <c r="N110" t="str">
        <f t="shared" si="15"/>
        <v>Bachelor's Type 2</v>
      </c>
      <c r="O110" t="str">
        <f t="shared" si="16"/>
        <v>Entry Level</v>
      </c>
      <c r="P110" t="str">
        <f t="shared" si="17"/>
        <v>Low</v>
      </c>
      <c r="Q110" t="str">
        <f t="shared" si="18"/>
        <v>Intermediate</v>
      </c>
      <c r="R110" t="str">
        <f t="shared" si="19"/>
        <v>Strong</v>
      </c>
      <c r="S110" t="str">
        <f t="shared" si="20"/>
        <v>Not Hired</v>
      </c>
      <c r="T110">
        <f t="shared" si="21"/>
        <v>53</v>
      </c>
      <c r="U110" t="str">
        <f t="shared" si="22"/>
        <v>Developing</v>
      </c>
      <c r="V110" t="str">
        <f t="shared" si="23"/>
        <v>Personality</v>
      </c>
      <c r="W110" t="str">
        <f t="shared" si="24"/>
        <v>Interview Preparation</v>
      </c>
      <c r="X110" t="str">
        <f t="shared" si="25"/>
        <v>Improve interview preparation and communication</v>
      </c>
    </row>
    <row r="111" spans="1:24" x14ac:dyDescent="0.3">
      <c r="A111">
        <v>27</v>
      </c>
      <c r="B111">
        <v>1</v>
      </c>
      <c r="C111">
        <v>1</v>
      </c>
      <c r="D111">
        <v>15</v>
      </c>
      <c r="E111">
        <v>4</v>
      </c>
      <c r="F111">
        <v>33.689337556223002</v>
      </c>
      <c r="G111">
        <v>100</v>
      </c>
      <c r="H111">
        <v>66</v>
      </c>
      <c r="I111">
        <v>27</v>
      </c>
      <c r="J111">
        <v>1</v>
      </c>
      <c r="K111">
        <v>1</v>
      </c>
      <c r="L111" t="str">
        <f t="shared" si="13"/>
        <v>C110</v>
      </c>
      <c r="M111" t="str">
        <f t="shared" si="14"/>
        <v>Female</v>
      </c>
      <c r="N111" t="str">
        <f t="shared" si="15"/>
        <v>Bachelor's Type 1</v>
      </c>
      <c r="O111" t="str">
        <f t="shared" si="16"/>
        <v>Senior Level</v>
      </c>
      <c r="P111" t="str">
        <f t="shared" si="17"/>
        <v>Strong</v>
      </c>
      <c r="Q111" t="str">
        <f t="shared" si="18"/>
        <v>Intermediate</v>
      </c>
      <c r="R111" t="str">
        <f t="shared" si="19"/>
        <v>Needs Improvement</v>
      </c>
      <c r="S111" t="str">
        <f t="shared" si="20"/>
        <v>Hired</v>
      </c>
      <c r="T111">
        <f t="shared" si="21"/>
        <v>73</v>
      </c>
      <c r="U111" t="str">
        <f t="shared" si="22"/>
        <v>Developing</v>
      </c>
      <c r="V111" t="str">
        <f t="shared" si="23"/>
        <v>Interview</v>
      </c>
      <c r="W111" t="str">
        <f t="shared" si="24"/>
        <v>Personality &amp; Communication</v>
      </c>
      <c r="X111" t="str">
        <f t="shared" si="25"/>
        <v>Work on communication and personality development</v>
      </c>
    </row>
    <row r="112" spans="1:24" x14ac:dyDescent="0.3">
      <c r="A112">
        <v>33</v>
      </c>
      <c r="B112">
        <v>0</v>
      </c>
      <c r="C112">
        <v>4</v>
      </c>
      <c r="D112">
        <v>4</v>
      </c>
      <c r="E112">
        <v>3</v>
      </c>
      <c r="F112">
        <v>18.509934051160901</v>
      </c>
      <c r="G112">
        <v>25</v>
      </c>
      <c r="H112">
        <v>60</v>
      </c>
      <c r="I112">
        <v>77</v>
      </c>
      <c r="J112">
        <v>1</v>
      </c>
      <c r="K112">
        <v>1</v>
      </c>
      <c r="L112" t="str">
        <f t="shared" si="13"/>
        <v>C111</v>
      </c>
      <c r="M112" t="str">
        <f t="shared" si="14"/>
        <v>Male</v>
      </c>
      <c r="N112" t="str">
        <f t="shared" si="15"/>
        <v>PhD</v>
      </c>
      <c r="O112" t="str">
        <f t="shared" si="16"/>
        <v>Mid Level</v>
      </c>
      <c r="P112" t="str">
        <f t="shared" si="17"/>
        <v>Low</v>
      </c>
      <c r="Q112" t="str">
        <f t="shared" si="18"/>
        <v>Intermediate</v>
      </c>
      <c r="R112" t="str">
        <f t="shared" si="19"/>
        <v>Strong</v>
      </c>
      <c r="S112" t="str">
        <f t="shared" si="20"/>
        <v>Hired</v>
      </c>
      <c r="T112">
        <f t="shared" si="21"/>
        <v>50</v>
      </c>
      <c r="U112" t="str">
        <f t="shared" si="22"/>
        <v>Developing</v>
      </c>
      <c r="V112" t="str">
        <f t="shared" si="23"/>
        <v>Personality</v>
      </c>
      <c r="W112" t="str">
        <f t="shared" si="24"/>
        <v>Interview Preparation</v>
      </c>
      <c r="X112" t="str">
        <f t="shared" si="25"/>
        <v>Improve interview preparation and communication</v>
      </c>
    </row>
    <row r="113" spans="1:24" x14ac:dyDescent="0.3">
      <c r="A113">
        <v>42</v>
      </c>
      <c r="B113">
        <v>0</v>
      </c>
      <c r="C113">
        <v>1</v>
      </c>
      <c r="D113">
        <v>10</v>
      </c>
      <c r="E113">
        <v>4</v>
      </c>
      <c r="F113">
        <v>31.860979149722901</v>
      </c>
      <c r="G113">
        <v>52</v>
      </c>
      <c r="H113">
        <v>59</v>
      </c>
      <c r="I113">
        <v>2</v>
      </c>
      <c r="J113">
        <v>3</v>
      </c>
      <c r="K113">
        <v>0</v>
      </c>
      <c r="L113" t="str">
        <f t="shared" si="13"/>
        <v>C112</v>
      </c>
      <c r="M113" t="str">
        <f t="shared" si="14"/>
        <v>Male</v>
      </c>
      <c r="N113" t="str">
        <f t="shared" si="15"/>
        <v>Bachelor's Type 1</v>
      </c>
      <c r="O113" t="str">
        <f t="shared" si="16"/>
        <v>Senior Level</v>
      </c>
      <c r="P113" t="str">
        <f t="shared" si="17"/>
        <v>Average</v>
      </c>
      <c r="Q113" t="str">
        <f t="shared" si="18"/>
        <v>Intermediate</v>
      </c>
      <c r="R113" t="str">
        <f t="shared" si="19"/>
        <v>Needs Improvement</v>
      </c>
      <c r="S113" t="str">
        <f t="shared" si="20"/>
        <v>Not Hired</v>
      </c>
      <c r="T113">
        <f t="shared" si="21"/>
        <v>46</v>
      </c>
      <c r="U113" t="str">
        <f t="shared" si="22"/>
        <v>Needs Improvement</v>
      </c>
      <c r="V113" t="str">
        <f t="shared" si="23"/>
        <v>Technical Skills</v>
      </c>
      <c r="W113" t="str">
        <f t="shared" si="24"/>
        <v>Personality &amp; Communication</v>
      </c>
      <c r="X113" t="str">
        <f t="shared" si="25"/>
        <v>Work on communication and personality development</v>
      </c>
    </row>
    <row r="114" spans="1:24" x14ac:dyDescent="0.3">
      <c r="A114">
        <v>47</v>
      </c>
      <c r="B114">
        <v>1</v>
      </c>
      <c r="C114">
        <v>3</v>
      </c>
      <c r="D114">
        <v>7</v>
      </c>
      <c r="E114">
        <v>4</v>
      </c>
      <c r="F114">
        <v>45.240397351532501</v>
      </c>
      <c r="G114">
        <v>16</v>
      </c>
      <c r="H114">
        <v>70</v>
      </c>
      <c r="I114">
        <v>99</v>
      </c>
      <c r="J114">
        <v>2</v>
      </c>
      <c r="K114">
        <v>1</v>
      </c>
      <c r="L114" t="str">
        <f t="shared" si="13"/>
        <v>C113</v>
      </c>
      <c r="M114" t="str">
        <f t="shared" si="14"/>
        <v>Female</v>
      </c>
      <c r="N114" t="str">
        <f t="shared" si="15"/>
        <v>Master's</v>
      </c>
      <c r="O114" t="str">
        <f t="shared" si="16"/>
        <v>Senior Level</v>
      </c>
      <c r="P114" t="str">
        <f t="shared" si="17"/>
        <v>Low</v>
      </c>
      <c r="Q114" t="str">
        <f t="shared" si="18"/>
        <v>Intermediate</v>
      </c>
      <c r="R114" t="str">
        <f t="shared" si="19"/>
        <v>Strong</v>
      </c>
      <c r="S114" t="str">
        <f t="shared" si="20"/>
        <v>Hired</v>
      </c>
      <c r="T114">
        <f t="shared" si="21"/>
        <v>56</v>
      </c>
      <c r="U114" t="str">
        <f t="shared" si="22"/>
        <v>Developing</v>
      </c>
      <c r="V114" t="str">
        <f t="shared" si="23"/>
        <v>Personality</v>
      </c>
      <c r="W114" t="str">
        <f t="shared" si="24"/>
        <v>Interview Preparation</v>
      </c>
      <c r="X114" t="str">
        <f t="shared" si="25"/>
        <v>Improve interview preparation and communication</v>
      </c>
    </row>
    <row r="115" spans="1:24" x14ac:dyDescent="0.3">
      <c r="A115">
        <v>44</v>
      </c>
      <c r="B115">
        <v>1</v>
      </c>
      <c r="C115">
        <v>3</v>
      </c>
      <c r="D115">
        <v>5</v>
      </c>
      <c r="E115">
        <v>5</v>
      </c>
      <c r="F115">
        <v>12.5678821129704</v>
      </c>
      <c r="G115">
        <v>85</v>
      </c>
      <c r="H115">
        <v>23</v>
      </c>
      <c r="I115">
        <v>90</v>
      </c>
      <c r="J115">
        <v>2</v>
      </c>
      <c r="K115">
        <v>0</v>
      </c>
      <c r="L115" t="str">
        <f t="shared" si="13"/>
        <v>C114</v>
      </c>
      <c r="M115" t="str">
        <f t="shared" si="14"/>
        <v>Female</v>
      </c>
      <c r="N115" t="str">
        <f t="shared" si="15"/>
        <v>Master's</v>
      </c>
      <c r="O115" t="str">
        <f t="shared" si="16"/>
        <v>Mid Level</v>
      </c>
      <c r="P115" t="str">
        <f t="shared" si="17"/>
        <v>Strong</v>
      </c>
      <c r="Q115" t="str">
        <f t="shared" si="18"/>
        <v>Beginner</v>
      </c>
      <c r="R115" t="str">
        <f t="shared" si="19"/>
        <v>Strong</v>
      </c>
      <c r="S115" t="str">
        <f t="shared" si="20"/>
        <v>Not Hired</v>
      </c>
      <c r="T115">
        <f t="shared" si="21"/>
        <v>59</v>
      </c>
      <c r="U115" t="str">
        <f t="shared" si="22"/>
        <v>Developing</v>
      </c>
      <c r="V115" t="str">
        <f t="shared" si="23"/>
        <v>Personality</v>
      </c>
      <c r="W115" t="str">
        <f t="shared" si="24"/>
        <v>Technical Skills</v>
      </c>
      <c r="X115" t="str">
        <f t="shared" si="25"/>
        <v>Strengthen technical skills and practical knowledge</v>
      </c>
    </row>
    <row r="116" spans="1:24" x14ac:dyDescent="0.3">
      <c r="A116">
        <v>49</v>
      </c>
      <c r="B116">
        <v>0</v>
      </c>
      <c r="C116">
        <v>2</v>
      </c>
      <c r="D116">
        <v>3</v>
      </c>
      <c r="E116">
        <v>2</v>
      </c>
      <c r="F116">
        <v>21.2120821053519</v>
      </c>
      <c r="G116">
        <v>24</v>
      </c>
      <c r="H116">
        <v>62</v>
      </c>
      <c r="I116">
        <v>83</v>
      </c>
      <c r="J116">
        <v>3</v>
      </c>
      <c r="K116">
        <v>0</v>
      </c>
      <c r="L116" t="str">
        <f t="shared" si="13"/>
        <v>C115</v>
      </c>
      <c r="M116" t="str">
        <f t="shared" si="14"/>
        <v>Male</v>
      </c>
      <c r="N116" t="str">
        <f t="shared" si="15"/>
        <v>Bachelor's Type 2</v>
      </c>
      <c r="O116" t="str">
        <f t="shared" si="16"/>
        <v>Mid Level</v>
      </c>
      <c r="P116" t="str">
        <f t="shared" si="17"/>
        <v>Low</v>
      </c>
      <c r="Q116" t="str">
        <f t="shared" si="18"/>
        <v>Intermediate</v>
      </c>
      <c r="R116" t="str">
        <f t="shared" si="19"/>
        <v>Strong</v>
      </c>
      <c r="S116" t="str">
        <f t="shared" si="20"/>
        <v>Not Hired</v>
      </c>
      <c r="T116">
        <f t="shared" si="21"/>
        <v>48</v>
      </c>
      <c r="U116" t="str">
        <f t="shared" si="22"/>
        <v>Needs Improvement</v>
      </c>
      <c r="V116" t="str">
        <f t="shared" si="23"/>
        <v>Personality</v>
      </c>
      <c r="W116" t="str">
        <f t="shared" si="24"/>
        <v>Interview Preparation</v>
      </c>
      <c r="X116" t="str">
        <f t="shared" si="25"/>
        <v>Improve interview preparation and communication</v>
      </c>
    </row>
    <row r="117" spans="1:24" x14ac:dyDescent="0.3">
      <c r="A117">
        <v>27</v>
      </c>
      <c r="B117">
        <v>0</v>
      </c>
      <c r="C117">
        <v>2</v>
      </c>
      <c r="D117">
        <v>1</v>
      </c>
      <c r="E117">
        <v>4</v>
      </c>
      <c r="F117">
        <v>50.663259821487301</v>
      </c>
      <c r="G117">
        <v>1</v>
      </c>
      <c r="H117">
        <v>85</v>
      </c>
      <c r="I117">
        <v>78</v>
      </c>
      <c r="J117">
        <v>1</v>
      </c>
      <c r="K117">
        <v>1</v>
      </c>
      <c r="L117" t="str">
        <f t="shared" si="13"/>
        <v>C116</v>
      </c>
      <c r="M117" t="str">
        <f t="shared" si="14"/>
        <v>Male</v>
      </c>
      <c r="N117" t="str">
        <f t="shared" si="15"/>
        <v>Bachelor's Type 2</v>
      </c>
      <c r="O117" t="str">
        <f t="shared" si="16"/>
        <v>Entry Level</v>
      </c>
      <c r="P117" t="str">
        <f t="shared" si="17"/>
        <v>Low</v>
      </c>
      <c r="Q117" t="str">
        <f t="shared" si="18"/>
        <v>Advanced</v>
      </c>
      <c r="R117" t="str">
        <f t="shared" si="19"/>
        <v>Strong</v>
      </c>
      <c r="S117" t="str">
        <f t="shared" si="20"/>
        <v>Hired</v>
      </c>
      <c r="T117">
        <f t="shared" si="21"/>
        <v>45</v>
      </c>
      <c r="U117" t="str">
        <f t="shared" si="22"/>
        <v>Needs Improvement</v>
      </c>
      <c r="V117" t="str">
        <f t="shared" si="23"/>
        <v>Technical Skills</v>
      </c>
      <c r="W117" t="str">
        <f t="shared" si="24"/>
        <v>Interview Preparation</v>
      </c>
      <c r="X117" t="str">
        <f t="shared" si="25"/>
        <v>Improve interview preparation and communication</v>
      </c>
    </row>
    <row r="118" spans="1:24" x14ac:dyDescent="0.3">
      <c r="A118">
        <v>40</v>
      </c>
      <c r="B118">
        <v>1</v>
      </c>
      <c r="C118">
        <v>1</v>
      </c>
      <c r="D118">
        <v>13</v>
      </c>
      <c r="E118">
        <v>5</v>
      </c>
      <c r="F118">
        <v>44.427851412472997</v>
      </c>
      <c r="G118">
        <v>85</v>
      </c>
      <c r="H118">
        <v>60</v>
      </c>
      <c r="I118">
        <v>61</v>
      </c>
      <c r="J118">
        <v>2</v>
      </c>
      <c r="K118">
        <v>1</v>
      </c>
      <c r="L118" t="str">
        <f t="shared" si="13"/>
        <v>C117</v>
      </c>
      <c r="M118" t="str">
        <f t="shared" si="14"/>
        <v>Female</v>
      </c>
      <c r="N118" t="str">
        <f t="shared" si="15"/>
        <v>Bachelor's Type 1</v>
      </c>
      <c r="O118" t="str">
        <f t="shared" si="16"/>
        <v>Senior Level</v>
      </c>
      <c r="P118" t="str">
        <f t="shared" si="17"/>
        <v>Strong</v>
      </c>
      <c r="Q118" t="str">
        <f t="shared" si="18"/>
        <v>Intermediate</v>
      </c>
      <c r="R118" t="str">
        <f t="shared" si="19"/>
        <v>Good</v>
      </c>
      <c r="S118" t="str">
        <f t="shared" si="20"/>
        <v>Hired</v>
      </c>
      <c r="T118">
        <f t="shared" si="21"/>
        <v>71</v>
      </c>
      <c r="U118" t="str">
        <f t="shared" si="22"/>
        <v>Developing</v>
      </c>
      <c r="V118" t="str">
        <f t="shared" si="23"/>
        <v>Interview</v>
      </c>
      <c r="W118" t="str">
        <f t="shared" si="24"/>
        <v>Technical Skills</v>
      </c>
      <c r="X118" t="str">
        <f t="shared" si="25"/>
        <v>Strengthen technical skills and practical knowledge</v>
      </c>
    </row>
    <row r="119" spans="1:24" x14ac:dyDescent="0.3">
      <c r="A119">
        <v>35</v>
      </c>
      <c r="B119">
        <v>1</v>
      </c>
      <c r="C119">
        <v>2</v>
      </c>
      <c r="D119">
        <v>8</v>
      </c>
      <c r="E119">
        <v>2</v>
      </c>
      <c r="F119">
        <v>29.231992894809999</v>
      </c>
      <c r="G119">
        <v>4</v>
      </c>
      <c r="H119">
        <v>22</v>
      </c>
      <c r="I119">
        <v>26</v>
      </c>
      <c r="J119">
        <v>2</v>
      </c>
      <c r="K119">
        <v>0</v>
      </c>
      <c r="L119" t="str">
        <f t="shared" si="13"/>
        <v>C118</v>
      </c>
      <c r="M119" t="str">
        <f t="shared" si="14"/>
        <v>Female</v>
      </c>
      <c r="N119" t="str">
        <f t="shared" si="15"/>
        <v>Bachelor's Type 2</v>
      </c>
      <c r="O119" t="str">
        <f t="shared" si="16"/>
        <v>Senior Level</v>
      </c>
      <c r="P119" t="str">
        <f t="shared" si="17"/>
        <v>Low</v>
      </c>
      <c r="Q119" t="str">
        <f t="shared" si="18"/>
        <v>Beginner</v>
      </c>
      <c r="R119" t="str">
        <f t="shared" si="19"/>
        <v>Needs Improvement</v>
      </c>
      <c r="S119" t="str">
        <f t="shared" si="20"/>
        <v>Not Hired</v>
      </c>
      <c r="T119">
        <f t="shared" si="21"/>
        <v>24</v>
      </c>
      <c r="U119" t="str">
        <f t="shared" si="22"/>
        <v>Needs Improvement</v>
      </c>
      <c r="V119" t="str">
        <f t="shared" si="23"/>
        <v>Personality</v>
      </c>
      <c r="W119" t="str">
        <f t="shared" si="24"/>
        <v>Interview Preparation</v>
      </c>
      <c r="X119" t="str">
        <f t="shared" si="25"/>
        <v>Improve interview preparation and communication</v>
      </c>
    </row>
    <row r="120" spans="1:24" x14ac:dyDescent="0.3">
      <c r="A120">
        <v>32</v>
      </c>
      <c r="B120">
        <v>0</v>
      </c>
      <c r="C120">
        <v>3</v>
      </c>
      <c r="D120">
        <v>12</v>
      </c>
      <c r="E120">
        <v>3</v>
      </c>
      <c r="F120">
        <v>26.831379592713699</v>
      </c>
      <c r="G120">
        <v>3</v>
      </c>
      <c r="H120">
        <v>29</v>
      </c>
      <c r="I120">
        <v>44</v>
      </c>
      <c r="J120">
        <v>1</v>
      </c>
      <c r="K120">
        <v>1</v>
      </c>
      <c r="L120" t="str">
        <f t="shared" si="13"/>
        <v>C119</v>
      </c>
      <c r="M120" t="str">
        <f t="shared" si="14"/>
        <v>Male</v>
      </c>
      <c r="N120" t="str">
        <f t="shared" si="15"/>
        <v>Master's</v>
      </c>
      <c r="O120" t="str">
        <f t="shared" si="16"/>
        <v>Senior Level</v>
      </c>
      <c r="P120" t="str">
        <f t="shared" si="17"/>
        <v>Low</v>
      </c>
      <c r="Q120" t="str">
        <f t="shared" si="18"/>
        <v>Beginner</v>
      </c>
      <c r="R120" t="str">
        <f t="shared" si="19"/>
        <v>Needs Improvement</v>
      </c>
      <c r="S120" t="str">
        <f t="shared" si="20"/>
        <v>Hired</v>
      </c>
      <c r="T120">
        <f t="shared" si="21"/>
        <v>34</v>
      </c>
      <c r="U120" t="str">
        <f t="shared" si="22"/>
        <v>Needs Improvement</v>
      </c>
      <c r="V120" t="str">
        <f t="shared" si="23"/>
        <v>Personality</v>
      </c>
      <c r="W120" t="str">
        <f t="shared" si="24"/>
        <v>Interview Preparation</v>
      </c>
      <c r="X120" t="str">
        <f t="shared" si="25"/>
        <v>Improve interview preparation and communication</v>
      </c>
    </row>
    <row r="121" spans="1:24" x14ac:dyDescent="0.3">
      <c r="A121">
        <v>37</v>
      </c>
      <c r="B121">
        <v>1</v>
      </c>
      <c r="C121">
        <v>3</v>
      </c>
      <c r="D121">
        <v>11</v>
      </c>
      <c r="E121">
        <v>3</v>
      </c>
      <c r="F121">
        <v>15.230019115234001</v>
      </c>
      <c r="G121">
        <v>35</v>
      </c>
      <c r="H121">
        <v>59</v>
      </c>
      <c r="I121">
        <v>91</v>
      </c>
      <c r="J121">
        <v>1</v>
      </c>
      <c r="K121">
        <v>1</v>
      </c>
      <c r="L121" t="str">
        <f t="shared" si="13"/>
        <v>C120</v>
      </c>
      <c r="M121" t="str">
        <f t="shared" si="14"/>
        <v>Female</v>
      </c>
      <c r="N121" t="str">
        <f t="shared" si="15"/>
        <v>Master's</v>
      </c>
      <c r="O121" t="str">
        <f t="shared" si="16"/>
        <v>Senior Level</v>
      </c>
      <c r="P121" t="str">
        <f t="shared" si="17"/>
        <v>Low</v>
      </c>
      <c r="Q121" t="str">
        <f t="shared" si="18"/>
        <v>Intermediate</v>
      </c>
      <c r="R121" t="str">
        <f t="shared" si="19"/>
        <v>Strong</v>
      </c>
      <c r="S121" t="str">
        <f t="shared" si="20"/>
        <v>Hired</v>
      </c>
      <c r="T121">
        <f t="shared" si="21"/>
        <v>61</v>
      </c>
      <c r="U121" t="str">
        <f t="shared" si="22"/>
        <v>Developing</v>
      </c>
      <c r="V121" t="str">
        <f t="shared" si="23"/>
        <v>Personality</v>
      </c>
      <c r="W121" t="str">
        <f t="shared" si="24"/>
        <v>Interview Preparation</v>
      </c>
      <c r="X121" t="str">
        <f t="shared" si="25"/>
        <v>Improve interview preparation and communication</v>
      </c>
    </row>
    <row r="122" spans="1:24" x14ac:dyDescent="0.3">
      <c r="A122">
        <v>34</v>
      </c>
      <c r="B122">
        <v>0</v>
      </c>
      <c r="C122">
        <v>2</v>
      </c>
      <c r="D122">
        <v>0</v>
      </c>
      <c r="E122">
        <v>1</v>
      </c>
      <c r="F122">
        <v>26.860471384676401</v>
      </c>
      <c r="G122">
        <v>5</v>
      </c>
      <c r="H122">
        <v>17</v>
      </c>
      <c r="I122">
        <v>24</v>
      </c>
      <c r="J122">
        <v>2</v>
      </c>
      <c r="K122">
        <v>0</v>
      </c>
      <c r="L122" t="str">
        <f t="shared" si="13"/>
        <v>C121</v>
      </c>
      <c r="M122" t="str">
        <f t="shared" si="14"/>
        <v>Male</v>
      </c>
      <c r="N122" t="str">
        <f t="shared" si="15"/>
        <v>Bachelor's Type 2</v>
      </c>
      <c r="O122" t="str">
        <f t="shared" si="16"/>
        <v>Entry Level</v>
      </c>
      <c r="P122" t="str">
        <f t="shared" si="17"/>
        <v>Low</v>
      </c>
      <c r="Q122" t="str">
        <f t="shared" si="18"/>
        <v>Beginner</v>
      </c>
      <c r="R122" t="str">
        <f t="shared" si="19"/>
        <v>Needs Improvement</v>
      </c>
      <c r="S122" t="str">
        <f t="shared" si="20"/>
        <v>Not Hired</v>
      </c>
      <c r="T122">
        <f t="shared" si="21"/>
        <v>14</v>
      </c>
      <c r="U122" t="str">
        <f t="shared" si="22"/>
        <v>Needs Improvement</v>
      </c>
      <c r="V122" t="str">
        <f t="shared" si="23"/>
        <v>Personality</v>
      </c>
      <c r="W122" t="str">
        <f t="shared" si="24"/>
        <v>Interview Preparation</v>
      </c>
      <c r="X122" t="str">
        <f t="shared" si="25"/>
        <v>Improve interview preparation and communication</v>
      </c>
    </row>
    <row r="123" spans="1:24" x14ac:dyDescent="0.3">
      <c r="A123">
        <v>40</v>
      </c>
      <c r="B123">
        <v>0</v>
      </c>
      <c r="C123">
        <v>2</v>
      </c>
      <c r="D123">
        <v>0</v>
      </c>
      <c r="E123">
        <v>5</v>
      </c>
      <c r="F123">
        <v>43.409074913997301</v>
      </c>
      <c r="G123">
        <v>20</v>
      </c>
      <c r="H123">
        <v>95</v>
      </c>
      <c r="I123">
        <v>60</v>
      </c>
      <c r="J123">
        <v>2</v>
      </c>
      <c r="K123">
        <v>0</v>
      </c>
      <c r="L123" t="str">
        <f t="shared" si="13"/>
        <v>C122</v>
      </c>
      <c r="M123" t="str">
        <f t="shared" si="14"/>
        <v>Male</v>
      </c>
      <c r="N123" t="str">
        <f t="shared" si="15"/>
        <v>Bachelor's Type 2</v>
      </c>
      <c r="O123" t="str">
        <f t="shared" si="16"/>
        <v>Entry Level</v>
      </c>
      <c r="P123" t="str">
        <f t="shared" si="17"/>
        <v>Low</v>
      </c>
      <c r="Q123" t="str">
        <f t="shared" si="18"/>
        <v>Advanced</v>
      </c>
      <c r="R123" t="str">
        <f t="shared" si="19"/>
        <v>Good</v>
      </c>
      <c r="S123" t="str">
        <f t="shared" si="20"/>
        <v>Not Hired</v>
      </c>
      <c r="T123">
        <f t="shared" si="21"/>
        <v>49</v>
      </c>
      <c r="U123" t="str">
        <f t="shared" si="22"/>
        <v>Needs Improvement</v>
      </c>
      <c r="V123" t="str">
        <f t="shared" si="23"/>
        <v>Technical Skills</v>
      </c>
      <c r="W123" t="str">
        <f t="shared" si="24"/>
        <v>Interview Preparation</v>
      </c>
      <c r="X123" t="str">
        <f t="shared" si="25"/>
        <v>Improve interview preparation and communication</v>
      </c>
    </row>
    <row r="124" spans="1:24" x14ac:dyDescent="0.3">
      <c r="A124">
        <v>43</v>
      </c>
      <c r="B124">
        <v>0</v>
      </c>
      <c r="C124">
        <v>1</v>
      </c>
      <c r="D124">
        <v>12</v>
      </c>
      <c r="E124">
        <v>2</v>
      </c>
      <c r="F124">
        <v>35.258725663889003</v>
      </c>
      <c r="G124">
        <v>76</v>
      </c>
      <c r="H124">
        <v>55</v>
      </c>
      <c r="I124">
        <v>43</v>
      </c>
      <c r="J124">
        <v>2</v>
      </c>
      <c r="K124">
        <v>0</v>
      </c>
      <c r="L124" t="str">
        <f t="shared" si="13"/>
        <v>C123</v>
      </c>
      <c r="M124" t="str">
        <f t="shared" si="14"/>
        <v>Male</v>
      </c>
      <c r="N124" t="str">
        <f t="shared" si="15"/>
        <v>Bachelor's Type 1</v>
      </c>
      <c r="O124" t="str">
        <f t="shared" si="16"/>
        <v>Senior Level</v>
      </c>
      <c r="P124" t="str">
        <f t="shared" si="17"/>
        <v>Strong</v>
      </c>
      <c r="Q124" t="str">
        <f t="shared" si="18"/>
        <v>Intermediate</v>
      </c>
      <c r="R124" t="str">
        <f t="shared" si="19"/>
        <v>Needs Improvement</v>
      </c>
      <c r="S124" t="str">
        <f t="shared" si="20"/>
        <v>Not Hired</v>
      </c>
      <c r="T124">
        <f t="shared" si="21"/>
        <v>62</v>
      </c>
      <c r="U124" t="str">
        <f t="shared" si="22"/>
        <v>Developing</v>
      </c>
      <c r="V124" t="str">
        <f t="shared" si="23"/>
        <v>Interview</v>
      </c>
      <c r="W124" t="str">
        <f t="shared" si="24"/>
        <v>Personality &amp; Communication</v>
      </c>
      <c r="X124" t="str">
        <f t="shared" si="25"/>
        <v>Work on communication and personality development</v>
      </c>
    </row>
    <row r="125" spans="1:24" x14ac:dyDescent="0.3">
      <c r="A125">
        <v>45</v>
      </c>
      <c r="B125">
        <v>0</v>
      </c>
      <c r="C125">
        <v>1</v>
      </c>
      <c r="D125">
        <v>3</v>
      </c>
      <c r="E125">
        <v>4</v>
      </c>
      <c r="F125">
        <v>15.5022014088993</v>
      </c>
      <c r="G125">
        <v>100</v>
      </c>
      <c r="H125">
        <v>52</v>
      </c>
      <c r="I125">
        <v>96</v>
      </c>
      <c r="J125">
        <v>1</v>
      </c>
      <c r="K125">
        <v>1</v>
      </c>
      <c r="L125" t="str">
        <f t="shared" si="13"/>
        <v>C124</v>
      </c>
      <c r="M125" t="str">
        <f t="shared" si="14"/>
        <v>Male</v>
      </c>
      <c r="N125" t="str">
        <f t="shared" si="15"/>
        <v>Bachelor's Type 1</v>
      </c>
      <c r="O125" t="str">
        <f t="shared" si="16"/>
        <v>Mid Level</v>
      </c>
      <c r="P125" t="str">
        <f t="shared" si="17"/>
        <v>Strong</v>
      </c>
      <c r="Q125" t="str">
        <f t="shared" si="18"/>
        <v>Intermediate</v>
      </c>
      <c r="R125" t="str">
        <f t="shared" si="19"/>
        <v>Strong</v>
      </c>
      <c r="S125" t="str">
        <f t="shared" si="20"/>
        <v>Hired</v>
      </c>
      <c r="T125">
        <f t="shared" si="21"/>
        <v>70</v>
      </c>
      <c r="U125" t="str">
        <f t="shared" si="22"/>
        <v>Developing</v>
      </c>
      <c r="V125" t="str">
        <f t="shared" si="23"/>
        <v>Interview</v>
      </c>
      <c r="W125" t="str">
        <f t="shared" si="24"/>
        <v>Technical Skills</v>
      </c>
      <c r="X125" t="str">
        <f t="shared" si="25"/>
        <v>Strengthen technical skills and practical knowledge</v>
      </c>
    </row>
    <row r="126" spans="1:24" x14ac:dyDescent="0.3">
      <c r="A126">
        <v>44</v>
      </c>
      <c r="B126">
        <v>0</v>
      </c>
      <c r="C126">
        <v>1</v>
      </c>
      <c r="D126">
        <v>6</v>
      </c>
      <c r="E126">
        <v>3</v>
      </c>
      <c r="F126">
        <v>11.0731960526766</v>
      </c>
      <c r="G126">
        <v>88</v>
      </c>
      <c r="H126">
        <v>6</v>
      </c>
      <c r="I126">
        <v>45</v>
      </c>
      <c r="J126">
        <v>3</v>
      </c>
      <c r="K126">
        <v>0</v>
      </c>
      <c r="L126" t="str">
        <f t="shared" si="13"/>
        <v>C125</v>
      </c>
      <c r="M126" t="str">
        <f t="shared" si="14"/>
        <v>Male</v>
      </c>
      <c r="N126" t="str">
        <f t="shared" si="15"/>
        <v>Bachelor's Type 1</v>
      </c>
      <c r="O126" t="str">
        <f t="shared" si="16"/>
        <v>Mid Level</v>
      </c>
      <c r="P126" t="str">
        <f t="shared" si="17"/>
        <v>Strong</v>
      </c>
      <c r="Q126" t="str">
        <f t="shared" si="18"/>
        <v>Beginner</v>
      </c>
      <c r="R126" t="str">
        <f t="shared" si="19"/>
        <v>Needs Improvement</v>
      </c>
      <c r="S126" t="str">
        <f t="shared" si="20"/>
        <v>Not Hired</v>
      </c>
      <c r="T126">
        <f t="shared" si="21"/>
        <v>46</v>
      </c>
      <c r="U126" t="str">
        <f t="shared" si="22"/>
        <v>Needs Improvement</v>
      </c>
      <c r="V126" t="str">
        <f t="shared" si="23"/>
        <v>Interview</v>
      </c>
      <c r="W126" t="str">
        <f t="shared" si="24"/>
        <v>Technical Skills</v>
      </c>
      <c r="X126" t="str">
        <f t="shared" si="25"/>
        <v>Strengthen technical skills and practical knowledge</v>
      </c>
    </row>
    <row r="127" spans="1:24" x14ac:dyDescent="0.3">
      <c r="A127">
        <v>47</v>
      </c>
      <c r="B127">
        <v>1</v>
      </c>
      <c r="C127">
        <v>2</v>
      </c>
      <c r="D127">
        <v>0</v>
      </c>
      <c r="E127">
        <v>2</v>
      </c>
      <c r="F127">
        <v>14.2604268498414</v>
      </c>
      <c r="G127">
        <v>25</v>
      </c>
      <c r="H127">
        <v>96</v>
      </c>
      <c r="I127">
        <v>13</v>
      </c>
      <c r="J127">
        <v>1</v>
      </c>
      <c r="K127">
        <v>0</v>
      </c>
      <c r="L127" t="str">
        <f t="shared" si="13"/>
        <v>C126</v>
      </c>
      <c r="M127" t="str">
        <f t="shared" si="14"/>
        <v>Female</v>
      </c>
      <c r="N127" t="str">
        <f t="shared" si="15"/>
        <v>Bachelor's Type 2</v>
      </c>
      <c r="O127" t="str">
        <f t="shared" si="16"/>
        <v>Entry Level</v>
      </c>
      <c r="P127" t="str">
        <f t="shared" si="17"/>
        <v>Low</v>
      </c>
      <c r="Q127" t="str">
        <f t="shared" si="18"/>
        <v>Advanced</v>
      </c>
      <c r="R127" t="str">
        <f t="shared" si="19"/>
        <v>Needs Improvement</v>
      </c>
      <c r="S127" t="str">
        <f t="shared" si="20"/>
        <v>Not Hired</v>
      </c>
      <c r="T127">
        <f t="shared" si="21"/>
        <v>41</v>
      </c>
      <c r="U127" t="str">
        <f t="shared" si="22"/>
        <v>Needs Improvement</v>
      </c>
      <c r="V127" t="str">
        <f t="shared" si="23"/>
        <v>Technical Skills</v>
      </c>
      <c r="W127" t="str">
        <f t="shared" si="24"/>
        <v>Personality &amp; Communication</v>
      </c>
      <c r="X127" t="str">
        <f t="shared" si="25"/>
        <v>Work on communication and personality development</v>
      </c>
    </row>
    <row r="128" spans="1:24" x14ac:dyDescent="0.3">
      <c r="A128">
        <v>47</v>
      </c>
      <c r="B128">
        <v>1</v>
      </c>
      <c r="C128">
        <v>2</v>
      </c>
      <c r="D128">
        <v>8</v>
      </c>
      <c r="E128">
        <v>5</v>
      </c>
      <c r="F128">
        <v>9.4879600696413195</v>
      </c>
      <c r="G128">
        <v>54</v>
      </c>
      <c r="H128">
        <v>68</v>
      </c>
      <c r="I128">
        <v>7</v>
      </c>
      <c r="J128">
        <v>2</v>
      </c>
      <c r="K128">
        <v>0</v>
      </c>
      <c r="L128" t="str">
        <f t="shared" si="13"/>
        <v>C127</v>
      </c>
      <c r="M128" t="str">
        <f t="shared" si="14"/>
        <v>Female</v>
      </c>
      <c r="N128" t="str">
        <f t="shared" si="15"/>
        <v>Bachelor's Type 2</v>
      </c>
      <c r="O128" t="str">
        <f t="shared" si="16"/>
        <v>Senior Level</v>
      </c>
      <c r="P128" t="str">
        <f t="shared" si="17"/>
        <v>Average</v>
      </c>
      <c r="Q128" t="str">
        <f t="shared" si="18"/>
        <v>Intermediate</v>
      </c>
      <c r="R128" t="str">
        <f t="shared" si="19"/>
        <v>Needs Improvement</v>
      </c>
      <c r="S128" t="str">
        <f t="shared" si="20"/>
        <v>Not Hired</v>
      </c>
      <c r="T128">
        <f t="shared" si="21"/>
        <v>49</v>
      </c>
      <c r="U128" t="str">
        <f t="shared" si="22"/>
        <v>Needs Improvement</v>
      </c>
      <c r="V128" t="str">
        <f t="shared" si="23"/>
        <v>Technical Skills</v>
      </c>
      <c r="W128" t="str">
        <f t="shared" si="24"/>
        <v>Personality &amp; Communication</v>
      </c>
      <c r="X128" t="str">
        <f t="shared" si="25"/>
        <v>Work on communication and personality development</v>
      </c>
    </row>
    <row r="129" spans="1:24" x14ac:dyDescent="0.3">
      <c r="A129">
        <v>47</v>
      </c>
      <c r="B129">
        <v>1</v>
      </c>
      <c r="C129">
        <v>2</v>
      </c>
      <c r="D129">
        <v>3</v>
      </c>
      <c r="E129">
        <v>1</v>
      </c>
      <c r="F129">
        <v>5.7820348011857901</v>
      </c>
      <c r="G129">
        <v>38</v>
      </c>
      <c r="H129">
        <v>91</v>
      </c>
      <c r="I129">
        <v>47</v>
      </c>
      <c r="J129">
        <v>2</v>
      </c>
      <c r="K129">
        <v>0</v>
      </c>
      <c r="L129" t="str">
        <f t="shared" si="13"/>
        <v>C128</v>
      </c>
      <c r="M129" t="str">
        <f t="shared" si="14"/>
        <v>Female</v>
      </c>
      <c r="N129" t="str">
        <f t="shared" si="15"/>
        <v>Bachelor's Type 2</v>
      </c>
      <c r="O129" t="str">
        <f t="shared" si="16"/>
        <v>Mid Level</v>
      </c>
      <c r="P129" t="str">
        <f t="shared" si="17"/>
        <v>Low</v>
      </c>
      <c r="Q129" t="str">
        <f t="shared" si="18"/>
        <v>Advanced</v>
      </c>
      <c r="R129" t="str">
        <f t="shared" si="19"/>
        <v>Needs Improvement</v>
      </c>
      <c r="S129" t="str">
        <f t="shared" si="20"/>
        <v>Not Hired</v>
      </c>
      <c r="T129">
        <f t="shared" si="21"/>
        <v>54</v>
      </c>
      <c r="U129" t="str">
        <f t="shared" si="22"/>
        <v>Developing</v>
      </c>
      <c r="V129" t="str">
        <f t="shared" si="23"/>
        <v>Technical Skills</v>
      </c>
      <c r="W129" t="str">
        <f t="shared" si="24"/>
        <v>Interview Preparation</v>
      </c>
      <c r="X129" t="str">
        <f t="shared" si="25"/>
        <v>Improve interview preparation and communication</v>
      </c>
    </row>
    <row r="130" spans="1:24" x14ac:dyDescent="0.3">
      <c r="A130">
        <v>32</v>
      </c>
      <c r="B130">
        <v>1</v>
      </c>
      <c r="C130">
        <v>2</v>
      </c>
      <c r="D130">
        <v>2</v>
      </c>
      <c r="E130">
        <v>3</v>
      </c>
      <c r="F130">
        <v>21.9568087221027</v>
      </c>
      <c r="G130">
        <v>83</v>
      </c>
      <c r="H130">
        <v>71</v>
      </c>
      <c r="I130">
        <v>13</v>
      </c>
      <c r="J130">
        <v>1</v>
      </c>
      <c r="K130">
        <v>1</v>
      </c>
      <c r="L130" t="str">
        <f t="shared" si="13"/>
        <v>C129</v>
      </c>
      <c r="M130" t="str">
        <f t="shared" si="14"/>
        <v>Female</v>
      </c>
      <c r="N130" t="str">
        <f t="shared" si="15"/>
        <v>Bachelor's Type 2</v>
      </c>
      <c r="O130" t="str">
        <f t="shared" si="16"/>
        <v>Entry Level</v>
      </c>
      <c r="P130" t="str">
        <f t="shared" si="17"/>
        <v>Strong</v>
      </c>
      <c r="Q130" t="str">
        <f t="shared" si="18"/>
        <v>Intermediate</v>
      </c>
      <c r="R130" t="str">
        <f t="shared" si="19"/>
        <v>Needs Improvement</v>
      </c>
      <c r="S130" t="str">
        <f t="shared" si="20"/>
        <v>Hired</v>
      </c>
      <c r="T130">
        <f t="shared" si="21"/>
        <v>53</v>
      </c>
      <c r="U130" t="str">
        <f t="shared" si="22"/>
        <v>Developing</v>
      </c>
      <c r="V130" t="str">
        <f t="shared" si="23"/>
        <v>Interview</v>
      </c>
      <c r="W130" t="str">
        <f t="shared" si="24"/>
        <v>Personality &amp; Communication</v>
      </c>
      <c r="X130" t="str">
        <f t="shared" si="25"/>
        <v>Work on communication and personality development</v>
      </c>
    </row>
    <row r="131" spans="1:24" x14ac:dyDescent="0.3">
      <c r="A131">
        <v>28</v>
      </c>
      <c r="B131">
        <v>0</v>
      </c>
      <c r="C131">
        <v>2</v>
      </c>
      <c r="D131">
        <v>0</v>
      </c>
      <c r="E131">
        <v>2</v>
      </c>
      <c r="F131">
        <v>6.6649802199133799</v>
      </c>
      <c r="G131">
        <v>32</v>
      </c>
      <c r="H131">
        <v>78</v>
      </c>
      <c r="I131">
        <v>64</v>
      </c>
      <c r="J131">
        <v>1</v>
      </c>
      <c r="K131">
        <v>1</v>
      </c>
      <c r="L131" t="str">
        <f t="shared" ref="L131:L194" si="26">"C"&amp;TEXT(ROW()-1,"000")</f>
        <v>C130</v>
      </c>
      <c r="M131" t="str">
        <f t="shared" ref="M131:M194" si="27">IF(B131=0,"Male","Female")</f>
        <v>Male</v>
      </c>
      <c r="N131" t="str">
        <f t="shared" ref="N131:N194" si="28">IF(C131=1,"Bachelor's Type 1",IF(C131=2,"Bachelor's Type 2",IF(C131=3,"Master's","PhD")))</f>
        <v>Bachelor's Type 2</v>
      </c>
      <c r="O131" t="str">
        <f t="shared" ref="O131:O194" si="29">IF(D131&lt;=2,"Entry Level",IF(D131&lt;=6,"Mid Level","Senior Level"))</f>
        <v>Entry Level</v>
      </c>
      <c r="P131" t="str">
        <f t="shared" ref="P131:P194" si="30">IF(G131&lt;50,"Low",IF(G131&lt;75,"Average","Strong"))</f>
        <v>Low</v>
      </c>
      <c r="Q131" t="str">
        <f t="shared" ref="Q131:Q194" si="31">IF(H131&lt;50,"Beginner",IF(H131&lt;75,"Intermediate","Advanced"))</f>
        <v>Advanced</v>
      </c>
      <c r="R131" t="str">
        <f t="shared" ref="R131:R194" si="32">IF(I131&lt;50,"Needs Improvement",IF(I131&lt;75,"Good","Strong"))</f>
        <v>Good</v>
      </c>
      <c r="S131" t="str">
        <f t="shared" ref="S131:S194" si="33">IF(K131=1,"Hired","Not Hired")</f>
        <v>Hired</v>
      </c>
      <c r="T131">
        <f t="shared" ref="T131:T194" si="34">ROUND((G131*30%)+(H131*30%)+(I131*20%)+((D131/15)*100*15%)+(IF(C131&lt;=2,50,IF(C131=3,75,100))*5%),0)</f>
        <v>48</v>
      </c>
      <c r="U131" t="str">
        <f t="shared" ref="U131:U194" si="35">IF(T131&lt;50,"Needs Improvement",IF(T131&lt;75,"Developing","Job Ready"))</f>
        <v>Needs Improvement</v>
      </c>
      <c r="V131" t="str">
        <f t="shared" ref="V131:V194" si="36">IF(AND(G131&gt;=H131,G131&gt;=I131),"Interview",IF(H131&gt;=I131,"Technical Skills","Personality"))</f>
        <v>Technical Skills</v>
      </c>
      <c r="W131" t="str">
        <f t="shared" ref="W131:W194" si="37">IF(AND(G131&lt;=H131,G131&lt;=I131),"Interview Preparation",IF(H131&lt;=I131,"Technical Skills","Personality &amp; Communication"))</f>
        <v>Interview Preparation</v>
      </c>
      <c r="X131" t="str">
        <f t="shared" ref="X131:X194" si="38">IF(W131="Interview Preparation","Improve interview preparation and communication",IF(W131="Technical Skills","Strengthen technical skills and practical knowledge","Work on communication and personality development"))</f>
        <v>Improve interview preparation and communication</v>
      </c>
    </row>
    <row r="132" spans="1:24" x14ac:dyDescent="0.3">
      <c r="A132">
        <v>48</v>
      </c>
      <c r="B132">
        <v>0</v>
      </c>
      <c r="C132">
        <v>2</v>
      </c>
      <c r="D132">
        <v>9</v>
      </c>
      <c r="E132">
        <v>2</v>
      </c>
      <c r="F132">
        <v>9.59562788635521</v>
      </c>
      <c r="G132">
        <v>13</v>
      </c>
      <c r="H132">
        <v>51</v>
      </c>
      <c r="I132">
        <v>79</v>
      </c>
      <c r="J132">
        <v>2</v>
      </c>
      <c r="K132">
        <v>0</v>
      </c>
      <c r="L132" t="str">
        <f t="shared" si="26"/>
        <v>C131</v>
      </c>
      <c r="M132" t="str">
        <f t="shared" si="27"/>
        <v>Male</v>
      </c>
      <c r="N132" t="str">
        <f t="shared" si="28"/>
        <v>Bachelor's Type 2</v>
      </c>
      <c r="O132" t="str">
        <f t="shared" si="29"/>
        <v>Senior Level</v>
      </c>
      <c r="P132" t="str">
        <f t="shared" si="30"/>
        <v>Low</v>
      </c>
      <c r="Q132" t="str">
        <f t="shared" si="31"/>
        <v>Intermediate</v>
      </c>
      <c r="R132" t="str">
        <f t="shared" si="32"/>
        <v>Strong</v>
      </c>
      <c r="S132" t="str">
        <f t="shared" si="33"/>
        <v>Not Hired</v>
      </c>
      <c r="T132">
        <f t="shared" si="34"/>
        <v>47</v>
      </c>
      <c r="U132" t="str">
        <f t="shared" si="35"/>
        <v>Needs Improvement</v>
      </c>
      <c r="V132" t="str">
        <f t="shared" si="36"/>
        <v>Personality</v>
      </c>
      <c r="W132" t="str">
        <f t="shared" si="37"/>
        <v>Interview Preparation</v>
      </c>
      <c r="X132" t="str">
        <f t="shared" si="38"/>
        <v>Improve interview preparation and communication</v>
      </c>
    </row>
    <row r="133" spans="1:24" x14ac:dyDescent="0.3">
      <c r="A133">
        <v>34</v>
      </c>
      <c r="B133">
        <v>0</v>
      </c>
      <c r="C133">
        <v>3</v>
      </c>
      <c r="D133">
        <v>3</v>
      </c>
      <c r="E133">
        <v>2</v>
      </c>
      <c r="F133">
        <v>28.366234216974298</v>
      </c>
      <c r="G133">
        <v>55</v>
      </c>
      <c r="H133">
        <v>3</v>
      </c>
      <c r="I133">
        <v>81</v>
      </c>
      <c r="J133">
        <v>3</v>
      </c>
      <c r="K133">
        <v>0</v>
      </c>
      <c r="L133" t="str">
        <f t="shared" si="26"/>
        <v>C132</v>
      </c>
      <c r="M133" t="str">
        <f t="shared" si="27"/>
        <v>Male</v>
      </c>
      <c r="N133" t="str">
        <f t="shared" si="28"/>
        <v>Master's</v>
      </c>
      <c r="O133" t="str">
        <f t="shared" si="29"/>
        <v>Mid Level</v>
      </c>
      <c r="P133" t="str">
        <f t="shared" si="30"/>
        <v>Average</v>
      </c>
      <c r="Q133" t="str">
        <f t="shared" si="31"/>
        <v>Beginner</v>
      </c>
      <c r="R133" t="str">
        <f t="shared" si="32"/>
        <v>Strong</v>
      </c>
      <c r="S133" t="str">
        <f t="shared" si="33"/>
        <v>Not Hired</v>
      </c>
      <c r="T133">
        <f t="shared" si="34"/>
        <v>40</v>
      </c>
      <c r="U133" t="str">
        <f t="shared" si="35"/>
        <v>Needs Improvement</v>
      </c>
      <c r="V133" t="str">
        <f t="shared" si="36"/>
        <v>Personality</v>
      </c>
      <c r="W133" t="str">
        <f t="shared" si="37"/>
        <v>Technical Skills</v>
      </c>
      <c r="X133" t="str">
        <f t="shared" si="38"/>
        <v>Strengthen technical skills and practical knowledge</v>
      </c>
    </row>
    <row r="134" spans="1:24" x14ac:dyDescent="0.3">
      <c r="A134">
        <v>32</v>
      </c>
      <c r="B134">
        <v>0</v>
      </c>
      <c r="C134">
        <v>2</v>
      </c>
      <c r="D134">
        <v>8</v>
      </c>
      <c r="E134">
        <v>5</v>
      </c>
      <c r="F134">
        <v>9.2299636849787294</v>
      </c>
      <c r="G134">
        <v>99</v>
      </c>
      <c r="H134">
        <v>33</v>
      </c>
      <c r="I134">
        <v>6</v>
      </c>
      <c r="J134">
        <v>1</v>
      </c>
      <c r="K134">
        <v>1</v>
      </c>
      <c r="L134" t="str">
        <f t="shared" si="26"/>
        <v>C133</v>
      </c>
      <c r="M134" t="str">
        <f t="shared" si="27"/>
        <v>Male</v>
      </c>
      <c r="N134" t="str">
        <f t="shared" si="28"/>
        <v>Bachelor's Type 2</v>
      </c>
      <c r="O134" t="str">
        <f t="shared" si="29"/>
        <v>Senior Level</v>
      </c>
      <c r="P134" t="str">
        <f t="shared" si="30"/>
        <v>Strong</v>
      </c>
      <c r="Q134" t="str">
        <f t="shared" si="31"/>
        <v>Beginner</v>
      </c>
      <c r="R134" t="str">
        <f t="shared" si="32"/>
        <v>Needs Improvement</v>
      </c>
      <c r="S134" t="str">
        <f t="shared" si="33"/>
        <v>Hired</v>
      </c>
      <c r="T134">
        <f t="shared" si="34"/>
        <v>51</v>
      </c>
      <c r="U134" t="str">
        <f t="shared" si="35"/>
        <v>Developing</v>
      </c>
      <c r="V134" t="str">
        <f t="shared" si="36"/>
        <v>Interview</v>
      </c>
      <c r="W134" t="str">
        <f t="shared" si="37"/>
        <v>Personality &amp; Communication</v>
      </c>
      <c r="X134" t="str">
        <f t="shared" si="38"/>
        <v>Work on communication and personality development</v>
      </c>
    </row>
    <row r="135" spans="1:24" x14ac:dyDescent="0.3">
      <c r="A135">
        <v>20</v>
      </c>
      <c r="B135">
        <v>1</v>
      </c>
      <c r="C135">
        <v>4</v>
      </c>
      <c r="D135">
        <v>12</v>
      </c>
      <c r="E135">
        <v>5</v>
      </c>
      <c r="F135">
        <v>4.1939883715451396</v>
      </c>
      <c r="G135">
        <v>80</v>
      </c>
      <c r="H135">
        <v>68</v>
      </c>
      <c r="I135">
        <v>78</v>
      </c>
      <c r="J135">
        <v>2</v>
      </c>
      <c r="K135">
        <v>1</v>
      </c>
      <c r="L135" t="str">
        <f t="shared" si="26"/>
        <v>C134</v>
      </c>
      <c r="M135" t="str">
        <f t="shared" si="27"/>
        <v>Female</v>
      </c>
      <c r="N135" t="str">
        <f t="shared" si="28"/>
        <v>PhD</v>
      </c>
      <c r="O135" t="str">
        <f t="shared" si="29"/>
        <v>Senior Level</v>
      </c>
      <c r="P135" t="str">
        <f t="shared" si="30"/>
        <v>Strong</v>
      </c>
      <c r="Q135" t="str">
        <f t="shared" si="31"/>
        <v>Intermediate</v>
      </c>
      <c r="R135" t="str">
        <f t="shared" si="32"/>
        <v>Strong</v>
      </c>
      <c r="S135" t="str">
        <f t="shared" si="33"/>
        <v>Hired</v>
      </c>
      <c r="T135">
        <f t="shared" si="34"/>
        <v>77</v>
      </c>
      <c r="U135" t="str">
        <f t="shared" si="35"/>
        <v>Job Ready</v>
      </c>
      <c r="V135" t="str">
        <f t="shared" si="36"/>
        <v>Interview</v>
      </c>
      <c r="W135" t="str">
        <f t="shared" si="37"/>
        <v>Technical Skills</v>
      </c>
      <c r="X135" t="str">
        <f t="shared" si="38"/>
        <v>Strengthen technical skills and practical knowledge</v>
      </c>
    </row>
    <row r="136" spans="1:24" x14ac:dyDescent="0.3">
      <c r="A136">
        <v>44</v>
      </c>
      <c r="B136">
        <v>0</v>
      </c>
      <c r="C136">
        <v>3</v>
      </c>
      <c r="D136">
        <v>13</v>
      </c>
      <c r="E136">
        <v>5</v>
      </c>
      <c r="F136">
        <v>16.8694425013942</v>
      </c>
      <c r="G136">
        <v>20</v>
      </c>
      <c r="H136">
        <v>32</v>
      </c>
      <c r="I136">
        <v>87</v>
      </c>
      <c r="J136">
        <v>2</v>
      </c>
      <c r="K136">
        <v>0</v>
      </c>
      <c r="L136" t="str">
        <f t="shared" si="26"/>
        <v>C135</v>
      </c>
      <c r="M136" t="str">
        <f t="shared" si="27"/>
        <v>Male</v>
      </c>
      <c r="N136" t="str">
        <f t="shared" si="28"/>
        <v>Master's</v>
      </c>
      <c r="O136" t="str">
        <f t="shared" si="29"/>
        <v>Senior Level</v>
      </c>
      <c r="P136" t="str">
        <f t="shared" si="30"/>
        <v>Low</v>
      </c>
      <c r="Q136" t="str">
        <f t="shared" si="31"/>
        <v>Beginner</v>
      </c>
      <c r="R136" t="str">
        <f t="shared" si="32"/>
        <v>Strong</v>
      </c>
      <c r="S136" t="str">
        <f t="shared" si="33"/>
        <v>Not Hired</v>
      </c>
      <c r="T136">
        <f t="shared" si="34"/>
        <v>50</v>
      </c>
      <c r="U136" t="str">
        <f t="shared" si="35"/>
        <v>Developing</v>
      </c>
      <c r="V136" t="str">
        <f t="shared" si="36"/>
        <v>Personality</v>
      </c>
      <c r="W136" t="str">
        <f t="shared" si="37"/>
        <v>Interview Preparation</v>
      </c>
      <c r="X136" t="str">
        <f t="shared" si="38"/>
        <v>Improve interview preparation and communication</v>
      </c>
    </row>
    <row r="137" spans="1:24" x14ac:dyDescent="0.3">
      <c r="A137">
        <v>26</v>
      </c>
      <c r="B137">
        <v>0</v>
      </c>
      <c r="C137">
        <v>1</v>
      </c>
      <c r="D137">
        <v>9</v>
      </c>
      <c r="E137">
        <v>4</v>
      </c>
      <c r="F137">
        <v>12.0159549310983</v>
      </c>
      <c r="G137">
        <v>45</v>
      </c>
      <c r="H137">
        <v>68</v>
      </c>
      <c r="I137">
        <v>48</v>
      </c>
      <c r="J137">
        <v>1</v>
      </c>
      <c r="K137">
        <v>1</v>
      </c>
      <c r="L137" t="str">
        <f t="shared" si="26"/>
        <v>C136</v>
      </c>
      <c r="M137" t="str">
        <f t="shared" si="27"/>
        <v>Male</v>
      </c>
      <c r="N137" t="str">
        <f t="shared" si="28"/>
        <v>Bachelor's Type 1</v>
      </c>
      <c r="O137" t="str">
        <f t="shared" si="29"/>
        <v>Senior Level</v>
      </c>
      <c r="P137" t="str">
        <f t="shared" si="30"/>
        <v>Low</v>
      </c>
      <c r="Q137" t="str">
        <f t="shared" si="31"/>
        <v>Intermediate</v>
      </c>
      <c r="R137" t="str">
        <f t="shared" si="32"/>
        <v>Needs Improvement</v>
      </c>
      <c r="S137" t="str">
        <f t="shared" si="33"/>
        <v>Hired</v>
      </c>
      <c r="T137">
        <f t="shared" si="34"/>
        <v>55</v>
      </c>
      <c r="U137" t="str">
        <f t="shared" si="35"/>
        <v>Developing</v>
      </c>
      <c r="V137" t="str">
        <f t="shared" si="36"/>
        <v>Technical Skills</v>
      </c>
      <c r="W137" t="str">
        <f t="shared" si="37"/>
        <v>Interview Preparation</v>
      </c>
      <c r="X137" t="str">
        <f t="shared" si="38"/>
        <v>Improve interview preparation and communication</v>
      </c>
    </row>
    <row r="138" spans="1:24" x14ac:dyDescent="0.3">
      <c r="A138">
        <v>28</v>
      </c>
      <c r="B138">
        <v>1</v>
      </c>
      <c r="C138">
        <v>3</v>
      </c>
      <c r="D138">
        <v>15</v>
      </c>
      <c r="E138">
        <v>2</v>
      </c>
      <c r="F138">
        <v>26.765259399718801</v>
      </c>
      <c r="G138">
        <v>15</v>
      </c>
      <c r="H138">
        <v>37</v>
      </c>
      <c r="I138">
        <v>54</v>
      </c>
      <c r="J138">
        <v>2</v>
      </c>
      <c r="K138">
        <v>0</v>
      </c>
      <c r="L138" t="str">
        <f t="shared" si="26"/>
        <v>C137</v>
      </c>
      <c r="M138" t="str">
        <f t="shared" si="27"/>
        <v>Female</v>
      </c>
      <c r="N138" t="str">
        <f t="shared" si="28"/>
        <v>Master's</v>
      </c>
      <c r="O138" t="str">
        <f t="shared" si="29"/>
        <v>Senior Level</v>
      </c>
      <c r="P138" t="str">
        <f t="shared" si="30"/>
        <v>Low</v>
      </c>
      <c r="Q138" t="str">
        <f t="shared" si="31"/>
        <v>Beginner</v>
      </c>
      <c r="R138" t="str">
        <f t="shared" si="32"/>
        <v>Good</v>
      </c>
      <c r="S138" t="str">
        <f t="shared" si="33"/>
        <v>Not Hired</v>
      </c>
      <c r="T138">
        <f t="shared" si="34"/>
        <v>45</v>
      </c>
      <c r="U138" t="str">
        <f t="shared" si="35"/>
        <v>Needs Improvement</v>
      </c>
      <c r="V138" t="str">
        <f t="shared" si="36"/>
        <v>Personality</v>
      </c>
      <c r="W138" t="str">
        <f t="shared" si="37"/>
        <v>Interview Preparation</v>
      </c>
      <c r="X138" t="str">
        <f t="shared" si="38"/>
        <v>Improve interview preparation and communication</v>
      </c>
    </row>
    <row r="139" spans="1:24" x14ac:dyDescent="0.3">
      <c r="A139">
        <v>43</v>
      </c>
      <c r="B139">
        <v>1</v>
      </c>
      <c r="C139">
        <v>2</v>
      </c>
      <c r="D139">
        <v>15</v>
      </c>
      <c r="E139">
        <v>3</v>
      </c>
      <c r="F139">
        <v>6.1183542291604596</v>
      </c>
      <c r="G139">
        <v>15</v>
      </c>
      <c r="H139">
        <v>97</v>
      </c>
      <c r="I139">
        <v>12</v>
      </c>
      <c r="J139">
        <v>3</v>
      </c>
      <c r="K139">
        <v>0</v>
      </c>
      <c r="L139" t="str">
        <f t="shared" si="26"/>
        <v>C138</v>
      </c>
      <c r="M139" t="str">
        <f t="shared" si="27"/>
        <v>Female</v>
      </c>
      <c r="N139" t="str">
        <f t="shared" si="28"/>
        <v>Bachelor's Type 2</v>
      </c>
      <c r="O139" t="str">
        <f t="shared" si="29"/>
        <v>Senior Level</v>
      </c>
      <c r="P139" t="str">
        <f t="shared" si="30"/>
        <v>Low</v>
      </c>
      <c r="Q139" t="str">
        <f t="shared" si="31"/>
        <v>Advanced</v>
      </c>
      <c r="R139" t="str">
        <f t="shared" si="32"/>
        <v>Needs Improvement</v>
      </c>
      <c r="S139" t="str">
        <f t="shared" si="33"/>
        <v>Not Hired</v>
      </c>
      <c r="T139">
        <f t="shared" si="34"/>
        <v>54</v>
      </c>
      <c r="U139" t="str">
        <f t="shared" si="35"/>
        <v>Developing</v>
      </c>
      <c r="V139" t="str">
        <f t="shared" si="36"/>
        <v>Technical Skills</v>
      </c>
      <c r="W139" t="str">
        <f t="shared" si="37"/>
        <v>Personality &amp; Communication</v>
      </c>
      <c r="X139" t="str">
        <f t="shared" si="38"/>
        <v>Work on communication and personality development</v>
      </c>
    </row>
    <row r="140" spans="1:24" x14ac:dyDescent="0.3">
      <c r="A140">
        <v>20</v>
      </c>
      <c r="B140">
        <v>1</v>
      </c>
      <c r="C140">
        <v>2</v>
      </c>
      <c r="D140">
        <v>5</v>
      </c>
      <c r="E140">
        <v>5</v>
      </c>
      <c r="F140">
        <v>38.588539384148902</v>
      </c>
      <c r="G140">
        <v>83</v>
      </c>
      <c r="H140">
        <v>25</v>
      </c>
      <c r="I140">
        <v>72</v>
      </c>
      <c r="J140">
        <v>2</v>
      </c>
      <c r="K140">
        <v>0</v>
      </c>
      <c r="L140" t="str">
        <f t="shared" si="26"/>
        <v>C139</v>
      </c>
      <c r="M140" t="str">
        <f t="shared" si="27"/>
        <v>Female</v>
      </c>
      <c r="N140" t="str">
        <f t="shared" si="28"/>
        <v>Bachelor's Type 2</v>
      </c>
      <c r="O140" t="str">
        <f t="shared" si="29"/>
        <v>Mid Level</v>
      </c>
      <c r="P140" t="str">
        <f t="shared" si="30"/>
        <v>Strong</v>
      </c>
      <c r="Q140" t="str">
        <f t="shared" si="31"/>
        <v>Beginner</v>
      </c>
      <c r="R140" t="str">
        <f t="shared" si="32"/>
        <v>Good</v>
      </c>
      <c r="S140" t="str">
        <f t="shared" si="33"/>
        <v>Not Hired</v>
      </c>
      <c r="T140">
        <f t="shared" si="34"/>
        <v>54</v>
      </c>
      <c r="U140" t="str">
        <f t="shared" si="35"/>
        <v>Developing</v>
      </c>
      <c r="V140" t="str">
        <f t="shared" si="36"/>
        <v>Interview</v>
      </c>
      <c r="W140" t="str">
        <f t="shared" si="37"/>
        <v>Technical Skills</v>
      </c>
      <c r="X140" t="str">
        <f t="shared" si="38"/>
        <v>Strengthen technical skills and practical knowledge</v>
      </c>
    </row>
    <row r="141" spans="1:24" x14ac:dyDescent="0.3">
      <c r="A141">
        <v>31</v>
      </c>
      <c r="B141">
        <v>1</v>
      </c>
      <c r="C141">
        <v>2</v>
      </c>
      <c r="D141">
        <v>15</v>
      </c>
      <c r="E141">
        <v>5</v>
      </c>
      <c r="F141">
        <v>46.311675971756898</v>
      </c>
      <c r="G141">
        <v>28</v>
      </c>
      <c r="H141">
        <v>0</v>
      </c>
      <c r="I141">
        <v>55</v>
      </c>
      <c r="J141">
        <v>3</v>
      </c>
      <c r="K141">
        <v>0</v>
      </c>
      <c r="L141" t="str">
        <f t="shared" si="26"/>
        <v>C140</v>
      </c>
      <c r="M141" t="str">
        <f t="shared" si="27"/>
        <v>Female</v>
      </c>
      <c r="N141" t="str">
        <f t="shared" si="28"/>
        <v>Bachelor's Type 2</v>
      </c>
      <c r="O141" t="str">
        <f t="shared" si="29"/>
        <v>Senior Level</v>
      </c>
      <c r="P141" t="str">
        <f t="shared" si="30"/>
        <v>Low</v>
      </c>
      <c r="Q141" t="str">
        <f t="shared" si="31"/>
        <v>Beginner</v>
      </c>
      <c r="R141" t="str">
        <f t="shared" si="32"/>
        <v>Good</v>
      </c>
      <c r="S141" t="str">
        <f t="shared" si="33"/>
        <v>Not Hired</v>
      </c>
      <c r="T141">
        <f t="shared" si="34"/>
        <v>37</v>
      </c>
      <c r="U141" t="str">
        <f t="shared" si="35"/>
        <v>Needs Improvement</v>
      </c>
      <c r="V141" t="str">
        <f t="shared" si="36"/>
        <v>Personality</v>
      </c>
      <c r="W141" t="str">
        <f t="shared" si="37"/>
        <v>Technical Skills</v>
      </c>
      <c r="X141" t="str">
        <f t="shared" si="38"/>
        <v>Strengthen technical skills and practical knowledge</v>
      </c>
    </row>
    <row r="142" spans="1:24" x14ac:dyDescent="0.3">
      <c r="A142">
        <v>27</v>
      </c>
      <c r="B142">
        <v>0</v>
      </c>
      <c r="C142">
        <v>2</v>
      </c>
      <c r="D142">
        <v>5</v>
      </c>
      <c r="E142">
        <v>2</v>
      </c>
      <c r="F142">
        <v>38.1717586978097</v>
      </c>
      <c r="G142">
        <v>91</v>
      </c>
      <c r="H142">
        <v>3</v>
      </c>
      <c r="I142">
        <v>55</v>
      </c>
      <c r="J142">
        <v>1</v>
      </c>
      <c r="K142">
        <v>0</v>
      </c>
      <c r="L142" t="str">
        <f t="shared" si="26"/>
        <v>C141</v>
      </c>
      <c r="M142" t="str">
        <f t="shared" si="27"/>
        <v>Male</v>
      </c>
      <c r="N142" t="str">
        <f t="shared" si="28"/>
        <v>Bachelor's Type 2</v>
      </c>
      <c r="O142" t="str">
        <f t="shared" si="29"/>
        <v>Mid Level</v>
      </c>
      <c r="P142" t="str">
        <f t="shared" si="30"/>
        <v>Strong</v>
      </c>
      <c r="Q142" t="str">
        <f t="shared" si="31"/>
        <v>Beginner</v>
      </c>
      <c r="R142" t="str">
        <f t="shared" si="32"/>
        <v>Good</v>
      </c>
      <c r="S142" t="str">
        <f t="shared" si="33"/>
        <v>Not Hired</v>
      </c>
      <c r="T142">
        <f t="shared" si="34"/>
        <v>47</v>
      </c>
      <c r="U142" t="str">
        <f t="shared" si="35"/>
        <v>Needs Improvement</v>
      </c>
      <c r="V142" t="str">
        <f t="shared" si="36"/>
        <v>Interview</v>
      </c>
      <c r="W142" t="str">
        <f t="shared" si="37"/>
        <v>Technical Skills</v>
      </c>
      <c r="X142" t="str">
        <f t="shared" si="38"/>
        <v>Strengthen technical skills and practical knowledge</v>
      </c>
    </row>
    <row r="143" spans="1:24" x14ac:dyDescent="0.3">
      <c r="A143">
        <v>43</v>
      </c>
      <c r="B143">
        <v>0</v>
      </c>
      <c r="C143">
        <v>2</v>
      </c>
      <c r="D143">
        <v>0</v>
      </c>
      <c r="E143">
        <v>5</v>
      </c>
      <c r="F143">
        <v>27.641351870069698</v>
      </c>
      <c r="G143">
        <v>7</v>
      </c>
      <c r="H143">
        <v>38</v>
      </c>
      <c r="I143">
        <v>14</v>
      </c>
      <c r="J143">
        <v>2</v>
      </c>
      <c r="K143">
        <v>0</v>
      </c>
      <c r="L143" t="str">
        <f t="shared" si="26"/>
        <v>C142</v>
      </c>
      <c r="M143" t="str">
        <f t="shared" si="27"/>
        <v>Male</v>
      </c>
      <c r="N143" t="str">
        <f t="shared" si="28"/>
        <v>Bachelor's Type 2</v>
      </c>
      <c r="O143" t="str">
        <f t="shared" si="29"/>
        <v>Entry Level</v>
      </c>
      <c r="P143" t="str">
        <f t="shared" si="30"/>
        <v>Low</v>
      </c>
      <c r="Q143" t="str">
        <f t="shared" si="31"/>
        <v>Beginner</v>
      </c>
      <c r="R143" t="str">
        <f t="shared" si="32"/>
        <v>Needs Improvement</v>
      </c>
      <c r="S143" t="str">
        <f t="shared" si="33"/>
        <v>Not Hired</v>
      </c>
      <c r="T143">
        <f t="shared" si="34"/>
        <v>19</v>
      </c>
      <c r="U143" t="str">
        <f t="shared" si="35"/>
        <v>Needs Improvement</v>
      </c>
      <c r="V143" t="str">
        <f t="shared" si="36"/>
        <v>Technical Skills</v>
      </c>
      <c r="W143" t="str">
        <f t="shared" si="37"/>
        <v>Interview Preparation</v>
      </c>
      <c r="X143" t="str">
        <f t="shared" si="38"/>
        <v>Improve interview preparation and communication</v>
      </c>
    </row>
    <row r="144" spans="1:24" x14ac:dyDescent="0.3">
      <c r="A144">
        <v>50</v>
      </c>
      <c r="B144">
        <v>1</v>
      </c>
      <c r="C144">
        <v>2</v>
      </c>
      <c r="D144">
        <v>9</v>
      </c>
      <c r="E144">
        <v>4</v>
      </c>
      <c r="F144">
        <v>44.033391089444201</v>
      </c>
      <c r="G144">
        <v>87</v>
      </c>
      <c r="H144">
        <v>53</v>
      </c>
      <c r="I144">
        <v>56</v>
      </c>
      <c r="J144">
        <v>2</v>
      </c>
      <c r="K144">
        <v>0</v>
      </c>
      <c r="L144" t="str">
        <f t="shared" si="26"/>
        <v>C143</v>
      </c>
      <c r="M144" t="str">
        <f t="shared" si="27"/>
        <v>Female</v>
      </c>
      <c r="N144" t="str">
        <f t="shared" si="28"/>
        <v>Bachelor's Type 2</v>
      </c>
      <c r="O144" t="str">
        <f t="shared" si="29"/>
        <v>Senior Level</v>
      </c>
      <c r="P144" t="str">
        <f t="shared" si="30"/>
        <v>Strong</v>
      </c>
      <c r="Q144" t="str">
        <f t="shared" si="31"/>
        <v>Intermediate</v>
      </c>
      <c r="R144" t="str">
        <f t="shared" si="32"/>
        <v>Good</v>
      </c>
      <c r="S144" t="str">
        <f t="shared" si="33"/>
        <v>Not Hired</v>
      </c>
      <c r="T144">
        <f t="shared" si="34"/>
        <v>65</v>
      </c>
      <c r="U144" t="str">
        <f t="shared" si="35"/>
        <v>Developing</v>
      </c>
      <c r="V144" t="str">
        <f t="shared" si="36"/>
        <v>Interview</v>
      </c>
      <c r="W144" t="str">
        <f t="shared" si="37"/>
        <v>Technical Skills</v>
      </c>
      <c r="X144" t="str">
        <f t="shared" si="38"/>
        <v>Strengthen technical skills and practical knowledge</v>
      </c>
    </row>
    <row r="145" spans="1:24" x14ac:dyDescent="0.3">
      <c r="A145">
        <v>30</v>
      </c>
      <c r="B145">
        <v>0</v>
      </c>
      <c r="C145">
        <v>2</v>
      </c>
      <c r="D145">
        <v>1</v>
      </c>
      <c r="E145">
        <v>4</v>
      </c>
      <c r="F145">
        <v>35.7459189890753</v>
      </c>
      <c r="G145">
        <v>2</v>
      </c>
      <c r="H145">
        <v>89</v>
      </c>
      <c r="I145">
        <v>57</v>
      </c>
      <c r="J145">
        <v>2</v>
      </c>
      <c r="K145">
        <v>0</v>
      </c>
      <c r="L145" t="str">
        <f t="shared" si="26"/>
        <v>C144</v>
      </c>
      <c r="M145" t="str">
        <f t="shared" si="27"/>
        <v>Male</v>
      </c>
      <c r="N145" t="str">
        <f t="shared" si="28"/>
        <v>Bachelor's Type 2</v>
      </c>
      <c r="O145" t="str">
        <f t="shared" si="29"/>
        <v>Entry Level</v>
      </c>
      <c r="P145" t="str">
        <f t="shared" si="30"/>
        <v>Low</v>
      </c>
      <c r="Q145" t="str">
        <f t="shared" si="31"/>
        <v>Advanced</v>
      </c>
      <c r="R145" t="str">
        <f t="shared" si="32"/>
        <v>Good</v>
      </c>
      <c r="S145" t="str">
        <f t="shared" si="33"/>
        <v>Not Hired</v>
      </c>
      <c r="T145">
        <f t="shared" si="34"/>
        <v>42</v>
      </c>
      <c r="U145" t="str">
        <f t="shared" si="35"/>
        <v>Needs Improvement</v>
      </c>
      <c r="V145" t="str">
        <f t="shared" si="36"/>
        <v>Technical Skills</v>
      </c>
      <c r="W145" t="str">
        <f t="shared" si="37"/>
        <v>Interview Preparation</v>
      </c>
      <c r="X145" t="str">
        <f t="shared" si="38"/>
        <v>Improve interview preparation and communication</v>
      </c>
    </row>
    <row r="146" spans="1:24" x14ac:dyDescent="0.3">
      <c r="A146">
        <v>38</v>
      </c>
      <c r="B146">
        <v>0</v>
      </c>
      <c r="C146">
        <v>2</v>
      </c>
      <c r="D146">
        <v>10</v>
      </c>
      <c r="E146">
        <v>5</v>
      </c>
      <c r="F146">
        <v>1.52755612250949</v>
      </c>
      <c r="G146">
        <v>88</v>
      </c>
      <c r="H146">
        <v>32</v>
      </c>
      <c r="I146">
        <v>34</v>
      </c>
      <c r="J146">
        <v>2</v>
      </c>
      <c r="K146">
        <v>0</v>
      </c>
      <c r="L146" t="str">
        <f t="shared" si="26"/>
        <v>C145</v>
      </c>
      <c r="M146" t="str">
        <f t="shared" si="27"/>
        <v>Male</v>
      </c>
      <c r="N146" t="str">
        <f t="shared" si="28"/>
        <v>Bachelor's Type 2</v>
      </c>
      <c r="O146" t="str">
        <f t="shared" si="29"/>
        <v>Senior Level</v>
      </c>
      <c r="P146" t="str">
        <f t="shared" si="30"/>
        <v>Strong</v>
      </c>
      <c r="Q146" t="str">
        <f t="shared" si="31"/>
        <v>Beginner</v>
      </c>
      <c r="R146" t="str">
        <f t="shared" si="32"/>
        <v>Needs Improvement</v>
      </c>
      <c r="S146" t="str">
        <f t="shared" si="33"/>
        <v>Not Hired</v>
      </c>
      <c r="T146">
        <f t="shared" si="34"/>
        <v>55</v>
      </c>
      <c r="U146" t="str">
        <f t="shared" si="35"/>
        <v>Developing</v>
      </c>
      <c r="V146" t="str">
        <f t="shared" si="36"/>
        <v>Interview</v>
      </c>
      <c r="W146" t="str">
        <f t="shared" si="37"/>
        <v>Technical Skills</v>
      </c>
      <c r="X146" t="str">
        <f t="shared" si="38"/>
        <v>Strengthen technical skills and practical knowledge</v>
      </c>
    </row>
    <row r="147" spans="1:24" x14ac:dyDescent="0.3">
      <c r="A147">
        <v>36</v>
      </c>
      <c r="B147">
        <v>0</v>
      </c>
      <c r="C147">
        <v>2</v>
      </c>
      <c r="D147">
        <v>5</v>
      </c>
      <c r="E147">
        <v>2</v>
      </c>
      <c r="F147">
        <v>20.704507638725101</v>
      </c>
      <c r="G147">
        <v>18</v>
      </c>
      <c r="H147">
        <v>32</v>
      </c>
      <c r="I147">
        <v>87</v>
      </c>
      <c r="J147">
        <v>1</v>
      </c>
      <c r="K147">
        <v>0</v>
      </c>
      <c r="L147" t="str">
        <f t="shared" si="26"/>
        <v>C146</v>
      </c>
      <c r="M147" t="str">
        <f t="shared" si="27"/>
        <v>Male</v>
      </c>
      <c r="N147" t="str">
        <f t="shared" si="28"/>
        <v>Bachelor's Type 2</v>
      </c>
      <c r="O147" t="str">
        <f t="shared" si="29"/>
        <v>Mid Level</v>
      </c>
      <c r="P147" t="str">
        <f t="shared" si="30"/>
        <v>Low</v>
      </c>
      <c r="Q147" t="str">
        <f t="shared" si="31"/>
        <v>Beginner</v>
      </c>
      <c r="R147" t="str">
        <f t="shared" si="32"/>
        <v>Strong</v>
      </c>
      <c r="S147" t="str">
        <f t="shared" si="33"/>
        <v>Not Hired</v>
      </c>
      <c r="T147">
        <f t="shared" si="34"/>
        <v>40</v>
      </c>
      <c r="U147" t="str">
        <f t="shared" si="35"/>
        <v>Needs Improvement</v>
      </c>
      <c r="V147" t="str">
        <f t="shared" si="36"/>
        <v>Personality</v>
      </c>
      <c r="W147" t="str">
        <f t="shared" si="37"/>
        <v>Interview Preparation</v>
      </c>
      <c r="X147" t="str">
        <f t="shared" si="38"/>
        <v>Improve interview preparation and communication</v>
      </c>
    </row>
    <row r="148" spans="1:24" x14ac:dyDescent="0.3">
      <c r="A148">
        <v>27</v>
      </c>
      <c r="B148">
        <v>1</v>
      </c>
      <c r="C148">
        <v>3</v>
      </c>
      <c r="D148">
        <v>1</v>
      </c>
      <c r="E148">
        <v>2</v>
      </c>
      <c r="F148">
        <v>43.54759497034</v>
      </c>
      <c r="G148">
        <v>96</v>
      </c>
      <c r="H148">
        <v>71</v>
      </c>
      <c r="I148">
        <v>96</v>
      </c>
      <c r="J148">
        <v>2</v>
      </c>
      <c r="K148">
        <v>1</v>
      </c>
      <c r="L148" t="str">
        <f t="shared" si="26"/>
        <v>C147</v>
      </c>
      <c r="M148" t="str">
        <f t="shared" si="27"/>
        <v>Female</v>
      </c>
      <c r="N148" t="str">
        <f t="shared" si="28"/>
        <v>Master's</v>
      </c>
      <c r="O148" t="str">
        <f t="shared" si="29"/>
        <v>Entry Level</v>
      </c>
      <c r="P148" t="str">
        <f t="shared" si="30"/>
        <v>Strong</v>
      </c>
      <c r="Q148" t="str">
        <f t="shared" si="31"/>
        <v>Intermediate</v>
      </c>
      <c r="R148" t="str">
        <f t="shared" si="32"/>
        <v>Strong</v>
      </c>
      <c r="S148" t="str">
        <f t="shared" si="33"/>
        <v>Hired</v>
      </c>
      <c r="T148">
        <f t="shared" si="34"/>
        <v>74</v>
      </c>
      <c r="U148" t="str">
        <f t="shared" si="35"/>
        <v>Developing</v>
      </c>
      <c r="V148" t="str">
        <f t="shared" si="36"/>
        <v>Interview</v>
      </c>
      <c r="W148" t="str">
        <f t="shared" si="37"/>
        <v>Technical Skills</v>
      </c>
      <c r="X148" t="str">
        <f t="shared" si="38"/>
        <v>Strengthen technical skills and practical knowledge</v>
      </c>
    </row>
    <row r="149" spans="1:24" x14ac:dyDescent="0.3">
      <c r="A149">
        <v>22</v>
      </c>
      <c r="B149">
        <v>0</v>
      </c>
      <c r="C149">
        <v>1</v>
      </c>
      <c r="D149">
        <v>2</v>
      </c>
      <c r="E149">
        <v>2</v>
      </c>
      <c r="F149">
        <v>18.2929428987634</v>
      </c>
      <c r="G149">
        <v>65</v>
      </c>
      <c r="H149">
        <v>19</v>
      </c>
      <c r="I149">
        <v>15</v>
      </c>
      <c r="J149">
        <v>2</v>
      </c>
      <c r="K149">
        <v>0</v>
      </c>
      <c r="L149" t="str">
        <f t="shared" si="26"/>
        <v>C148</v>
      </c>
      <c r="M149" t="str">
        <f t="shared" si="27"/>
        <v>Male</v>
      </c>
      <c r="N149" t="str">
        <f t="shared" si="28"/>
        <v>Bachelor's Type 1</v>
      </c>
      <c r="O149" t="str">
        <f t="shared" si="29"/>
        <v>Entry Level</v>
      </c>
      <c r="P149" t="str">
        <f t="shared" si="30"/>
        <v>Average</v>
      </c>
      <c r="Q149" t="str">
        <f t="shared" si="31"/>
        <v>Beginner</v>
      </c>
      <c r="R149" t="str">
        <f t="shared" si="32"/>
        <v>Needs Improvement</v>
      </c>
      <c r="S149" t="str">
        <f t="shared" si="33"/>
        <v>Not Hired</v>
      </c>
      <c r="T149">
        <f t="shared" si="34"/>
        <v>33</v>
      </c>
      <c r="U149" t="str">
        <f t="shared" si="35"/>
        <v>Needs Improvement</v>
      </c>
      <c r="V149" t="str">
        <f t="shared" si="36"/>
        <v>Interview</v>
      </c>
      <c r="W149" t="str">
        <f t="shared" si="37"/>
        <v>Personality &amp; Communication</v>
      </c>
      <c r="X149" t="str">
        <f t="shared" si="38"/>
        <v>Work on communication and personality development</v>
      </c>
    </row>
    <row r="150" spans="1:24" x14ac:dyDescent="0.3">
      <c r="A150">
        <v>22</v>
      </c>
      <c r="B150">
        <v>1</v>
      </c>
      <c r="C150">
        <v>2</v>
      </c>
      <c r="D150">
        <v>3</v>
      </c>
      <c r="E150">
        <v>1</v>
      </c>
      <c r="F150">
        <v>2.7607586762761702</v>
      </c>
      <c r="G150">
        <v>78</v>
      </c>
      <c r="H150">
        <v>15</v>
      </c>
      <c r="I150">
        <v>7</v>
      </c>
      <c r="J150">
        <v>1</v>
      </c>
      <c r="K150">
        <v>0</v>
      </c>
      <c r="L150" t="str">
        <f t="shared" si="26"/>
        <v>C149</v>
      </c>
      <c r="M150" t="str">
        <f t="shared" si="27"/>
        <v>Female</v>
      </c>
      <c r="N150" t="str">
        <f t="shared" si="28"/>
        <v>Bachelor's Type 2</v>
      </c>
      <c r="O150" t="str">
        <f t="shared" si="29"/>
        <v>Mid Level</v>
      </c>
      <c r="P150" t="str">
        <f t="shared" si="30"/>
        <v>Strong</v>
      </c>
      <c r="Q150" t="str">
        <f t="shared" si="31"/>
        <v>Beginner</v>
      </c>
      <c r="R150" t="str">
        <f t="shared" si="32"/>
        <v>Needs Improvement</v>
      </c>
      <c r="S150" t="str">
        <f t="shared" si="33"/>
        <v>Not Hired</v>
      </c>
      <c r="T150">
        <f t="shared" si="34"/>
        <v>35</v>
      </c>
      <c r="U150" t="str">
        <f t="shared" si="35"/>
        <v>Needs Improvement</v>
      </c>
      <c r="V150" t="str">
        <f t="shared" si="36"/>
        <v>Interview</v>
      </c>
      <c r="W150" t="str">
        <f t="shared" si="37"/>
        <v>Personality &amp; Communication</v>
      </c>
      <c r="X150" t="str">
        <f t="shared" si="38"/>
        <v>Work on communication and personality development</v>
      </c>
    </row>
    <row r="151" spans="1:24" x14ac:dyDescent="0.3">
      <c r="A151">
        <v>20</v>
      </c>
      <c r="B151">
        <v>0</v>
      </c>
      <c r="C151">
        <v>3</v>
      </c>
      <c r="D151">
        <v>10</v>
      </c>
      <c r="E151">
        <v>5</v>
      </c>
      <c r="F151">
        <v>38.308981927613601</v>
      </c>
      <c r="G151">
        <v>85</v>
      </c>
      <c r="H151">
        <v>20</v>
      </c>
      <c r="I151">
        <v>92</v>
      </c>
      <c r="J151">
        <v>3</v>
      </c>
      <c r="K151">
        <v>1</v>
      </c>
      <c r="L151" t="str">
        <f t="shared" si="26"/>
        <v>C150</v>
      </c>
      <c r="M151" t="str">
        <f t="shared" si="27"/>
        <v>Male</v>
      </c>
      <c r="N151" t="str">
        <f t="shared" si="28"/>
        <v>Master's</v>
      </c>
      <c r="O151" t="str">
        <f t="shared" si="29"/>
        <v>Senior Level</v>
      </c>
      <c r="P151" t="str">
        <f t="shared" si="30"/>
        <v>Strong</v>
      </c>
      <c r="Q151" t="str">
        <f t="shared" si="31"/>
        <v>Beginner</v>
      </c>
      <c r="R151" t="str">
        <f t="shared" si="32"/>
        <v>Strong</v>
      </c>
      <c r="S151" t="str">
        <f t="shared" si="33"/>
        <v>Hired</v>
      </c>
      <c r="T151">
        <f t="shared" si="34"/>
        <v>64</v>
      </c>
      <c r="U151" t="str">
        <f t="shared" si="35"/>
        <v>Developing</v>
      </c>
      <c r="V151" t="str">
        <f t="shared" si="36"/>
        <v>Personality</v>
      </c>
      <c r="W151" t="str">
        <f t="shared" si="37"/>
        <v>Technical Skills</v>
      </c>
      <c r="X151" t="str">
        <f t="shared" si="38"/>
        <v>Strengthen technical skills and practical knowledge</v>
      </c>
    </row>
    <row r="152" spans="1:24" x14ac:dyDescent="0.3">
      <c r="A152">
        <v>46</v>
      </c>
      <c r="B152">
        <v>0</v>
      </c>
      <c r="C152">
        <v>2</v>
      </c>
      <c r="D152">
        <v>4</v>
      </c>
      <c r="E152">
        <v>2</v>
      </c>
      <c r="F152">
        <v>41.101913514143398</v>
      </c>
      <c r="G152">
        <v>73</v>
      </c>
      <c r="H152">
        <v>44</v>
      </c>
      <c r="I152">
        <v>86</v>
      </c>
      <c r="J152">
        <v>2</v>
      </c>
      <c r="K152">
        <v>0</v>
      </c>
      <c r="L152" t="str">
        <f t="shared" si="26"/>
        <v>C151</v>
      </c>
      <c r="M152" t="str">
        <f t="shared" si="27"/>
        <v>Male</v>
      </c>
      <c r="N152" t="str">
        <f t="shared" si="28"/>
        <v>Bachelor's Type 2</v>
      </c>
      <c r="O152" t="str">
        <f t="shared" si="29"/>
        <v>Mid Level</v>
      </c>
      <c r="P152" t="str">
        <f t="shared" si="30"/>
        <v>Average</v>
      </c>
      <c r="Q152" t="str">
        <f t="shared" si="31"/>
        <v>Beginner</v>
      </c>
      <c r="R152" t="str">
        <f t="shared" si="32"/>
        <v>Strong</v>
      </c>
      <c r="S152" t="str">
        <f t="shared" si="33"/>
        <v>Not Hired</v>
      </c>
      <c r="T152">
        <f t="shared" si="34"/>
        <v>59</v>
      </c>
      <c r="U152" t="str">
        <f t="shared" si="35"/>
        <v>Developing</v>
      </c>
      <c r="V152" t="str">
        <f t="shared" si="36"/>
        <v>Personality</v>
      </c>
      <c r="W152" t="str">
        <f t="shared" si="37"/>
        <v>Technical Skills</v>
      </c>
      <c r="X152" t="str">
        <f t="shared" si="38"/>
        <v>Strengthen technical skills and practical knowledge</v>
      </c>
    </row>
    <row r="153" spans="1:24" x14ac:dyDescent="0.3">
      <c r="A153">
        <v>24</v>
      </c>
      <c r="B153">
        <v>0</v>
      </c>
      <c r="C153">
        <v>1</v>
      </c>
      <c r="D153">
        <v>14</v>
      </c>
      <c r="E153">
        <v>4</v>
      </c>
      <c r="F153">
        <v>9.0296847521654193</v>
      </c>
      <c r="G153">
        <v>81</v>
      </c>
      <c r="H153">
        <v>89</v>
      </c>
      <c r="I153">
        <v>44</v>
      </c>
      <c r="J153">
        <v>2</v>
      </c>
      <c r="K153">
        <v>0</v>
      </c>
      <c r="L153" t="str">
        <f t="shared" si="26"/>
        <v>C152</v>
      </c>
      <c r="M153" t="str">
        <f t="shared" si="27"/>
        <v>Male</v>
      </c>
      <c r="N153" t="str">
        <f t="shared" si="28"/>
        <v>Bachelor's Type 1</v>
      </c>
      <c r="O153" t="str">
        <f t="shared" si="29"/>
        <v>Senior Level</v>
      </c>
      <c r="P153" t="str">
        <f t="shared" si="30"/>
        <v>Strong</v>
      </c>
      <c r="Q153" t="str">
        <f t="shared" si="31"/>
        <v>Advanced</v>
      </c>
      <c r="R153" t="str">
        <f t="shared" si="32"/>
        <v>Needs Improvement</v>
      </c>
      <c r="S153" t="str">
        <f t="shared" si="33"/>
        <v>Not Hired</v>
      </c>
      <c r="T153">
        <f t="shared" si="34"/>
        <v>76</v>
      </c>
      <c r="U153" t="str">
        <f t="shared" si="35"/>
        <v>Job Ready</v>
      </c>
      <c r="V153" t="str">
        <f t="shared" si="36"/>
        <v>Technical Skills</v>
      </c>
      <c r="W153" t="str">
        <f t="shared" si="37"/>
        <v>Personality &amp; Communication</v>
      </c>
      <c r="X153" t="str">
        <f t="shared" si="38"/>
        <v>Work on communication and personality development</v>
      </c>
    </row>
    <row r="154" spans="1:24" x14ac:dyDescent="0.3">
      <c r="A154">
        <v>29</v>
      </c>
      <c r="B154">
        <v>1</v>
      </c>
      <c r="C154">
        <v>1</v>
      </c>
      <c r="D154">
        <v>8</v>
      </c>
      <c r="E154">
        <v>3</v>
      </c>
      <c r="F154">
        <v>27.867024842159001</v>
      </c>
      <c r="G154">
        <v>21</v>
      </c>
      <c r="H154">
        <v>86</v>
      </c>
      <c r="I154">
        <v>94</v>
      </c>
      <c r="J154">
        <v>1</v>
      </c>
      <c r="K154">
        <v>1</v>
      </c>
      <c r="L154" t="str">
        <f t="shared" si="26"/>
        <v>C153</v>
      </c>
      <c r="M154" t="str">
        <f t="shared" si="27"/>
        <v>Female</v>
      </c>
      <c r="N154" t="str">
        <f t="shared" si="28"/>
        <v>Bachelor's Type 1</v>
      </c>
      <c r="O154" t="str">
        <f t="shared" si="29"/>
        <v>Senior Level</v>
      </c>
      <c r="P154" t="str">
        <f t="shared" si="30"/>
        <v>Low</v>
      </c>
      <c r="Q154" t="str">
        <f t="shared" si="31"/>
        <v>Advanced</v>
      </c>
      <c r="R154" t="str">
        <f t="shared" si="32"/>
        <v>Strong</v>
      </c>
      <c r="S154" t="str">
        <f t="shared" si="33"/>
        <v>Hired</v>
      </c>
      <c r="T154">
        <f t="shared" si="34"/>
        <v>61</v>
      </c>
      <c r="U154" t="str">
        <f t="shared" si="35"/>
        <v>Developing</v>
      </c>
      <c r="V154" t="str">
        <f t="shared" si="36"/>
        <v>Personality</v>
      </c>
      <c r="W154" t="str">
        <f t="shared" si="37"/>
        <v>Interview Preparation</v>
      </c>
      <c r="X154" t="str">
        <f t="shared" si="38"/>
        <v>Improve interview preparation and communication</v>
      </c>
    </row>
    <row r="155" spans="1:24" x14ac:dyDescent="0.3">
      <c r="A155">
        <v>26</v>
      </c>
      <c r="B155">
        <v>0</v>
      </c>
      <c r="C155">
        <v>2</v>
      </c>
      <c r="D155">
        <v>11</v>
      </c>
      <c r="E155">
        <v>3</v>
      </c>
      <c r="F155">
        <v>10.5977719497862</v>
      </c>
      <c r="G155">
        <v>45</v>
      </c>
      <c r="H155">
        <v>81</v>
      </c>
      <c r="I155">
        <v>39</v>
      </c>
      <c r="J155">
        <v>1</v>
      </c>
      <c r="K155">
        <v>1</v>
      </c>
      <c r="L155" t="str">
        <f t="shared" si="26"/>
        <v>C154</v>
      </c>
      <c r="M155" t="str">
        <f t="shared" si="27"/>
        <v>Male</v>
      </c>
      <c r="N155" t="str">
        <f t="shared" si="28"/>
        <v>Bachelor's Type 2</v>
      </c>
      <c r="O155" t="str">
        <f t="shared" si="29"/>
        <v>Senior Level</v>
      </c>
      <c r="P155" t="str">
        <f t="shared" si="30"/>
        <v>Low</v>
      </c>
      <c r="Q155" t="str">
        <f t="shared" si="31"/>
        <v>Advanced</v>
      </c>
      <c r="R155" t="str">
        <f t="shared" si="32"/>
        <v>Needs Improvement</v>
      </c>
      <c r="S155" t="str">
        <f t="shared" si="33"/>
        <v>Hired</v>
      </c>
      <c r="T155">
        <f t="shared" si="34"/>
        <v>59</v>
      </c>
      <c r="U155" t="str">
        <f t="shared" si="35"/>
        <v>Developing</v>
      </c>
      <c r="V155" t="str">
        <f t="shared" si="36"/>
        <v>Technical Skills</v>
      </c>
      <c r="W155" t="str">
        <f t="shared" si="37"/>
        <v>Personality &amp; Communication</v>
      </c>
      <c r="X155" t="str">
        <f t="shared" si="38"/>
        <v>Work on communication and personality development</v>
      </c>
    </row>
    <row r="156" spans="1:24" x14ac:dyDescent="0.3">
      <c r="A156">
        <v>45</v>
      </c>
      <c r="B156">
        <v>1</v>
      </c>
      <c r="C156">
        <v>4</v>
      </c>
      <c r="D156">
        <v>14</v>
      </c>
      <c r="E156">
        <v>2</v>
      </c>
      <c r="F156">
        <v>36.961720952207301</v>
      </c>
      <c r="G156">
        <v>90</v>
      </c>
      <c r="H156">
        <v>61</v>
      </c>
      <c r="I156">
        <v>53</v>
      </c>
      <c r="J156">
        <v>2</v>
      </c>
      <c r="K156">
        <v>1</v>
      </c>
      <c r="L156" t="str">
        <f t="shared" si="26"/>
        <v>C155</v>
      </c>
      <c r="M156" t="str">
        <f t="shared" si="27"/>
        <v>Female</v>
      </c>
      <c r="N156" t="str">
        <f t="shared" si="28"/>
        <v>PhD</v>
      </c>
      <c r="O156" t="str">
        <f t="shared" si="29"/>
        <v>Senior Level</v>
      </c>
      <c r="P156" t="str">
        <f t="shared" si="30"/>
        <v>Strong</v>
      </c>
      <c r="Q156" t="str">
        <f t="shared" si="31"/>
        <v>Intermediate</v>
      </c>
      <c r="R156" t="str">
        <f t="shared" si="32"/>
        <v>Good</v>
      </c>
      <c r="S156" t="str">
        <f t="shared" si="33"/>
        <v>Hired</v>
      </c>
      <c r="T156">
        <f t="shared" si="34"/>
        <v>75</v>
      </c>
      <c r="U156" t="str">
        <f t="shared" si="35"/>
        <v>Job Ready</v>
      </c>
      <c r="V156" t="str">
        <f t="shared" si="36"/>
        <v>Interview</v>
      </c>
      <c r="W156" t="str">
        <f t="shared" si="37"/>
        <v>Personality &amp; Communication</v>
      </c>
      <c r="X156" t="str">
        <f t="shared" si="38"/>
        <v>Work on communication and personality development</v>
      </c>
    </row>
    <row r="157" spans="1:24" x14ac:dyDescent="0.3">
      <c r="A157">
        <v>28</v>
      </c>
      <c r="B157">
        <v>1</v>
      </c>
      <c r="C157">
        <v>2</v>
      </c>
      <c r="D157">
        <v>14</v>
      </c>
      <c r="E157">
        <v>3</v>
      </c>
      <c r="F157">
        <v>14.577522758874199</v>
      </c>
      <c r="G157">
        <v>12</v>
      </c>
      <c r="H157">
        <v>30</v>
      </c>
      <c r="I157">
        <v>13</v>
      </c>
      <c r="J157">
        <v>2</v>
      </c>
      <c r="K157">
        <v>0</v>
      </c>
      <c r="L157" t="str">
        <f t="shared" si="26"/>
        <v>C156</v>
      </c>
      <c r="M157" t="str">
        <f t="shared" si="27"/>
        <v>Female</v>
      </c>
      <c r="N157" t="str">
        <f t="shared" si="28"/>
        <v>Bachelor's Type 2</v>
      </c>
      <c r="O157" t="str">
        <f t="shared" si="29"/>
        <v>Senior Level</v>
      </c>
      <c r="P157" t="str">
        <f t="shared" si="30"/>
        <v>Low</v>
      </c>
      <c r="Q157" t="str">
        <f t="shared" si="31"/>
        <v>Beginner</v>
      </c>
      <c r="R157" t="str">
        <f t="shared" si="32"/>
        <v>Needs Improvement</v>
      </c>
      <c r="S157" t="str">
        <f t="shared" si="33"/>
        <v>Not Hired</v>
      </c>
      <c r="T157">
        <f t="shared" si="34"/>
        <v>32</v>
      </c>
      <c r="U157" t="str">
        <f t="shared" si="35"/>
        <v>Needs Improvement</v>
      </c>
      <c r="V157" t="str">
        <f t="shared" si="36"/>
        <v>Technical Skills</v>
      </c>
      <c r="W157" t="str">
        <f t="shared" si="37"/>
        <v>Interview Preparation</v>
      </c>
      <c r="X157" t="str">
        <f t="shared" si="38"/>
        <v>Improve interview preparation and communication</v>
      </c>
    </row>
    <row r="158" spans="1:24" x14ac:dyDescent="0.3">
      <c r="A158">
        <v>47</v>
      </c>
      <c r="B158">
        <v>1</v>
      </c>
      <c r="C158">
        <v>4</v>
      </c>
      <c r="D158">
        <v>3</v>
      </c>
      <c r="E158">
        <v>3</v>
      </c>
      <c r="F158">
        <v>16.810756128166499</v>
      </c>
      <c r="G158">
        <v>32</v>
      </c>
      <c r="H158">
        <v>41</v>
      </c>
      <c r="I158">
        <v>58</v>
      </c>
      <c r="J158">
        <v>2</v>
      </c>
      <c r="K158">
        <v>0</v>
      </c>
      <c r="L158" t="str">
        <f t="shared" si="26"/>
        <v>C157</v>
      </c>
      <c r="M158" t="str">
        <f t="shared" si="27"/>
        <v>Female</v>
      </c>
      <c r="N158" t="str">
        <f t="shared" si="28"/>
        <v>PhD</v>
      </c>
      <c r="O158" t="str">
        <f t="shared" si="29"/>
        <v>Mid Level</v>
      </c>
      <c r="P158" t="str">
        <f t="shared" si="30"/>
        <v>Low</v>
      </c>
      <c r="Q158" t="str">
        <f t="shared" si="31"/>
        <v>Beginner</v>
      </c>
      <c r="R158" t="str">
        <f t="shared" si="32"/>
        <v>Good</v>
      </c>
      <c r="S158" t="str">
        <f t="shared" si="33"/>
        <v>Not Hired</v>
      </c>
      <c r="T158">
        <f t="shared" si="34"/>
        <v>42</v>
      </c>
      <c r="U158" t="str">
        <f t="shared" si="35"/>
        <v>Needs Improvement</v>
      </c>
      <c r="V158" t="str">
        <f t="shared" si="36"/>
        <v>Personality</v>
      </c>
      <c r="W158" t="str">
        <f t="shared" si="37"/>
        <v>Interview Preparation</v>
      </c>
      <c r="X158" t="str">
        <f t="shared" si="38"/>
        <v>Improve interview preparation and communication</v>
      </c>
    </row>
    <row r="159" spans="1:24" x14ac:dyDescent="0.3">
      <c r="A159">
        <v>26</v>
      </c>
      <c r="B159">
        <v>0</v>
      </c>
      <c r="C159">
        <v>2</v>
      </c>
      <c r="D159">
        <v>12</v>
      </c>
      <c r="E159">
        <v>1</v>
      </c>
      <c r="F159">
        <v>43.248542682005002</v>
      </c>
      <c r="G159">
        <v>4</v>
      </c>
      <c r="H159">
        <v>11</v>
      </c>
      <c r="I159">
        <v>93</v>
      </c>
      <c r="J159">
        <v>2</v>
      </c>
      <c r="K159">
        <v>0</v>
      </c>
      <c r="L159" t="str">
        <f t="shared" si="26"/>
        <v>C158</v>
      </c>
      <c r="M159" t="str">
        <f t="shared" si="27"/>
        <v>Male</v>
      </c>
      <c r="N159" t="str">
        <f t="shared" si="28"/>
        <v>Bachelor's Type 2</v>
      </c>
      <c r="O159" t="str">
        <f t="shared" si="29"/>
        <v>Senior Level</v>
      </c>
      <c r="P159" t="str">
        <f t="shared" si="30"/>
        <v>Low</v>
      </c>
      <c r="Q159" t="str">
        <f t="shared" si="31"/>
        <v>Beginner</v>
      </c>
      <c r="R159" t="str">
        <f t="shared" si="32"/>
        <v>Strong</v>
      </c>
      <c r="S159" t="str">
        <f t="shared" si="33"/>
        <v>Not Hired</v>
      </c>
      <c r="T159">
        <f t="shared" si="34"/>
        <v>38</v>
      </c>
      <c r="U159" t="str">
        <f t="shared" si="35"/>
        <v>Needs Improvement</v>
      </c>
      <c r="V159" t="str">
        <f t="shared" si="36"/>
        <v>Personality</v>
      </c>
      <c r="W159" t="str">
        <f t="shared" si="37"/>
        <v>Interview Preparation</v>
      </c>
      <c r="X159" t="str">
        <f t="shared" si="38"/>
        <v>Improve interview preparation and communication</v>
      </c>
    </row>
    <row r="160" spans="1:24" x14ac:dyDescent="0.3">
      <c r="A160">
        <v>28</v>
      </c>
      <c r="B160">
        <v>0</v>
      </c>
      <c r="C160">
        <v>2</v>
      </c>
      <c r="D160">
        <v>10</v>
      </c>
      <c r="E160">
        <v>4</v>
      </c>
      <c r="F160">
        <v>24.816117610345199</v>
      </c>
      <c r="G160">
        <v>89</v>
      </c>
      <c r="H160">
        <v>64</v>
      </c>
      <c r="I160">
        <v>52</v>
      </c>
      <c r="J160">
        <v>1</v>
      </c>
      <c r="K160">
        <v>1</v>
      </c>
      <c r="L160" t="str">
        <f t="shared" si="26"/>
        <v>C159</v>
      </c>
      <c r="M160" t="str">
        <f t="shared" si="27"/>
        <v>Male</v>
      </c>
      <c r="N160" t="str">
        <f t="shared" si="28"/>
        <v>Bachelor's Type 2</v>
      </c>
      <c r="O160" t="str">
        <f t="shared" si="29"/>
        <v>Senior Level</v>
      </c>
      <c r="P160" t="str">
        <f t="shared" si="30"/>
        <v>Strong</v>
      </c>
      <c r="Q160" t="str">
        <f t="shared" si="31"/>
        <v>Intermediate</v>
      </c>
      <c r="R160" t="str">
        <f t="shared" si="32"/>
        <v>Good</v>
      </c>
      <c r="S160" t="str">
        <f t="shared" si="33"/>
        <v>Hired</v>
      </c>
      <c r="T160">
        <f t="shared" si="34"/>
        <v>69</v>
      </c>
      <c r="U160" t="str">
        <f t="shared" si="35"/>
        <v>Developing</v>
      </c>
      <c r="V160" t="str">
        <f t="shared" si="36"/>
        <v>Interview</v>
      </c>
      <c r="W160" t="str">
        <f t="shared" si="37"/>
        <v>Personality &amp; Communication</v>
      </c>
      <c r="X160" t="str">
        <f t="shared" si="38"/>
        <v>Work on communication and personality development</v>
      </c>
    </row>
    <row r="161" spans="1:24" x14ac:dyDescent="0.3">
      <c r="A161">
        <v>27</v>
      </c>
      <c r="B161">
        <v>0</v>
      </c>
      <c r="C161">
        <v>2</v>
      </c>
      <c r="D161">
        <v>8</v>
      </c>
      <c r="E161">
        <v>4</v>
      </c>
      <c r="F161">
        <v>34.487722560912303</v>
      </c>
      <c r="G161">
        <v>76</v>
      </c>
      <c r="H161">
        <v>72</v>
      </c>
      <c r="I161">
        <v>26</v>
      </c>
      <c r="J161">
        <v>2</v>
      </c>
      <c r="K161">
        <v>0</v>
      </c>
      <c r="L161" t="str">
        <f t="shared" si="26"/>
        <v>C160</v>
      </c>
      <c r="M161" t="str">
        <f t="shared" si="27"/>
        <v>Male</v>
      </c>
      <c r="N161" t="str">
        <f t="shared" si="28"/>
        <v>Bachelor's Type 2</v>
      </c>
      <c r="O161" t="str">
        <f t="shared" si="29"/>
        <v>Senior Level</v>
      </c>
      <c r="P161" t="str">
        <f t="shared" si="30"/>
        <v>Strong</v>
      </c>
      <c r="Q161" t="str">
        <f t="shared" si="31"/>
        <v>Intermediate</v>
      </c>
      <c r="R161" t="str">
        <f t="shared" si="32"/>
        <v>Needs Improvement</v>
      </c>
      <c r="S161" t="str">
        <f t="shared" si="33"/>
        <v>Not Hired</v>
      </c>
      <c r="T161">
        <f t="shared" si="34"/>
        <v>60</v>
      </c>
      <c r="U161" t="str">
        <f t="shared" si="35"/>
        <v>Developing</v>
      </c>
      <c r="V161" t="str">
        <f t="shared" si="36"/>
        <v>Interview</v>
      </c>
      <c r="W161" t="str">
        <f t="shared" si="37"/>
        <v>Personality &amp; Communication</v>
      </c>
      <c r="X161" t="str">
        <f t="shared" si="38"/>
        <v>Work on communication and personality development</v>
      </c>
    </row>
    <row r="162" spans="1:24" x14ac:dyDescent="0.3">
      <c r="A162">
        <v>31</v>
      </c>
      <c r="B162">
        <v>0</v>
      </c>
      <c r="C162">
        <v>2</v>
      </c>
      <c r="D162">
        <v>10</v>
      </c>
      <c r="E162">
        <v>1</v>
      </c>
      <c r="F162">
        <v>21.1186525361233</v>
      </c>
      <c r="G162">
        <v>26</v>
      </c>
      <c r="H162">
        <v>2</v>
      </c>
      <c r="I162">
        <v>46</v>
      </c>
      <c r="J162">
        <v>2</v>
      </c>
      <c r="K162">
        <v>0</v>
      </c>
      <c r="L162" t="str">
        <f t="shared" si="26"/>
        <v>C161</v>
      </c>
      <c r="M162" t="str">
        <f t="shared" si="27"/>
        <v>Male</v>
      </c>
      <c r="N162" t="str">
        <f t="shared" si="28"/>
        <v>Bachelor's Type 2</v>
      </c>
      <c r="O162" t="str">
        <f t="shared" si="29"/>
        <v>Senior Level</v>
      </c>
      <c r="P162" t="str">
        <f t="shared" si="30"/>
        <v>Low</v>
      </c>
      <c r="Q162" t="str">
        <f t="shared" si="31"/>
        <v>Beginner</v>
      </c>
      <c r="R162" t="str">
        <f t="shared" si="32"/>
        <v>Needs Improvement</v>
      </c>
      <c r="S162" t="str">
        <f t="shared" si="33"/>
        <v>Not Hired</v>
      </c>
      <c r="T162">
        <f t="shared" si="34"/>
        <v>30</v>
      </c>
      <c r="U162" t="str">
        <f t="shared" si="35"/>
        <v>Needs Improvement</v>
      </c>
      <c r="V162" t="str">
        <f t="shared" si="36"/>
        <v>Personality</v>
      </c>
      <c r="W162" t="str">
        <f t="shared" si="37"/>
        <v>Technical Skills</v>
      </c>
      <c r="X162" t="str">
        <f t="shared" si="38"/>
        <v>Strengthen technical skills and practical knowledge</v>
      </c>
    </row>
    <row r="163" spans="1:24" x14ac:dyDescent="0.3">
      <c r="A163">
        <v>21</v>
      </c>
      <c r="B163">
        <v>1</v>
      </c>
      <c r="C163">
        <v>1</v>
      </c>
      <c r="D163">
        <v>9</v>
      </c>
      <c r="E163">
        <v>1</v>
      </c>
      <c r="F163">
        <v>15.900342859687701</v>
      </c>
      <c r="G163">
        <v>77</v>
      </c>
      <c r="H163">
        <v>89</v>
      </c>
      <c r="I163">
        <v>79</v>
      </c>
      <c r="J163">
        <v>2</v>
      </c>
      <c r="K163">
        <v>1</v>
      </c>
      <c r="L163" t="str">
        <f t="shared" si="26"/>
        <v>C162</v>
      </c>
      <c r="M163" t="str">
        <f t="shared" si="27"/>
        <v>Female</v>
      </c>
      <c r="N163" t="str">
        <f t="shared" si="28"/>
        <v>Bachelor's Type 1</v>
      </c>
      <c r="O163" t="str">
        <f t="shared" si="29"/>
        <v>Senior Level</v>
      </c>
      <c r="P163" t="str">
        <f t="shared" si="30"/>
        <v>Strong</v>
      </c>
      <c r="Q163" t="str">
        <f t="shared" si="31"/>
        <v>Advanced</v>
      </c>
      <c r="R163" t="str">
        <f t="shared" si="32"/>
        <v>Strong</v>
      </c>
      <c r="S163" t="str">
        <f t="shared" si="33"/>
        <v>Hired</v>
      </c>
      <c r="T163">
        <f t="shared" si="34"/>
        <v>77</v>
      </c>
      <c r="U163" t="str">
        <f t="shared" si="35"/>
        <v>Job Ready</v>
      </c>
      <c r="V163" t="str">
        <f t="shared" si="36"/>
        <v>Technical Skills</v>
      </c>
      <c r="W163" t="str">
        <f t="shared" si="37"/>
        <v>Interview Preparation</v>
      </c>
      <c r="X163" t="str">
        <f t="shared" si="38"/>
        <v>Improve interview preparation and communication</v>
      </c>
    </row>
    <row r="164" spans="1:24" x14ac:dyDescent="0.3">
      <c r="A164">
        <v>20</v>
      </c>
      <c r="B164">
        <v>1</v>
      </c>
      <c r="C164">
        <v>3</v>
      </c>
      <c r="D164">
        <v>2</v>
      </c>
      <c r="E164">
        <v>3</v>
      </c>
      <c r="F164">
        <v>32.273903021232996</v>
      </c>
      <c r="G164">
        <v>23</v>
      </c>
      <c r="H164">
        <v>8</v>
      </c>
      <c r="I164">
        <v>5</v>
      </c>
      <c r="J164">
        <v>1</v>
      </c>
      <c r="K164">
        <v>0</v>
      </c>
      <c r="L164" t="str">
        <f t="shared" si="26"/>
        <v>C163</v>
      </c>
      <c r="M164" t="str">
        <f t="shared" si="27"/>
        <v>Female</v>
      </c>
      <c r="N164" t="str">
        <f t="shared" si="28"/>
        <v>Master's</v>
      </c>
      <c r="O164" t="str">
        <f t="shared" si="29"/>
        <v>Entry Level</v>
      </c>
      <c r="P164" t="str">
        <f t="shared" si="30"/>
        <v>Low</v>
      </c>
      <c r="Q164" t="str">
        <f t="shared" si="31"/>
        <v>Beginner</v>
      </c>
      <c r="R164" t="str">
        <f t="shared" si="32"/>
        <v>Needs Improvement</v>
      </c>
      <c r="S164" t="str">
        <f t="shared" si="33"/>
        <v>Not Hired</v>
      </c>
      <c r="T164">
        <f t="shared" si="34"/>
        <v>16</v>
      </c>
      <c r="U164" t="str">
        <f t="shared" si="35"/>
        <v>Needs Improvement</v>
      </c>
      <c r="V164" t="str">
        <f t="shared" si="36"/>
        <v>Interview</v>
      </c>
      <c r="W164" t="str">
        <f t="shared" si="37"/>
        <v>Personality &amp; Communication</v>
      </c>
      <c r="X164" t="str">
        <f t="shared" si="38"/>
        <v>Work on communication and personality development</v>
      </c>
    </row>
    <row r="165" spans="1:24" x14ac:dyDescent="0.3">
      <c r="A165">
        <v>35</v>
      </c>
      <c r="B165">
        <v>1</v>
      </c>
      <c r="C165">
        <v>3</v>
      </c>
      <c r="D165">
        <v>7</v>
      </c>
      <c r="E165">
        <v>5</v>
      </c>
      <c r="F165">
        <v>8.7428787039410594</v>
      </c>
      <c r="G165">
        <v>66</v>
      </c>
      <c r="H165">
        <v>50</v>
      </c>
      <c r="I165">
        <v>54</v>
      </c>
      <c r="J165">
        <v>1</v>
      </c>
      <c r="K165">
        <v>1</v>
      </c>
      <c r="L165" t="str">
        <f t="shared" si="26"/>
        <v>C164</v>
      </c>
      <c r="M165" t="str">
        <f t="shared" si="27"/>
        <v>Female</v>
      </c>
      <c r="N165" t="str">
        <f t="shared" si="28"/>
        <v>Master's</v>
      </c>
      <c r="O165" t="str">
        <f t="shared" si="29"/>
        <v>Senior Level</v>
      </c>
      <c r="P165" t="str">
        <f t="shared" si="30"/>
        <v>Average</v>
      </c>
      <c r="Q165" t="str">
        <f t="shared" si="31"/>
        <v>Intermediate</v>
      </c>
      <c r="R165" t="str">
        <f t="shared" si="32"/>
        <v>Good</v>
      </c>
      <c r="S165" t="str">
        <f t="shared" si="33"/>
        <v>Hired</v>
      </c>
      <c r="T165">
        <f t="shared" si="34"/>
        <v>56</v>
      </c>
      <c r="U165" t="str">
        <f t="shared" si="35"/>
        <v>Developing</v>
      </c>
      <c r="V165" t="str">
        <f t="shared" si="36"/>
        <v>Interview</v>
      </c>
      <c r="W165" t="str">
        <f t="shared" si="37"/>
        <v>Technical Skills</v>
      </c>
      <c r="X165" t="str">
        <f t="shared" si="38"/>
        <v>Strengthen technical skills and practical knowledge</v>
      </c>
    </row>
    <row r="166" spans="1:24" x14ac:dyDescent="0.3">
      <c r="A166">
        <v>42</v>
      </c>
      <c r="B166">
        <v>0</v>
      </c>
      <c r="C166">
        <v>2</v>
      </c>
      <c r="D166">
        <v>11</v>
      </c>
      <c r="E166">
        <v>3</v>
      </c>
      <c r="F166">
        <v>19.6499917783431</v>
      </c>
      <c r="G166">
        <v>62</v>
      </c>
      <c r="H166">
        <v>15</v>
      </c>
      <c r="I166">
        <v>96</v>
      </c>
      <c r="J166">
        <v>2</v>
      </c>
      <c r="K166">
        <v>0</v>
      </c>
      <c r="L166" t="str">
        <f t="shared" si="26"/>
        <v>C165</v>
      </c>
      <c r="M166" t="str">
        <f t="shared" si="27"/>
        <v>Male</v>
      </c>
      <c r="N166" t="str">
        <f t="shared" si="28"/>
        <v>Bachelor's Type 2</v>
      </c>
      <c r="O166" t="str">
        <f t="shared" si="29"/>
        <v>Senior Level</v>
      </c>
      <c r="P166" t="str">
        <f t="shared" si="30"/>
        <v>Average</v>
      </c>
      <c r="Q166" t="str">
        <f t="shared" si="31"/>
        <v>Beginner</v>
      </c>
      <c r="R166" t="str">
        <f t="shared" si="32"/>
        <v>Strong</v>
      </c>
      <c r="S166" t="str">
        <f t="shared" si="33"/>
        <v>Not Hired</v>
      </c>
      <c r="T166">
        <f t="shared" si="34"/>
        <v>56</v>
      </c>
      <c r="U166" t="str">
        <f t="shared" si="35"/>
        <v>Developing</v>
      </c>
      <c r="V166" t="str">
        <f t="shared" si="36"/>
        <v>Personality</v>
      </c>
      <c r="W166" t="str">
        <f t="shared" si="37"/>
        <v>Technical Skills</v>
      </c>
      <c r="X166" t="str">
        <f t="shared" si="38"/>
        <v>Strengthen technical skills and practical knowledge</v>
      </c>
    </row>
    <row r="167" spans="1:24" x14ac:dyDescent="0.3">
      <c r="A167">
        <v>42</v>
      </c>
      <c r="B167">
        <v>1</v>
      </c>
      <c r="C167">
        <v>4</v>
      </c>
      <c r="D167">
        <v>0</v>
      </c>
      <c r="E167">
        <v>1</v>
      </c>
      <c r="F167">
        <v>11.4518518692961</v>
      </c>
      <c r="G167">
        <v>93</v>
      </c>
      <c r="H167">
        <v>87</v>
      </c>
      <c r="I167">
        <v>43</v>
      </c>
      <c r="J167">
        <v>1</v>
      </c>
      <c r="K167">
        <v>1</v>
      </c>
      <c r="L167" t="str">
        <f t="shared" si="26"/>
        <v>C166</v>
      </c>
      <c r="M167" t="str">
        <f t="shared" si="27"/>
        <v>Female</v>
      </c>
      <c r="N167" t="str">
        <f t="shared" si="28"/>
        <v>PhD</v>
      </c>
      <c r="O167" t="str">
        <f t="shared" si="29"/>
        <v>Entry Level</v>
      </c>
      <c r="P167" t="str">
        <f t="shared" si="30"/>
        <v>Strong</v>
      </c>
      <c r="Q167" t="str">
        <f t="shared" si="31"/>
        <v>Advanced</v>
      </c>
      <c r="R167" t="str">
        <f t="shared" si="32"/>
        <v>Needs Improvement</v>
      </c>
      <c r="S167" t="str">
        <f t="shared" si="33"/>
        <v>Hired</v>
      </c>
      <c r="T167">
        <f t="shared" si="34"/>
        <v>68</v>
      </c>
      <c r="U167" t="str">
        <f t="shared" si="35"/>
        <v>Developing</v>
      </c>
      <c r="V167" t="str">
        <f t="shared" si="36"/>
        <v>Interview</v>
      </c>
      <c r="W167" t="str">
        <f t="shared" si="37"/>
        <v>Personality &amp; Communication</v>
      </c>
      <c r="X167" t="str">
        <f t="shared" si="38"/>
        <v>Work on communication and personality development</v>
      </c>
    </row>
    <row r="168" spans="1:24" x14ac:dyDescent="0.3">
      <c r="A168">
        <v>49</v>
      </c>
      <c r="B168">
        <v>0</v>
      </c>
      <c r="C168">
        <v>3</v>
      </c>
      <c r="D168">
        <v>10</v>
      </c>
      <c r="E168">
        <v>4</v>
      </c>
      <c r="F168">
        <v>35.789748347037197</v>
      </c>
      <c r="G168">
        <v>98</v>
      </c>
      <c r="H168">
        <v>77</v>
      </c>
      <c r="I168">
        <v>17</v>
      </c>
      <c r="J168">
        <v>1</v>
      </c>
      <c r="K168">
        <v>1</v>
      </c>
      <c r="L168" t="str">
        <f t="shared" si="26"/>
        <v>C167</v>
      </c>
      <c r="M168" t="str">
        <f t="shared" si="27"/>
        <v>Male</v>
      </c>
      <c r="N168" t="str">
        <f t="shared" si="28"/>
        <v>Master's</v>
      </c>
      <c r="O168" t="str">
        <f t="shared" si="29"/>
        <v>Senior Level</v>
      </c>
      <c r="P168" t="str">
        <f t="shared" si="30"/>
        <v>Strong</v>
      </c>
      <c r="Q168" t="str">
        <f t="shared" si="31"/>
        <v>Advanced</v>
      </c>
      <c r="R168" t="str">
        <f t="shared" si="32"/>
        <v>Needs Improvement</v>
      </c>
      <c r="S168" t="str">
        <f t="shared" si="33"/>
        <v>Hired</v>
      </c>
      <c r="T168">
        <f t="shared" si="34"/>
        <v>70</v>
      </c>
      <c r="U168" t="str">
        <f t="shared" si="35"/>
        <v>Developing</v>
      </c>
      <c r="V168" t="str">
        <f t="shared" si="36"/>
        <v>Interview</v>
      </c>
      <c r="W168" t="str">
        <f t="shared" si="37"/>
        <v>Personality &amp; Communication</v>
      </c>
      <c r="X168" t="str">
        <f t="shared" si="38"/>
        <v>Work on communication and personality development</v>
      </c>
    </row>
    <row r="169" spans="1:24" x14ac:dyDescent="0.3">
      <c r="A169">
        <v>43</v>
      </c>
      <c r="B169">
        <v>1</v>
      </c>
      <c r="C169">
        <v>2</v>
      </c>
      <c r="D169">
        <v>8</v>
      </c>
      <c r="E169">
        <v>3</v>
      </c>
      <c r="F169">
        <v>48.210441917305303</v>
      </c>
      <c r="G169">
        <v>47</v>
      </c>
      <c r="H169">
        <v>2</v>
      </c>
      <c r="I169">
        <v>15</v>
      </c>
      <c r="J169">
        <v>1</v>
      </c>
      <c r="K169">
        <v>0</v>
      </c>
      <c r="L169" t="str">
        <f t="shared" si="26"/>
        <v>C168</v>
      </c>
      <c r="M169" t="str">
        <f t="shared" si="27"/>
        <v>Female</v>
      </c>
      <c r="N169" t="str">
        <f t="shared" si="28"/>
        <v>Bachelor's Type 2</v>
      </c>
      <c r="O169" t="str">
        <f t="shared" si="29"/>
        <v>Senior Level</v>
      </c>
      <c r="P169" t="str">
        <f t="shared" si="30"/>
        <v>Low</v>
      </c>
      <c r="Q169" t="str">
        <f t="shared" si="31"/>
        <v>Beginner</v>
      </c>
      <c r="R169" t="str">
        <f t="shared" si="32"/>
        <v>Needs Improvement</v>
      </c>
      <c r="S169" t="str">
        <f t="shared" si="33"/>
        <v>Not Hired</v>
      </c>
      <c r="T169">
        <f t="shared" si="34"/>
        <v>28</v>
      </c>
      <c r="U169" t="str">
        <f t="shared" si="35"/>
        <v>Needs Improvement</v>
      </c>
      <c r="V169" t="str">
        <f t="shared" si="36"/>
        <v>Interview</v>
      </c>
      <c r="W169" t="str">
        <f t="shared" si="37"/>
        <v>Technical Skills</v>
      </c>
      <c r="X169" t="str">
        <f t="shared" si="38"/>
        <v>Strengthen technical skills and practical knowledge</v>
      </c>
    </row>
    <row r="170" spans="1:24" x14ac:dyDescent="0.3">
      <c r="A170">
        <v>24</v>
      </c>
      <c r="B170">
        <v>0</v>
      </c>
      <c r="C170">
        <v>1</v>
      </c>
      <c r="D170">
        <v>8</v>
      </c>
      <c r="E170">
        <v>5</v>
      </c>
      <c r="F170">
        <v>50.775548400793298</v>
      </c>
      <c r="G170">
        <v>62</v>
      </c>
      <c r="H170">
        <v>97</v>
      </c>
      <c r="I170">
        <v>11</v>
      </c>
      <c r="J170">
        <v>2</v>
      </c>
      <c r="K170">
        <v>0</v>
      </c>
      <c r="L170" t="str">
        <f t="shared" si="26"/>
        <v>C169</v>
      </c>
      <c r="M170" t="str">
        <f t="shared" si="27"/>
        <v>Male</v>
      </c>
      <c r="N170" t="str">
        <f t="shared" si="28"/>
        <v>Bachelor's Type 1</v>
      </c>
      <c r="O170" t="str">
        <f t="shared" si="29"/>
        <v>Senior Level</v>
      </c>
      <c r="P170" t="str">
        <f t="shared" si="30"/>
        <v>Average</v>
      </c>
      <c r="Q170" t="str">
        <f t="shared" si="31"/>
        <v>Advanced</v>
      </c>
      <c r="R170" t="str">
        <f t="shared" si="32"/>
        <v>Needs Improvement</v>
      </c>
      <c r="S170" t="str">
        <f t="shared" si="33"/>
        <v>Not Hired</v>
      </c>
      <c r="T170">
        <f t="shared" si="34"/>
        <v>60</v>
      </c>
      <c r="U170" t="str">
        <f t="shared" si="35"/>
        <v>Developing</v>
      </c>
      <c r="V170" t="str">
        <f t="shared" si="36"/>
        <v>Technical Skills</v>
      </c>
      <c r="W170" t="str">
        <f t="shared" si="37"/>
        <v>Personality &amp; Communication</v>
      </c>
      <c r="X170" t="str">
        <f t="shared" si="38"/>
        <v>Work on communication and personality development</v>
      </c>
    </row>
    <row r="171" spans="1:24" x14ac:dyDescent="0.3">
      <c r="A171">
        <v>22</v>
      </c>
      <c r="B171">
        <v>0</v>
      </c>
      <c r="C171">
        <v>2</v>
      </c>
      <c r="D171">
        <v>9</v>
      </c>
      <c r="E171">
        <v>3</v>
      </c>
      <c r="F171">
        <v>23.513840522079501</v>
      </c>
      <c r="G171">
        <v>77</v>
      </c>
      <c r="H171">
        <v>96</v>
      </c>
      <c r="I171">
        <v>19</v>
      </c>
      <c r="J171">
        <v>2</v>
      </c>
      <c r="K171">
        <v>0</v>
      </c>
      <c r="L171" t="str">
        <f t="shared" si="26"/>
        <v>C170</v>
      </c>
      <c r="M171" t="str">
        <f t="shared" si="27"/>
        <v>Male</v>
      </c>
      <c r="N171" t="str">
        <f t="shared" si="28"/>
        <v>Bachelor's Type 2</v>
      </c>
      <c r="O171" t="str">
        <f t="shared" si="29"/>
        <v>Senior Level</v>
      </c>
      <c r="P171" t="str">
        <f t="shared" si="30"/>
        <v>Strong</v>
      </c>
      <c r="Q171" t="str">
        <f t="shared" si="31"/>
        <v>Advanced</v>
      </c>
      <c r="R171" t="str">
        <f t="shared" si="32"/>
        <v>Needs Improvement</v>
      </c>
      <c r="S171" t="str">
        <f t="shared" si="33"/>
        <v>Not Hired</v>
      </c>
      <c r="T171">
        <f t="shared" si="34"/>
        <v>67</v>
      </c>
      <c r="U171" t="str">
        <f t="shared" si="35"/>
        <v>Developing</v>
      </c>
      <c r="V171" t="str">
        <f t="shared" si="36"/>
        <v>Technical Skills</v>
      </c>
      <c r="W171" t="str">
        <f t="shared" si="37"/>
        <v>Personality &amp; Communication</v>
      </c>
      <c r="X171" t="str">
        <f t="shared" si="38"/>
        <v>Work on communication and personality development</v>
      </c>
    </row>
    <row r="172" spans="1:24" x14ac:dyDescent="0.3">
      <c r="A172">
        <v>31</v>
      </c>
      <c r="B172">
        <v>1</v>
      </c>
      <c r="C172">
        <v>2</v>
      </c>
      <c r="D172">
        <v>1</v>
      </c>
      <c r="E172">
        <v>2</v>
      </c>
      <c r="F172">
        <v>13.6265194818222</v>
      </c>
      <c r="G172">
        <v>11</v>
      </c>
      <c r="H172">
        <v>23</v>
      </c>
      <c r="I172">
        <v>44</v>
      </c>
      <c r="J172">
        <v>2</v>
      </c>
      <c r="K172">
        <v>0</v>
      </c>
      <c r="L172" t="str">
        <f t="shared" si="26"/>
        <v>C171</v>
      </c>
      <c r="M172" t="str">
        <f t="shared" si="27"/>
        <v>Female</v>
      </c>
      <c r="N172" t="str">
        <f t="shared" si="28"/>
        <v>Bachelor's Type 2</v>
      </c>
      <c r="O172" t="str">
        <f t="shared" si="29"/>
        <v>Entry Level</v>
      </c>
      <c r="P172" t="str">
        <f t="shared" si="30"/>
        <v>Low</v>
      </c>
      <c r="Q172" t="str">
        <f t="shared" si="31"/>
        <v>Beginner</v>
      </c>
      <c r="R172" t="str">
        <f t="shared" si="32"/>
        <v>Needs Improvement</v>
      </c>
      <c r="S172" t="str">
        <f t="shared" si="33"/>
        <v>Not Hired</v>
      </c>
      <c r="T172">
        <f t="shared" si="34"/>
        <v>23</v>
      </c>
      <c r="U172" t="str">
        <f t="shared" si="35"/>
        <v>Needs Improvement</v>
      </c>
      <c r="V172" t="str">
        <f t="shared" si="36"/>
        <v>Personality</v>
      </c>
      <c r="W172" t="str">
        <f t="shared" si="37"/>
        <v>Interview Preparation</v>
      </c>
      <c r="X172" t="str">
        <f t="shared" si="38"/>
        <v>Improve interview preparation and communication</v>
      </c>
    </row>
    <row r="173" spans="1:24" x14ac:dyDescent="0.3">
      <c r="A173">
        <v>27</v>
      </c>
      <c r="B173">
        <v>1</v>
      </c>
      <c r="C173">
        <v>2</v>
      </c>
      <c r="D173">
        <v>3</v>
      </c>
      <c r="E173">
        <v>3</v>
      </c>
      <c r="F173">
        <v>23.1414685192162</v>
      </c>
      <c r="G173">
        <v>27</v>
      </c>
      <c r="H173">
        <v>72</v>
      </c>
      <c r="I173">
        <v>63</v>
      </c>
      <c r="J173">
        <v>1</v>
      </c>
      <c r="K173">
        <v>1</v>
      </c>
      <c r="L173" t="str">
        <f t="shared" si="26"/>
        <v>C172</v>
      </c>
      <c r="M173" t="str">
        <f t="shared" si="27"/>
        <v>Female</v>
      </c>
      <c r="N173" t="str">
        <f t="shared" si="28"/>
        <v>Bachelor's Type 2</v>
      </c>
      <c r="O173" t="str">
        <f t="shared" si="29"/>
        <v>Mid Level</v>
      </c>
      <c r="P173" t="str">
        <f t="shared" si="30"/>
        <v>Low</v>
      </c>
      <c r="Q173" t="str">
        <f t="shared" si="31"/>
        <v>Intermediate</v>
      </c>
      <c r="R173" t="str">
        <f t="shared" si="32"/>
        <v>Good</v>
      </c>
      <c r="S173" t="str">
        <f t="shared" si="33"/>
        <v>Hired</v>
      </c>
      <c r="T173">
        <f t="shared" si="34"/>
        <v>48</v>
      </c>
      <c r="U173" t="str">
        <f t="shared" si="35"/>
        <v>Needs Improvement</v>
      </c>
      <c r="V173" t="str">
        <f t="shared" si="36"/>
        <v>Technical Skills</v>
      </c>
      <c r="W173" t="str">
        <f t="shared" si="37"/>
        <v>Interview Preparation</v>
      </c>
      <c r="X173" t="str">
        <f t="shared" si="38"/>
        <v>Improve interview preparation and communication</v>
      </c>
    </row>
    <row r="174" spans="1:24" x14ac:dyDescent="0.3">
      <c r="A174">
        <v>41</v>
      </c>
      <c r="B174">
        <v>1</v>
      </c>
      <c r="C174">
        <v>1</v>
      </c>
      <c r="D174">
        <v>12</v>
      </c>
      <c r="E174">
        <v>1</v>
      </c>
      <c r="F174">
        <v>43.363470498136103</v>
      </c>
      <c r="G174">
        <v>43</v>
      </c>
      <c r="H174">
        <v>12</v>
      </c>
      <c r="I174">
        <v>58</v>
      </c>
      <c r="J174">
        <v>2</v>
      </c>
      <c r="K174">
        <v>0</v>
      </c>
      <c r="L174" t="str">
        <f t="shared" si="26"/>
        <v>C173</v>
      </c>
      <c r="M174" t="str">
        <f t="shared" si="27"/>
        <v>Female</v>
      </c>
      <c r="N174" t="str">
        <f t="shared" si="28"/>
        <v>Bachelor's Type 1</v>
      </c>
      <c r="O174" t="str">
        <f t="shared" si="29"/>
        <v>Senior Level</v>
      </c>
      <c r="P174" t="str">
        <f t="shared" si="30"/>
        <v>Low</v>
      </c>
      <c r="Q174" t="str">
        <f t="shared" si="31"/>
        <v>Beginner</v>
      </c>
      <c r="R174" t="str">
        <f t="shared" si="32"/>
        <v>Good</v>
      </c>
      <c r="S174" t="str">
        <f t="shared" si="33"/>
        <v>Not Hired</v>
      </c>
      <c r="T174">
        <f t="shared" si="34"/>
        <v>43</v>
      </c>
      <c r="U174" t="str">
        <f t="shared" si="35"/>
        <v>Needs Improvement</v>
      </c>
      <c r="V174" t="str">
        <f t="shared" si="36"/>
        <v>Personality</v>
      </c>
      <c r="W174" t="str">
        <f t="shared" si="37"/>
        <v>Technical Skills</v>
      </c>
      <c r="X174" t="str">
        <f t="shared" si="38"/>
        <v>Strengthen technical skills and practical knowledge</v>
      </c>
    </row>
    <row r="175" spans="1:24" x14ac:dyDescent="0.3">
      <c r="A175">
        <v>46</v>
      </c>
      <c r="B175">
        <v>1</v>
      </c>
      <c r="C175">
        <v>3</v>
      </c>
      <c r="D175">
        <v>7</v>
      </c>
      <c r="E175">
        <v>4</v>
      </c>
      <c r="F175">
        <v>11.3002839276019</v>
      </c>
      <c r="G175">
        <v>92</v>
      </c>
      <c r="H175">
        <v>1</v>
      </c>
      <c r="I175">
        <v>92</v>
      </c>
      <c r="J175">
        <v>1</v>
      </c>
      <c r="K175">
        <v>1</v>
      </c>
      <c r="L175" t="str">
        <f t="shared" si="26"/>
        <v>C174</v>
      </c>
      <c r="M175" t="str">
        <f t="shared" si="27"/>
        <v>Female</v>
      </c>
      <c r="N175" t="str">
        <f t="shared" si="28"/>
        <v>Master's</v>
      </c>
      <c r="O175" t="str">
        <f t="shared" si="29"/>
        <v>Senior Level</v>
      </c>
      <c r="P175" t="str">
        <f t="shared" si="30"/>
        <v>Strong</v>
      </c>
      <c r="Q175" t="str">
        <f t="shared" si="31"/>
        <v>Beginner</v>
      </c>
      <c r="R175" t="str">
        <f t="shared" si="32"/>
        <v>Strong</v>
      </c>
      <c r="S175" t="str">
        <f t="shared" si="33"/>
        <v>Hired</v>
      </c>
      <c r="T175">
        <f t="shared" si="34"/>
        <v>57</v>
      </c>
      <c r="U175" t="str">
        <f t="shared" si="35"/>
        <v>Developing</v>
      </c>
      <c r="V175" t="str">
        <f t="shared" si="36"/>
        <v>Interview</v>
      </c>
      <c r="W175" t="str">
        <f t="shared" si="37"/>
        <v>Technical Skills</v>
      </c>
      <c r="X175" t="str">
        <f t="shared" si="38"/>
        <v>Strengthen technical skills and practical knowledge</v>
      </c>
    </row>
    <row r="176" spans="1:24" x14ac:dyDescent="0.3">
      <c r="A176">
        <v>22</v>
      </c>
      <c r="B176">
        <v>0</v>
      </c>
      <c r="C176">
        <v>1</v>
      </c>
      <c r="D176">
        <v>6</v>
      </c>
      <c r="E176">
        <v>4</v>
      </c>
      <c r="F176">
        <v>48.604782582646102</v>
      </c>
      <c r="G176">
        <v>42</v>
      </c>
      <c r="H176">
        <v>70</v>
      </c>
      <c r="I176">
        <v>93</v>
      </c>
      <c r="J176">
        <v>3</v>
      </c>
      <c r="K176">
        <v>0</v>
      </c>
      <c r="L176" t="str">
        <f t="shared" si="26"/>
        <v>C175</v>
      </c>
      <c r="M176" t="str">
        <f t="shared" si="27"/>
        <v>Male</v>
      </c>
      <c r="N176" t="str">
        <f t="shared" si="28"/>
        <v>Bachelor's Type 1</v>
      </c>
      <c r="O176" t="str">
        <f t="shared" si="29"/>
        <v>Mid Level</v>
      </c>
      <c r="P176" t="str">
        <f t="shared" si="30"/>
        <v>Low</v>
      </c>
      <c r="Q176" t="str">
        <f t="shared" si="31"/>
        <v>Intermediate</v>
      </c>
      <c r="R176" t="str">
        <f t="shared" si="32"/>
        <v>Strong</v>
      </c>
      <c r="S176" t="str">
        <f t="shared" si="33"/>
        <v>Not Hired</v>
      </c>
      <c r="T176">
        <f t="shared" si="34"/>
        <v>61</v>
      </c>
      <c r="U176" t="str">
        <f t="shared" si="35"/>
        <v>Developing</v>
      </c>
      <c r="V176" t="str">
        <f t="shared" si="36"/>
        <v>Personality</v>
      </c>
      <c r="W176" t="str">
        <f t="shared" si="37"/>
        <v>Interview Preparation</v>
      </c>
      <c r="X176" t="str">
        <f t="shared" si="38"/>
        <v>Improve interview preparation and communication</v>
      </c>
    </row>
    <row r="177" spans="1:24" x14ac:dyDescent="0.3">
      <c r="A177">
        <v>20</v>
      </c>
      <c r="B177">
        <v>1</v>
      </c>
      <c r="C177">
        <v>2</v>
      </c>
      <c r="D177">
        <v>0</v>
      </c>
      <c r="E177">
        <v>1</v>
      </c>
      <c r="F177">
        <v>18.0932884399075</v>
      </c>
      <c r="G177">
        <v>16</v>
      </c>
      <c r="H177">
        <v>20</v>
      </c>
      <c r="I177">
        <v>89</v>
      </c>
      <c r="J177">
        <v>2</v>
      </c>
      <c r="K177">
        <v>0</v>
      </c>
      <c r="L177" t="str">
        <f t="shared" si="26"/>
        <v>C176</v>
      </c>
      <c r="M177" t="str">
        <f t="shared" si="27"/>
        <v>Female</v>
      </c>
      <c r="N177" t="str">
        <f t="shared" si="28"/>
        <v>Bachelor's Type 2</v>
      </c>
      <c r="O177" t="str">
        <f t="shared" si="29"/>
        <v>Entry Level</v>
      </c>
      <c r="P177" t="str">
        <f t="shared" si="30"/>
        <v>Low</v>
      </c>
      <c r="Q177" t="str">
        <f t="shared" si="31"/>
        <v>Beginner</v>
      </c>
      <c r="R177" t="str">
        <f t="shared" si="32"/>
        <v>Strong</v>
      </c>
      <c r="S177" t="str">
        <f t="shared" si="33"/>
        <v>Not Hired</v>
      </c>
      <c r="T177">
        <f t="shared" si="34"/>
        <v>31</v>
      </c>
      <c r="U177" t="str">
        <f t="shared" si="35"/>
        <v>Needs Improvement</v>
      </c>
      <c r="V177" t="str">
        <f t="shared" si="36"/>
        <v>Personality</v>
      </c>
      <c r="W177" t="str">
        <f t="shared" si="37"/>
        <v>Interview Preparation</v>
      </c>
      <c r="X177" t="str">
        <f t="shared" si="38"/>
        <v>Improve interview preparation and communication</v>
      </c>
    </row>
    <row r="178" spans="1:24" x14ac:dyDescent="0.3">
      <c r="A178">
        <v>22</v>
      </c>
      <c r="B178">
        <v>1</v>
      </c>
      <c r="C178">
        <v>4</v>
      </c>
      <c r="D178">
        <v>4</v>
      </c>
      <c r="E178">
        <v>2</v>
      </c>
      <c r="F178">
        <v>50.290182972515197</v>
      </c>
      <c r="G178">
        <v>39</v>
      </c>
      <c r="H178">
        <v>18</v>
      </c>
      <c r="I178">
        <v>21</v>
      </c>
      <c r="J178">
        <v>2</v>
      </c>
      <c r="K178">
        <v>0</v>
      </c>
      <c r="L178" t="str">
        <f t="shared" si="26"/>
        <v>C177</v>
      </c>
      <c r="M178" t="str">
        <f t="shared" si="27"/>
        <v>Female</v>
      </c>
      <c r="N178" t="str">
        <f t="shared" si="28"/>
        <v>PhD</v>
      </c>
      <c r="O178" t="str">
        <f t="shared" si="29"/>
        <v>Mid Level</v>
      </c>
      <c r="P178" t="str">
        <f t="shared" si="30"/>
        <v>Low</v>
      </c>
      <c r="Q178" t="str">
        <f t="shared" si="31"/>
        <v>Beginner</v>
      </c>
      <c r="R178" t="str">
        <f t="shared" si="32"/>
        <v>Needs Improvement</v>
      </c>
      <c r="S178" t="str">
        <f t="shared" si="33"/>
        <v>Not Hired</v>
      </c>
      <c r="T178">
        <f t="shared" si="34"/>
        <v>30</v>
      </c>
      <c r="U178" t="str">
        <f t="shared" si="35"/>
        <v>Needs Improvement</v>
      </c>
      <c r="V178" t="str">
        <f t="shared" si="36"/>
        <v>Interview</v>
      </c>
      <c r="W178" t="str">
        <f t="shared" si="37"/>
        <v>Technical Skills</v>
      </c>
      <c r="X178" t="str">
        <f t="shared" si="38"/>
        <v>Strengthen technical skills and practical knowledge</v>
      </c>
    </row>
    <row r="179" spans="1:24" x14ac:dyDescent="0.3">
      <c r="A179">
        <v>24</v>
      </c>
      <c r="B179">
        <v>1</v>
      </c>
      <c r="C179">
        <v>3</v>
      </c>
      <c r="D179">
        <v>6</v>
      </c>
      <c r="E179">
        <v>1</v>
      </c>
      <c r="F179">
        <v>42.930444376698098</v>
      </c>
      <c r="G179">
        <v>48</v>
      </c>
      <c r="H179">
        <v>88</v>
      </c>
      <c r="I179">
        <v>96</v>
      </c>
      <c r="J179">
        <v>1</v>
      </c>
      <c r="K179">
        <v>1</v>
      </c>
      <c r="L179" t="str">
        <f t="shared" si="26"/>
        <v>C178</v>
      </c>
      <c r="M179" t="str">
        <f t="shared" si="27"/>
        <v>Female</v>
      </c>
      <c r="N179" t="str">
        <f t="shared" si="28"/>
        <v>Master's</v>
      </c>
      <c r="O179" t="str">
        <f t="shared" si="29"/>
        <v>Mid Level</v>
      </c>
      <c r="P179" t="str">
        <f t="shared" si="30"/>
        <v>Low</v>
      </c>
      <c r="Q179" t="str">
        <f t="shared" si="31"/>
        <v>Advanced</v>
      </c>
      <c r="R179" t="str">
        <f t="shared" si="32"/>
        <v>Strong</v>
      </c>
      <c r="S179" t="str">
        <f t="shared" si="33"/>
        <v>Hired</v>
      </c>
      <c r="T179">
        <f t="shared" si="34"/>
        <v>70</v>
      </c>
      <c r="U179" t="str">
        <f t="shared" si="35"/>
        <v>Developing</v>
      </c>
      <c r="V179" t="str">
        <f t="shared" si="36"/>
        <v>Personality</v>
      </c>
      <c r="W179" t="str">
        <f t="shared" si="37"/>
        <v>Interview Preparation</v>
      </c>
      <c r="X179" t="str">
        <f t="shared" si="38"/>
        <v>Improve interview preparation and communication</v>
      </c>
    </row>
    <row r="180" spans="1:24" x14ac:dyDescent="0.3">
      <c r="A180">
        <v>34</v>
      </c>
      <c r="B180">
        <v>0</v>
      </c>
      <c r="C180">
        <v>2</v>
      </c>
      <c r="D180">
        <v>14</v>
      </c>
      <c r="E180">
        <v>3</v>
      </c>
      <c r="F180">
        <v>41.4285267073695</v>
      </c>
      <c r="G180">
        <v>84</v>
      </c>
      <c r="H180">
        <v>46</v>
      </c>
      <c r="I180">
        <v>46</v>
      </c>
      <c r="J180">
        <v>1</v>
      </c>
      <c r="K180">
        <v>1</v>
      </c>
      <c r="L180" t="str">
        <f t="shared" si="26"/>
        <v>C179</v>
      </c>
      <c r="M180" t="str">
        <f t="shared" si="27"/>
        <v>Male</v>
      </c>
      <c r="N180" t="str">
        <f t="shared" si="28"/>
        <v>Bachelor's Type 2</v>
      </c>
      <c r="O180" t="str">
        <f t="shared" si="29"/>
        <v>Senior Level</v>
      </c>
      <c r="P180" t="str">
        <f t="shared" si="30"/>
        <v>Strong</v>
      </c>
      <c r="Q180" t="str">
        <f t="shared" si="31"/>
        <v>Beginner</v>
      </c>
      <c r="R180" t="str">
        <f t="shared" si="32"/>
        <v>Needs Improvement</v>
      </c>
      <c r="S180" t="str">
        <f t="shared" si="33"/>
        <v>Hired</v>
      </c>
      <c r="T180">
        <f t="shared" si="34"/>
        <v>65</v>
      </c>
      <c r="U180" t="str">
        <f t="shared" si="35"/>
        <v>Developing</v>
      </c>
      <c r="V180" t="str">
        <f t="shared" si="36"/>
        <v>Interview</v>
      </c>
      <c r="W180" t="str">
        <f t="shared" si="37"/>
        <v>Technical Skills</v>
      </c>
      <c r="X180" t="str">
        <f t="shared" si="38"/>
        <v>Strengthen technical skills and practical knowledge</v>
      </c>
    </row>
    <row r="181" spans="1:24" x14ac:dyDescent="0.3">
      <c r="A181">
        <v>33</v>
      </c>
      <c r="B181">
        <v>0</v>
      </c>
      <c r="C181">
        <v>3</v>
      </c>
      <c r="D181">
        <v>15</v>
      </c>
      <c r="E181">
        <v>1</v>
      </c>
      <c r="F181">
        <v>16.895233688664099</v>
      </c>
      <c r="G181">
        <v>56</v>
      </c>
      <c r="H181">
        <v>21</v>
      </c>
      <c r="I181">
        <v>28</v>
      </c>
      <c r="J181">
        <v>2</v>
      </c>
      <c r="K181">
        <v>0</v>
      </c>
      <c r="L181" t="str">
        <f t="shared" si="26"/>
        <v>C180</v>
      </c>
      <c r="M181" t="str">
        <f t="shared" si="27"/>
        <v>Male</v>
      </c>
      <c r="N181" t="str">
        <f t="shared" si="28"/>
        <v>Master's</v>
      </c>
      <c r="O181" t="str">
        <f t="shared" si="29"/>
        <v>Senior Level</v>
      </c>
      <c r="P181" t="str">
        <f t="shared" si="30"/>
        <v>Average</v>
      </c>
      <c r="Q181" t="str">
        <f t="shared" si="31"/>
        <v>Beginner</v>
      </c>
      <c r="R181" t="str">
        <f t="shared" si="32"/>
        <v>Needs Improvement</v>
      </c>
      <c r="S181" t="str">
        <f t="shared" si="33"/>
        <v>Not Hired</v>
      </c>
      <c r="T181">
        <f t="shared" si="34"/>
        <v>47</v>
      </c>
      <c r="U181" t="str">
        <f t="shared" si="35"/>
        <v>Needs Improvement</v>
      </c>
      <c r="V181" t="str">
        <f t="shared" si="36"/>
        <v>Interview</v>
      </c>
      <c r="W181" t="str">
        <f t="shared" si="37"/>
        <v>Technical Skills</v>
      </c>
      <c r="X181" t="str">
        <f t="shared" si="38"/>
        <v>Strengthen technical skills and practical knowledge</v>
      </c>
    </row>
    <row r="182" spans="1:24" x14ac:dyDescent="0.3">
      <c r="A182">
        <v>22</v>
      </c>
      <c r="B182">
        <v>1</v>
      </c>
      <c r="C182">
        <v>1</v>
      </c>
      <c r="D182">
        <v>3</v>
      </c>
      <c r="E182">
        <v>1</v>
      </c>
      <c r="F182">
        <v>1.4388605973964701</v>
      </c>
      <c r="G182">
        <v>86</v>
      </c>
      <c r="H182">
        <v>74</v>
      </c>
      <c r="I182">
        <v>85</v>
      </c>
      <c r="J182">
        <v>2</v>
      </c>
      <c r="K182">
        <v>0</v>
      </c>
      <c r="L182" t="str">
        <f t="shared" si="26"/>
        <v>C181</v>
      </c>
      <c r="M182" t="str">
        <f t="shared" si="27"/>
        <v>Female</v>
      </c>
      <c r="N182" t="str">
        <f t="shared" si="28"/>
        <v>Bachelor's Type 1</v>
      </c>
      <c r="O182" t="str">
        <f t="shared" si="29"/>
        <v>Mid Level</v>
      </c>
      <c r="P182" t="str">
        <f t="shared" si="30"/>
        <v>Strong</v>
      </c>
      <c r="Q182" t="str">
        <f t="shared" si="31"/>
        <v>Intermediate</v>
      </c>
      <c r="R182" t="str">
        <f t="shared" si="32"/>
        <v>Strong</v>
      </c>
      <c r="S182" t="str">
        <f t="shared" si="33"/>
        <v>Not Hired</v>
      </c>
      <c r="T182">
        <f t="shared" si="34"/>
        <v>71</v>
      </c>
      <c r="U182" t="str">
        <f t="shared" si="35"/>
        <v>Developing</v>
      </c>
      <c r="V182" t="str">
        <f t="shared" si="36"/>
        <v>Interview</v>
      </c>
      <c r="W182" t="str">
        <f t="shared" si="37"/>
        <v>Technical Skills</v>
      </c>
      <c r="X182" t="str">
        <f t="shared" si="38"/>
        <v>Strengthen technical skills and practical knowledge</v>
      </c>
    </row>
    <row r="183" spans="1:24" x14ac:dyDescent="0.3">
      <c r="A183">
        <v>20</v>
      </c>
      <c r="B183">
        <v>0</v>
      </c>
      <c r="C183">
        <v>1</v>
      </c>
      <c r="D183">
        <v>14</v>
      </c>
      <c r="E183">
        <v>2</v>
      </c>
      <c r="F183">
        <v>20.1066454412993</v>
      </c>
      <c r="G183">
        <v>83</v>
      </c>
      <c r="H183">
        <v>32</v>
      </c>
      <c r="I183">
        <v>44</v>
      </c>
      <c r="J183">
        <v>1</v>
      </c>
      <c r="K183">
        <v>1</v>
      </c>
      <c r="L183" t="str">
        <f t="shared" si="26"/>
        <v>C182</v>
      </c>
      <c r="M183" t="str">
        <f t="shared" si="27"/>
        <v>Male</v>
      </c>
      <c r="N183" t="str">
        <f t="shared" si="28"/>
        <v>Bachelor's Type 1</v>
      </c>
      <c r="O183" t="str">
        <f t="shared" si="29"/>
        <v>Senior Level</v>
      </c>
      <c r="P183" t="str">
        <f t="shared" si="30"/>
        <v>Strong</v>
      </c>
      <c r="Q183" t="str">
        <f t="shared" si="31"/>
        <v>Beginner</v>
      </c>
      <c r="R183" t="str">
        <f t="shared" si="32"/>
        <v>Needs Improvement</v>
      </c>
      <c r="S183" t="str">
        <f t="shared" si="33"/>
        <v>Hired</v>
      </c>
      <c r="T183">
        <f t="shared" si="34"/>
        <v>60</v>
      </c>
      <c r="U183" t="str">
        <f t="shared" si="35"/>
        <v>Developing</v>
      </c>
      <c r="V183" t="str">
        <f t="shared" si="36"/>
        <v>Interview</v>
      </c>
      <c r="W183" t="str">
        <f t="shared" si="37"/>
        <v>Technical Skills</v>
      </c>
      <c r="X183" t="str">
        <f t="shared" si="38"/>
        <v>Strengthen technical skills and practical knowledge</v>
      </c>
    </row>
    <row r="184" spans="1:24" x14ac:dyDescent="0.3">
      <c r="A184">
        <v>24</v>
      </c>
      <c r="B184">
        <v>1</v>
      </c>
      <c r="C184">
        <v>2</v>
      </c>
      <c r="D184">
        <v>15</v>
      </c>
      <c r="E184">
        <v>3</v>
      </c>
      <c r="F184">
        <v>16.0904684831346</v>
      </c>
      <c r="G184">
        <v>63</v>
      </c>
      <c r="H184">
        <v>31</v>
      </c>
      <c r="I184">
        <v>76</v>
      </c>
      <c r="J184">
        <v>3</v>
      </c>
      <c r="K184">
        <v>0</v>
      </c>
      <c r="L184" t="str">
        <f t="shared" si="26"/>
        <v>C183</v>
      </c>
      <c r="M184" t="str">
        <f t="shared" si="27"/>
        <v>Female</v>
      </c>
      <c r="N184" t="str">
        <f t="shared" si="28"/>
        <v>Bachelor's Type 2</v>
      </c>
      <c r="O184" t="str">
        <f t="shared" si="29"/>
        <v>Senior Level</v>
      </c>
      <c r="P184" t="str">
        <f t="shared" si="30"/>
        <v>Average</v>
      </c>
      <c r="Q184" t="str">
        <f t="shared" si="31"/>
        <v>Beginner</v>
      </c>
      <c r="R184" t="str">
        <f t="shared" si="32"/>
        <v>Strong</v>
      </c>
      <c r="S184" t="str">
        <f t="shared" si="33"/>
        <v>Not Hired</v>
      </c>
      <c r="T184">
        <f t="shared" si="34"/>
        <v>61</v>
      </c>
      <c r="U184" t="str">
        <f t="shared" si="35"/>
        <v>Developing</v>
      </c>
      <c r="V184" t="str">
        <f t="shared" si="36"/>
        <v>Personality</v>
      </c>
      <c r="W184" t="str">
        <f t="shared" si="37"/>
        <v>Technical Skills</v>
      </c>
      <c r="X184" t="str">
        <f t="shared" si="38"/>
        <v>Strengthen technical skills and practical knowledge</v>
      </c>
    </row>
    <row r="185" spans="1:24" x14ac:dyDescent="0.3">
      <c r="A185">
        <v>45</v>
      </c>
      <c r="B185">
        <v>0</v>
      </c>
      <c r="C185">
        <v>2</v>
      </c>
      <c r="D185">
        <v>14</v>
      </c>
      <c r="E185">
        <v>5</v>
      </c>
      <c r="F185">
        <v>2.86984952043986</v>
      </c>
      <c r="G185">
        <v>74</v>
      </c>
      <c r="H185">
        <v>63</v>
      </c>
      <c r="I185">
        <v>8</v>
      </c>
      <c r="J185">
        <v>3</v>
      </c>
      <c r="K185">
        <v>0</v>
      </c>
      <c r="L185" t="str">
        <f t="shared" si="26"/>
        <v>C184</v>
      </c>
      <c r="M185" t="str">
        <f t="shared" si="27"/>
        <v>Male</v>
      </c>
      <c r="N185" t="str">
        <f t="shared" si="28"/>
        <v>Bachelor's Type 2</v>
      </c>
      <c r="O185" t="str">
        <f t="shared" si="29"/>
        <v>Senior Level</v>
      </c>
      <c r="P185" t="str">
        <f t="shared" si="30"/>
        <v>Average</v>
      </c>
      <c r="Q185" t="str">
        <f t="shared" si="31"/>
        <v>Intermediate</v>
      </c>
      <c r="R185" t="str">
        <f t="shared" si="32"/>
        <v>Needs Improvement</v>
      </c>
      <c r="S185" t="str">
        <f t="shared" si="33"/>
        <v>Not Hired</v>
      </c>
      <c r="T185">
        <f t="shared" si="34"/>
        <v>59</v>
      </c>
      <c r="U185" t="str">
        <f t="shared" si="35"/>
        <v>Developing</v>
      </c>
      <c r="V185" t="str">
        <f t="shared" si="36"/>
        <v>Interview</v>
      </c>
      <c r="W185" t="str">
        <f t="shared" si="37"/>
        <v>Personality &amp; Communication</v>
      </c>
      <c r="X185" t="str">
        <f t="shared" si="38"/>
        <v>Work on communication and personality development</v>
      </c>
    </row>
    <row r="186" spans="1:24" x14ac:dyDescent="0.3">
      <c r="A186">
        <v>42</v>
      </c>
      <c r="B186">
        <v>0</v>
      </c>
      <c r="C186">
        <v>2</v>
      </c>
      <c r="D186">
        <v>0</v>
      </c>
      <c r="E186">
        <v>5</v>
      </c>
      <c r="F186">
        <v>26.2682628252964</v>
      </c>
      <c r="G186">
        <v>56</v>
      </c>
      <c r="H186">
        <v>84</v>
      </c>
      <c r="I186">
        <v>23</v>
      </c>
      <c r="J186">
        <v>2</v>
      </c>
      <c r="K186">
        <v>0</v>
      </c>
      <c r="L186" t="str">
        <f t="shared" si="26"/>
        <v>C185</v>
      </c>
      <c r="M186" t="str">
        <f t="shared" si="27"/>
        <v>Male</v>
      </c>
      <c r="N186" t="str">
        <f t="shared" si="28"/>
        <v>Bachelor's Type 2</v>
      </c>
      <c r="O186" t="str">
        <f t="shared" si="29"/>
        <v>Entry Level</v>
      </c>
      <c r="P186" t="str">
        <f t="shared" si="30"/>
        <v>Average</v>
      </c>
      <c r="Q186" t="str">
        <f t="shared" si="31"/>
        <v>Advanced</v>
      </c>
      <c r="R186" t="str">
        <f t="shared" si="32"/>
        <v>Needs Improvement</v>
      </c>
      <c r="S186" t="str">
        <f t="shared" si="33"/>
        <v>Not Hired</v>
      </c>
      <c r="T186">
        <f t="shared" si="34"/>
        <v>49</v>
      </c>
      <c r="U186" t="str">
        <f t="shared" si="35"/>
        <v>Needs Improvement</v>
      </c>
      <c r="V186" t="str">
        <f t="shared" si="36"/>
        <v>Technical Skills</v>
      </c>
      <c r="W186" t="str">
        <f t="shared" si="37"/>
        <v>Personality &amp; Communication</v>
      </c>
      <c r="X186" t="str">
        <f t="shared" si="38"/>
        <v>Work on communication and personality development</v>
      </c>
    </row>
    <row r="187" spans="1:24" x14ac:dyDescent="0.3">
      <c r="A187">
        <v>50</v>
      </c>
      <c r="B187">
        <v>0</v>
      </c>
      <c r="C187">
        <v>2</v>
      </c>
      <c r="D187">
        <v>8</v>
      </c>
      <c r="E187">
        <v>4</v>
      </c>
      <c r="F187">
        <v>21.151565564136799</v>
      </c>
      <c r="G187">
        <v>97</v>
      </c>
      <c r="H187">
        <v>38</v>
      </c>
      <c r="I187">
        <v>14</v>
      </c>
      <c r="J187">
        <v>3</v>
      </c>
      <c r="K187">
        <v>0</v>
      </c>
      <c r="L187" t="str">
        <f t="shared" si="26"/>
        <v>C186</v>
      </c>
      <c r="M187" t="str">
        <f t="shared" si="27"/>
        <v>Male</v>
      </c>
      <c r="N187" t="str">
        <f t="shared" si="28"/>
        <v>Bachelor's Type 2</v>
      </c>
      <c r="O187" t="str">
        <f t="shared" si="29"/>
        <v>Senior Level</v>
      </c>
      <c r="P187" t="str">
        <f t="shared" si="30"/>
        <v>Strong</v>
      </c>
      <c r="Q187" t="str">
        <f t="shared" si="31"/>
        <v>Beginner</v>
      </c>
      <c r="R187" t="str">
        <f t="shared" si="32"/>
        <v>Needs Improvement</v>
      </c>
      <c r="S187" t="str">
        <f t="shared" si="33"/>
        <v>Not Hired</v>
      </c>
      <c r="T187">
        <f t="shared" si="34"/>
        <v>54</v>
      </c>
      <c r="U187" t="str">
        <f t="shared" si="35"/>
        <v>Developing</v>
      </c>
      <c r="V187" t="str">
        <f t="shared" si="36"/>
        <v>Interview</v>
      </c>
      <c r="W187" t="str">
        <f t="shared" si="37"/>
        <v>Personality &amp; Communication</v>
      </c>
      <c r="X187" t="str">
        <f t="shared" si="38"/>
        <v>Work on communication and personality development</v>
      </c>
    </row>
    <row r="188" spans="1:24" x14ac:dyDescent="0.3">
      <c r="A188">
        <v>33</v>
      </c>
      <c r="B188">
        <v>0</v>
      </c>
      <c r="C188">
        <v>1</v>
      </c>
      <c r="D188">
        <v>13</v>
      </c>
      <c r="E188">
        <v>1</v>
      </c>
      <c r="F188">
        <v>32.727823387076199</v>
      </c>
      <c r="G188">
        <v>73</v>
      </c>
      <c r="H188">
        <v>83</v>
      </c>
      <c r="I188">
        <v>35</v>
      </c>
      <c r="J188">
        <v>1</v>
      </c>
      <c r="K188">
        <v>1</v>
      </c>
      <c r="L188" t="str">
        <f t="shared" si="26"/>
        <v>C187</v>
      </c>
      <c r="M188" t="str">
        <f t="shared" si="27"/>
        <v>Male</v>
      </c>
      <c r="N188" t="str">
        <f t="shared" si="28"/>
        <v>Bachelor's Type 1</v>
      </c>
      <c r="O188" t="str">
        <f t="shared" si="29"/>
        <v>Senior Level</v>
      </c>
      <c r="P188" t="str">
        <f t="shared" si="30"/>
        <v>Average</v>
      </c>
      <c r="Q188" t="str">
        <f t="shared" si="31"/>
        <v>Advanced</v>
      </c>
      <c r="R188" t="str">
        <f t="shared" si="32"/>
        <v>Needs Improvement</v>
      </c>
      <c r="S188" t="str">
        <f t="shared" si="33"/>
        <v>Hired</v>
      </c>
      <c r="T188">
        <f t="shared" si="34"/>
        <v>69</v>
      </c>
      <c r="U188" t="str">
        <f t="shared" si="35"/>
        <v>Developing</v>
      </c>
      <c r="V188" t="str">
        <f t="shared" si="36"/>
        <v>Technical Skills</v>
      </c>
      <c r="W188" t="str">
        <f t="shared" si="37"/>
        <v>Personality &amp; Communication</v>
      </c>
      <c r="X188" t="str">
        <f t="shared" si="38"/>
        <v>Work on communication and personality development</v>
      </c>
    </row>
    <row r="189" spans="1:24" x14ac:dyDescent="0.3">
      <c r="A189">
        <v>26</v>
      </c>
      <c r="B189">
        <v>1</v>
      </c>
      <c r="C189">
        <v>2</v>
      </c>
      <c r="D189">
        <v>4</v>
      </c>
      <c r="E189">
        <v>4</v>
      </c>
      <c r="F189">
        <v>32.059316109704099</v>
      </c>
      <c r="G189">
        <v>73</v>
      </c>
      <c r="H189">
        <v>71</v>
      </c>
      <c r="I189">
        <v>12</v>
      </c>
      <c r="J189">
        <v>1</v>
      </c>
      <c r="K189">
        <v>1</v>
      </c>
      <c r="L189" t="str">
        <f t="shared" si="26"/>
        <v>C188</v>
      </c>
      <c r="M189" t="str">
        <f t="shared" si="27"/>
        <v>Female</v>
      </c>
      <c r="N189" t="str">
        <f t="shared" si="28"/>
        <v>Bachelor's Type 2</v>
      </c>
      <c r="O189" t="str">
        <f t="shared" si="29"/>
        <v>Mid Level</v>
      </c>
      <c r="P189" t="str">
        <f t="shared" si="30"/>
        <v>Average</v>
      </c>
      <c r="Q189" t="str">
        <f t="shared" si="31"/>
        <v>Intermediate</v>
      </c>
      <c r="R189" t="str">
        <f t="shared" si="32"/>
        <v>Needs Improvement</v>
      </c>
      <c r="S189" t="str">
        <f t="shared" si="33"/>
        <v>Hired</v>
      </c>
      <c r="T189">
        <f t="shared" si="34"/>
        <v>52</v>
      </c>
      <c r="U189" t="str">
        <f t="shared" si="35"/>
        <v>Developing</v>
      </c>
      <c r="V189" t="str">
        <f t="shared" si="36"/>
        <v>Interview</v>
      </c>
      <c r="W189" t="str">
        <f t="shared" si="37"/>
        <v>Personality &amp; Communication</v>
      </c>
      <c r="X189" t="str">
        <f t="shared" si="38"/>
        <v>Work on communication and personality development</v>
      </c>
    </row>
    <row r="190" spans="1:24" x14ac:dyDescent="0.3">
      <c r="A190">
        <v>46</v>
      </c>
      <c r="B190">
        <v>1</v>
      </c>
      <c r="C190">
        <v>2</v>
      </c>
      <c r="D190">
        <v>10</v>
      </c>
      <c r="E190">
        <v>2</v>
      </c>
      <c r="F190">
        <v>7.0373317948340004</v>
      </c>
      <c r="G190">
        <v>69</v>
      </c>
      <c r="H190">
        <v>41</v>
      </c>
      <c r="I190">
        <v>90</v>
      </c>
      <c r="J190">
        <v>1</v>
      </c>
      <c r="K190">
        <v>1</v>
      </c>
      <c r="L190" t="str">
        <f t="shared" si="26"/>
        <v>C189</v>
      </c>
      <c r="M190" t="str">
        <f t="shared" si="27"/>
        <v>Female</v>
      </c>
      <c r="N190" t="str">
        <f t="shared" si="28"/>
        <v>Bachelor's Type 2</v>
      </c>
      <c r="O190" t="str">
        <f t="shared" si="29"/>
        <v>Senior Level</v>
      </c>
      <c r="P190" t="str">
        <f t="shared" si="30"/>
        <v>Average</v>
      </c>
      <c r="Q190" t="str">
        <f t="shared" si="31"/>
        <v>Beginner</v>
      </c>
      <c r="R190" t="str">
        <f t="shared" si="32"/>
        <v>Strong</v>
      </c>
      <c r="S190" t="str">
        <f t="shared" si="33"/>
        <v>Hired</v>
      </c>
      <c r="T190">
        <f t="shared" si="34"/>
        <v>64</v>
      </c>
      <c r="U190" t="str">
        <f t="shared" si="35"/>
        <v>Developing</v>
      </c>
      <c r="V190" t="str">
        <f t="shared" si="36"/>
        <v>Personality</v>
      </c>
      <c r="W190" t="str">
        <f t="shared" si="37"/>
        <v>Technical Skills</v>
      </c>
      <c r="X190" t="str">
        <f t="shared" si="38"/>
        <v>Strengthen technical skills and practical knowledge</v>
      </c>
    </row>
    <row r="191" spans="1:24" x14ac:dyDescent="0.3">
      <c r="A191">
        <v>28</v>
      </c>
      <c r="B191">
        <v>1</v>
      </c>
      <c r="C191">
        <v>3</v>
      </c>
      <c r="D191">
        <v>15</v>
      </c>
      <c r="E191">
        <v>5</v>
      </c>
      <c r="F191">
        <v>49.848277306331099</v>
      </c>
      <c r="G191">
        <v>99</v>
      </c>
      <c r="H191">
        <v>100</v>
      </c>
      <c r="I191">
        <v>43</v>
      </c>
      <c r="J191">
        <v>2</v>
      </c>
      <c r="K191">
        <v>1</v>
      </c>
      <c r="L191" t="str">
        <f t="shared" si="26"/>
        <v>C190</v>
      </c>
      <c r="M191" t="str">
        <f t="shared" si="27"/>
        <v>Female</v>
      </c>
      <c r="N191" t="str">
        <f t="shared" si="28"/>
        <v>Master's</v>
      </c>
      <c r="O191" t="str">
        <f t="shared" si="29"/>
        <v>Senior Level</v>
      </c>
      <c r="P191" t="str">
        <f t="shared" si="30"/>
        <v>Strong</v>
      </c>
      <c r="Q191" t="str">
        <f t="shared" si="31"/>
        <v>Advanced</v>
      </c>
      <c r="R191" t="str">
        <f t="shared" si="32"/>
        <v>Needs Improvement</v>
      </c>
      <c r="S191" t="str">
        <f t="shared" si="33"/>
        <v>Hired</v>
      </c>
      <c r="T191">
        <f t="shared" si="34"/>
        <v>87</v>
      </c>
      <c r="U191" t="str">
        <f t="shared" si="35"/>
        <v>Job Ready</v>
      </c>
      <c r="V191" t="str">
        <f t="shared" si="36"/>
        <v>Technical Skills</v>
      </c>
      <c r="W191" t="str">
        <f t="shared" si="37"/>
        <v>Personality &amp; Communication</v>
      </c>
      <c r="X191" t="str">
        <f t="shared" si="38"/>
        <v>Work on communication and personality development</v>
      </c>
    </row>
    <row r="192" spans="1:24" x14ac:dyDescent="0.3">
      <c r="A192">
        <v>34</v>
      </c>
      <c r="B192">
        <v>0</v>
      </c>
      <c r="C192">
        <v>2</v>
      </c>
      <c r="D192">
        <v>1</v>
      </c>
      <c r="E192">
        <v>1</v>
      </c>
      <c r="F192">
        <v>10.3465714720723</v>
      </c>
      <c r="G192">
        <v>87</v>
      </c>
      <c r="H192">
        <v>8</v>
      </c>
      <c r="I192">
        <v>100</v>
      </c>
      <c r="J192">
        <v>1</v>
      </c>
      <c r="K192">
        <v>1</v>
      </c>
      <c r="L192" t="str">
        <f t="shared" si="26"/>
        <v>C191</v>
      </c>
      <c r="M192" t="str">
        <f t="shared" si="27"/>
        <v>Male</v>
      </c>
      <c r="N192" t="str">
        <f t="shared" si="28"/>
        <v>Bachelor's Type 2</v>
      </c>
      <c r="O192" t="str">
        <f t="shared" si="29"/>
        <v>Entry Level</v>
      </c>
      <c r="P192" t="str">
        <f t="shared" si="30"/>
        <v>Strong</v>
      </c>
      <c r="Q192" t="str">
        <f t="shared" si="31"/>
        <v>Beginner</v>
      </c>
      <c r="R192" t="str">
        <f t="shared" si="32"/>
        <v>Strong</v>
      </c>
      <c r="S192" t="str">
        <f t="shared" si="33"/>
        <v>Hired</v>
      </c>
      <c r="T192">
        <f t="shared" si="34"/>
        <v>52</v>
      </c>
      <c r="U192" t="str">
        <f t="shared" si="35"/>
        <v>Developing</v>
      </c>
      <c r="V192" t="str">
        <f t="shared" si="36"/>
        <v>Personality</v>
      </c>
      <c r="W192" t="str">
        <f t="shared" si="37"/>
        <v>Technical Skills</v>
      </c>
      <c r="X192" t="str">
        <f t="shared" si="38"/>
        <v>Strengthen technical skills and practical knowledge</v>
      </c>
    </row>
    <row r="193" spans="1:24" x14ac:dyDescent="0.3">
      <c r="A193">
        <v>34</v>
      </c>
      <c r="B193">
        <v>1</v>
      </c>
      <c r="C193">
        <v>2</v>
      </c>
      <c r="D193">
        <v>7</v>
      </c>
      <c r="E193">
        <v>2</v>
      </c>
      <c r="F193">
        <v>23.2637012382352</v>
      </c>
      <c r="G193">
        <v>75</v>
      </c>
      <c r="H193">
        <v>24</v>
      </c>
      <c r="I193">
        <v>70</v>
      </c>
      <c r="J193">
        <v>3</v>
      </c>
      <c r="K193">
        <v>0</v>
      </c>
      <c r="L193" t="str">
        <f t="shared" si="26"/>
        <v>C192</v>
      </c>
      <c r="M193" t="str">
        <f t="shared" si="27"/>
        <v>Female</v>
      </c>
      <c r="N193" t="str">
        <f t="shared" si="28"/>
        <v>Bachelor's Type 2</v>
      </c>
      <c r="O193" t="str">
        <f t="shared" si="29"/>
        <v>Senior Level</v>
      </c>
      <c r="P193" t="str">
        <f t="shared" si="30"/>
        <v>Strong</v>
      </c>
      <c r="Q193" t="str">
        <f t="shared" si="31"/>
        <v>Beginner</v>
      </c>
      <c r="R193" t="str">
        <f t="shared" si="32"/>
        <v>Good</v>
      </c>
      <c r="S193" t="str">
        <f t="shared" si="33"/>
        <v>Not Hired</v>
      </c>
      <c r="T193">
        <f t="shared" si="34"/>
        <v>53</v>
      </c>
      <c r="U193" t="str">
        <f t="shared" si="35"/>
        <v>Developing</v>
      </c>
      <c r="V193" t="str">
        <f t="shared" si="36"/>
        <v>Interview</v>
      </c>
      <c r="W193" t="str">
        <f t="shared" si="37"/>
        <v>Technical Skills</v>
      </c>
      <c r="X193" t="str">
        <f t="shared" si="38"/>
        <v>Strengthen technical skills and practical knowledge</v>
      </c>
    </row>
    <row r="194" spans="1:24" x14ac:dyDescent="0.3">
      <c r="A194">
        <v>45</v>
      </c>
      <c r="B194">
        <v>1</v>
      </c>
      <c r="C194">
        <v>2</v>
      </c>
      <c r="D194">
        <v>10</v>
      </c>
      <c r="E194">
        <v>2</v>
      </c>
      <c r="F194">
        <v>25.405877171686701</v>
      </c>
      <c r="G194">
        <v>42</v>
      </c>
      <c r="H194">
        <v>88</v>
      </c>
      <c r="I194">
        <v>71</v>
      </c>
      <c r="J194">
        <v>1</v>
      </c>
      <c r="K194">
        <v>1</v>
      </c>
      <c r="L194" t="str">
        <f t="shared" si="26"/>
        <v>C193</v>
      </c>
      <c r="M194" t="str">
        <f t="shared" si="27"/>
        <v>Female</v>
      </c>
      <c r="N194" t="str">
        <f t="shared" si="28"/>
        <v>Bachelor's Type 2</v>
      </c>
      <c r="O194" t="str">
        <f t="shared" si="29"/>
        <v>Senior Level</v>
      </c>
      <c r="P194" t="str">
        <f t="shared" si="30"/>
        <v>Low</v>
      </c>
      <c r="Q194" t="str">
        <f t="shared" si="31"/>
        <v>Advanced</v>
      </c>
      <c r="R194" t="str">
        <f t="shared" si="32"/>
        <v>Good</v>
      </c>
      <c r="S194" t="str">
        <f t="shared" si="33"/>
        <v>Hired</v>
      </c>
      <c r="T194">
        <f t="shared" si="34"/>
        <v>66</v>
      </c>
      <c r="U194" t="str">
        <f t="shared" si="35"/>
        <v>Developing</v>
      </c>
      <c r="V194" t="str">
        <f t="shared" si="36"/>
        <v>Technical Skills</v>
      </c>
      <c r="W194" t="str">
        <f t="shared" si="37"/>
        <v>Interview Preparation</v>
      </c>
      <c r="X194" t="str">
        <f t="shared" si="38"/>
        <v>Improve interview preparation and communication</v>
      </c>
    </row>
    <row r="195" spans="1:24" x14ac:dyDescent="0.3">
      <c r="A195">
        <v>29</v>
      </c>
      <c r="B195">
        <v>1</v>
      </c>
      <c r="C195">
        <v>1</v>
      </c>
      <c r="D195">
        <v>12</v>
      </c>
      <c r="E195">
        <v>1</v>
      </c>
      <c r="F195">
        <v>41.653139860705998</v>
      </c>
      <c r="G195">
        <v>22</v>
      </c>
      <c r="H195">
        <v>96</v>
      </c>
      <c r="I195">
        <v>100</v>
      </c>
      <c r="J195">
        <v>2</v>
      </c>
      <c r="K195">
        <v>0</v>
      </c>
      <c r="L195" t="str">
        <f t="shared" ref="L195:L258" si="39">"C"&amp;TEXT(ROW()-1,"000")</f>
        <v>C194</v>
      </c>
      <c r="M195" t="str">
        <f t="shared" ref="M195:M258" si="40">IF(B195=0,"Male","Female")</f>
        <v>Female</v>
      </c>
      <c r="N195" t="str">
        <f t="shared" ref="N195:N258" si="41">IF(C195=1,"Bachelor's Type 1",IF(C195=2,"Bachelor's Type 2",IF(C195=3,"Master's","PhD")))</f>
        <v>Bachelor's Type 1</v>
      </c>
      <c r="O195" t="str">
        <f t="shared" ref="O195:O258" si="42">IF(D195&lt;=2,"Entry Level",IF(D195&lt;=6,"Mid Level","Senior Level"))</f>
        <v>Senior Level</v>
      </c>
      <c r="P195" t="str">
        <f t="shared" ref="P195:P258" si="43">IF(G195&lt;50,"Low",IF(G195&lt;75,"Average","Strong"))</f>
        <v>Low</v>
      </c>
      <c r="Q195" t="str">
        <f t="shared" ref="Q195:Q258" si="44">IF(H195&lt;50,"Beginner",IF(H195&lt;75,"Intermediate","Advanced"))</f>
        <v>Advanced</v>
      </c>
      <c r="R195" t="str">
        <f t="shared" ref="R195:R258" si="45">IF(I195&lt;50,"Needs Improvement",IF(I195&lt;75,"Good","Strong"))</f>
        <v>Strong</v>
      </c>
      <c r="S195" t="str">
        <f t="shared" ref="S195:S258" si="46">IF(K195=1,"Hired","Not Hired")</f>
        <v>Not Hired</v>
      </c>
      <c r="T195">
        <f t="shared" ref="T195:T258" si="47">ROUND((G195*30%)+(H195*30%)+(I195*20%)+((D195/15)*100*15%)+(IF(C195&lt;=2,50,IF(C195=3,75,100))*5%),0)</f>
        <v>70</v>
      </c>
      <c r="U195" t="str">
        <f t="shared" ref="U195:U258" si="48">IF(T195&lt;50,"Needs Improvement",IF(T195&lt;75,"Developing","Job Ready"))</f>
        <v>Developing</v>
      </c>
      <c r="V195" t="str">
        <f t="shared" ref="V195:V258" si="49">IF(AND(G195&gt;=H195,G195&gt;=I195),"Interview",IF(H195&gt;=I195,"Technical Skills","Personality"))</f>
        <v>Personality</v>
      </c>
      <c r="W195" t="str">
        <f t="shared" ref="W195:W258" si="50">IF(AND(G195&lt;=H195,G195&lt;=I195),"Interview Preparation",IF(H195&lt;=I195,"Technical Skills","Personality &amp; Communication"))</f>
        <v>Interview Preparation</v>
      </c>
      <c r="X195" t="str">
        <f t="shared" ref="X195:X258" si="51">IF(W195="Interview Preparation","Improve interview preparation and communication",IF(W195="Technical Skills","Strengthen technical skills and practical knowledge","Work on communication and personality development"))</f>
        <v>Improve interview preparation and communication</v>
      </c>
    </row>
    <row r="196" spans="1:24" x14ac:dyDescent="0.3">
      <c r="A196">
        <v>47</v>
      </c>
      <c r="B196">
        <v>0</v>
      </c>
      <c r="C196">
        <v>1</v>
      </c>
      <c r="D196">
        <v>1</v>
      </c>
      <c r="E196">
        <v>2</v>
      </c>
      <c r="F196">
        <v>5.9614798047323303</v>
      </c>
      <c r="G196">
        <v>26</v>
      </c>
      <c r="H196">
        <v>1</v>
      </c>
      <c r="I196">
        <v>77</v>
      </c>
      <c r="J196">
        <v>3</v>
      </c>
      <c r="K196">
        <v>0</v>
      </c>
      <c r="L196" t="str">
        <f t="shared" si="39"/>
        <v>C195</v>
      </c>
      <c r="M196" t="str">
        <f t="shared" si="40"/>
        <v>Male</v>
      </c>
      <c r="N196" t="str">
        <f t="shared" si="41"/>
        <v>Bachelor's Type 1</v>
      </c>
      <c r="O196" t="str">
        <f t="shared" si="42"/>
        <v>Entry Level</v>
      </c>
      <c r="P196" t="str">
        <f t="shared" si="43"/>
        <v>Low</v>
      </c>
      <c r="Q196" t="str">
        <f t="shared" si="44"/>
        <v>Beginner</v>
      </c>
      <c r="R196" t="str">
        <f t="shared" si="45"/>
        <v>Strong</v>
      </c>
      <c r="S196" t="str">
        <f t="shared" si="46"/>
        <v>Not Hired</v>
      </c>
      <c r="T196">
        <f t="shared" si="47"/>
        <v>27</v>
      </c>
      <c r="U196" t="str">
        <f t="shared" si="48"/>
        <v>Needs Improvement</v>
      </c>
      <c r="V196" t="str">
        <f t="shared" si="49"/>
        <v>Personality</v>
      </c>
      <c r="W196" t="str">
        <f t="shared" si="50"/>
        <v>Technical Skills</v>
      </c>
      <c r="X196" t="str">
        <f t="shared" si="51"/>
        <v>Strengthen technical skills and practical knowledge</v>
      </c>
    </row>
    <row r="197" spans="1:24" x14ac:dyDescent="0.3">
      <c r="A197">
        <v>32</v>
      </c>
      <c r="B197">
        <v>0</v>
      </c>
      <c r="C197">
        <v>3</v>
      </c>
      <c r="D197">
        <v>2</v>
      </c>
      <c r="E197">
        <v>1</v>
      </c>
      <c r="F197">
        <v>22.432213960426498</v>
      </c>
      <c r="G197">
        <v>57</v>
      </c>
      <c r="H197">
        <v>18</v>
      </c>
      <c r="I197">
        <v>75</v>
      </c>
      <c r="J197">
        <v>1</v>
      </c>
      <c r="K197">
        <v>1</v>
      </c>
      <c r="L197" t="str">
        <f t="shared" si="39"/>
        <v>C196</v>
      </c>
      <c r="M197" t="str">
        <f t="shared" si="40"/>
        <v>Male</v>
      </c>
      <c r="N197" t="str">
        <f t="shared" si="41"/>
        <v>Master's</v>
      </c>
      <c r="O197" t="str">
        <f t="shared" si="42"/>
        <v>Entry Level</v>
      </c>
      <c r="P197" t="str">
        <f t="shared" si="43"/>
        <v>Average</v>
      </c>
      <c r="Q197" t="str">
        <f t="shared" si="44"/>
        <v>Beginner</v>
      </c>
      <c r="R197" t="str">
        <f t="shared" si="45"/>
        <v>Strong</v>
      </c>
      <c r="S197" t="str">
        <f t="shared" si="46"/>
        <v>Hired</v>
      </c>
      <c r="T197">
        <f t="shared" si="47"/>
        <v>43</v>
      </c>
      <c r="U197" t="str">
        <f t="shared" si="48"/>
        <v>Needs Improvement</v>
      </c>
      <c r="V197" t="str">
        <f t="shared" si="49"/>
        <v>Personality</v>
      </c>
      <c r="W197" t="str">
        <f t="shared" si="50"/>
        <v>Technical Skills</v>
      </c>
      <c r="X197" t="str">
        <f t="shared" si="51"/>
        <v>Strengthen technical skills and practical knowledge</v>
      </c>
    </row>
    <row r="198" spans="1:24" x14ac:dyDescent="0.3">
      <c r="A198">
        <v>38</v>
      </c>
      <c r="B198">
        <v>0</v>
      </c>
      <c r="C198">
        <v>2</v>
      </c>
      <c r="D198">
        <v>13</v>
      </c>
      <c r="E198">
        <v>1</v>
      </c>
      <c r="F198">
        <v>32.425108511810102</v>
      </c>
      <c r="G198">
        <v>36</v>
      </c>
      <c r="H198">
        <v>19</v>
      </c>
      <c r="I198">
        <v>35</v>
      </c>
      <c r="J198">
        <v>1</v>
      </c>
      <c r="K198">
        <v>0</v>
      </c>
      <c r="L198" t="str">
        <f t="shared" si="39"/>
        <v>C197</v>
      </c>
      <c r="M198" t="str">
        <f t="shared" si="40"/>
        <v>Male</v>
      </c>
      <c r="N198" t="str">
        <f t="shared" si="41"/>
        <v>Bachelor's Type 2</v>
      </c>
      <c r="O198" t="str">
        <f t="shared" si="42"/>
        <v>Senior Level</v>
      </c>
      <c r="P198" t="str">
        <f t="shared" si="43"/>
        <v>Low</v>
      </c>
      <c r="Q198" t="str">
        <f t="shared" si="44"/>
        <v>Beginner</v>
      </c>
      <c r="R198" t="str">
        <f t="shared" si="45"/>
        <v>Needs Improvement</v>
      </c>
      <c r="S198" t="str">
        <f t="shared" si="46"/>
        <v>Not Hired</v>
      </c>
      <c r="T198">
        <f t="shared" si="47"/>
        <v>39</v>
      </c>
      <c r="U198" t="str">
        <f t="shared" si="48"/>
        <v>Needs Improvement</v>
      </c>
      <c r="V198" t="str">
        <f t="shared" si="49"/>
        <v>Interview</v>
      </c>
      <c r="W198" t="str">
        <f t="shared" si="50"/>
        <v>Technical Skills</v>
      </c>
      <c r="X198" t="str">
        <f t="shared" si="51"/>
        <v>Strengthen technical skills and practical knowledge</v>
      </c>
    </row>
    <row r="199" spans="1:24" x14ac:dyDescent="0.3">
      <c r="A199">
        <v>50</v>
      </c>
      <c r="B199">
        <v>1</v>
      </c>
      <c r="C199">
        <v>1</v>
      </c>
      <c r="D199">
        <v>9</v>
      </c>
      <c r="E199">
        <v>3</v>
      </c>
      <c r="F199">
        <v>11.757781081202699</v>
      </c>
      <c r="G199">
        <v>5</v>
      </c>
      <c r="H199">
        <v>92</v>
      </c>
      <c r="I199">
        <v>60</v>
      </c>
      <c r="J199">
        <v>2</v>
      </c>
      <c r="K199">
        <v>0</v>
      </c>
      <c r="L199" t="str">
        <f t="shared" si="39"/>
        <v>C198</v>
      </c>
      <c r="M199" t="str">
        <f t="shared" si="40"/>
        <v>Female</v>
      </c>
      <c r="N199" t="str">
        <f t="shared" si="41"/>
        <v>Bachelor's Type 1</v>
      </c>
      <c r="O199" t="str">
        <f t="shared" si="42"/>
        <v>Senior Level</v>
      </c>
      <c r="P199" t="str">
        <f t="shared" si="43"/>
        <v>Low</v>
      </c>
      <c r="Q199" t="str">
        <f t="shared" si="44"/>
        <v>Advanced</v>
      </c>
      <c r="R199" t="str">
        <f t="shared" si="45"/>
        <v>Good</v>
      </c>
      <c r="S199" t="str">
        <f t="shared" si="46"/>
        <v>Not Hired</v>
      </c>
      <c r="T199">
        <f t="shared" si="47"/>
        <v>53</v>
      </c>
      <c r="U199" t="str">
        <f t="shared" si="48"/>
        <v>Developing</v>
      </c>
      <c r="V199" t="str">
        <f t="shared" si="49"/>
        <v>Technical Skills</v>
      </c>
      <c r="W199" t="str">
        <f t="shared" si="50"/>
        <v>Interview Preparation</v>
      </c>
      <c r="X199" t="str">
        <f t="shared" si="51"/>
        <v>Improve interview preparation and communication</v>
      </c>
    </row>
    <row r="200" spans="1:24" x14ac:dyDescent="0.3">
      <c r="A200">
        <v>26</v>
      </c>
      <c r="B200">
        <v>1</v>
      </c>
      <c r="C200">
        <v>2</v>
      </c>
      <c r="D200">
        <v>0</v>
      </c>
      <c r="E200">
        <v>4</v>
      </c>
      <c r="F200">
        <v>32.373394938303598</v>
      </c>
      <c r="G200">
        <v>64</v>
      </c>
      <c r="H200">
        <v>69</v>
      </c>
      <c r="I200">
        <v>80</v>
      </c>
      <c r="J200">
        <v>1</v>
      </c>
      <c r="K200">
        <v>1</v>
      </c>
      <c r="L200" t="str">
        <f t="shared" si="39"/>
        <v>C199</v>
      </c>
      <c r="M200" t="str">
        <f t="shared" si="40"/>
        <v>Female</v>
      </c>
      <c r="N200" t="str">
        <f t="shared" si="41"/>
        <v>Bachelor's Type 2</v>
      </c>
      <c r="O200" t="str">
        <f t="shared" si="42"/>
        <v>Entry Level</v>
      </c>
      <c r="P200" t="str">
        <f t="shared" si="43"/>
        <v>Average</v>
      </c>
      <c r="Q200" t="str">
        <f t="shared" si="44"/>
        <v>Intermediate</v>
      </c>
      <c r="R200" t="str">
        <f t="shared" si="45"/>
        <v>Strong</v>
      </c>
      <c r="S200" t="str">
        <f t="shared" si="46"/>
        <v>Hired</v>
      </c>
      <c r="T200">
        <f t="shared" si="47"/>
        <v>58</v>
      </c>
      <c r="U200" t="str">
        <f t="shared" si="48"/>
        <v>Developing</v>
      </c>
      <c r="V200" t="str">
        <f t="shared" si="49"/>
        <v>Personality</v>
      </c>
      <c r="W200" t="str">
        <f t="shared" si="50"/>
        <v>Interview Preparation</v>
      </c>
      <c r="X200" t="str">
        <f t="shared" si="51"/>
        <v>Improve interview preparation and communication</v>
      </c>
    </row>
    <row r="201" spans="1:24" x14ac:dyDescent="0.3">
      <c r="A201">
        <v>36</v>
      </c>
      <c r="B201">
        <v>1</v>
      </c>
      <c r="C201">
        <v>2</v>
      </c>
      <c r="D201">
        <v>10</v>
      </c>
      <c r="E201">
        <v>2</v>
      </c>
      <c r="F201">
        <v>47.183241877482601</v>
      </c>
      <c r="G201">
        <v>5</v>
      </c>
      <c r="H201">
        <v>16</v>
      </c>
      <c r="I201">
        <v>39</v>
      </c>
      <c r="J201">
        <v>1</v>
      </c>
      <c r="K201">
        <v>0</v>
      </c>
      <c r="L201" t="str">
        <f t="shared" si="39"/>
        <v>C200</v>
      </c>
      <c r="M201" t="str">
        <f t="shared" si="40"/>
        <v>Female</v>
      </c>
      <c r="N201" t="str">
        <f t="shared" si="41"/>
        <v>Bachelor's Type 2</v>
      </c>
      <c r="O201" t="str">
        <f t="shared" si="42"/>
        <v>Senior Level</v>
      </c>
      <c r="P201" t="str">
        <f t="shared" si="43"/>
        <v>Low</v>
      </c>
      <c r="Q201" t="str">
        <f t="shared" si="44"/>
        <v>Beginner</v>
      </c>
      <c r="R201" t="str">
        <f t="shared" si="45"/>
        <v>Needs Improvement</v>
      </c>
      <c r="S201" t="str">
        <f t="shared" si="46"/>
        <v>Not Hired</v>
      </c>
      <c r="T201">
        <f t="shared" si="47"/>
        <v>27</v>
      </c>
      <c r="U201" t="str">
        <f t="shared" si="48"/>
        <v>Needs Improvement</v>
      </c>
      <c r="V201" t="str">
        <f t="shared" si="49"/>
        <v>Personality</v>
      </c>
      <c r="W201" t="str">
        <f t="shared" si="50"/>
        <v>Interview Preparation</v>
      </c>
      <c r="X201" t="str">
        <f t="shared" si="51"/>
        <v>Improve interview preparation and communication</v>
      </c>
    </row>
    <row r="202" spans="1:24" x14ac:dyDescent="0.3">
      <c r="A202">
        <v>39</v>
      </c>
      <c r="B202">
        <v>0</v>
      </c>
      <c r="C202">
        <v>2</v>
      </c>
      <c r="D202">
        <v>15</v>
      </c>
      <c r="E202">
        <v>2</v>
      </c>
      <c r="F202">
        <v>50.875906558633702</v>
      </c>
      <c r="G202">
        <v>49</v>
      </c>
      <c r="H202">
        <v>88</v>
      </c>
      <c r="I202">
        <v>92</v>
      </c>
      <c r="J202">
        <v>1</v>
      </c>
      <c r="K202">
        <v>1</v>
      </c>
      <c r="L202" t="str">
        <f t="shared" si="39"/>
        <v>C201</v>
      </c>
      <c r="M202" t="str">
        <f t="shared" si="40"/>
        <v>Male</v>
      </c>
      <c r="N202" t="str">
        <f t="shared" si="41"/>
        <v>Bachelor's Type 2</v>
      </c>
      <c r="O202" t="str">
        <f t="shared" si="42"/>
        <v>Senior Level</v>
      </c>
      <c r="P202" t="str">
        <f t="shared" si="43"/>
        <v>Low</v>
      </c>
      <c r="Q202" t="str">
        <f t="shared" si="44"/>
        <v>Advanced</v>
      </c>
      <c r="R202" t="str">
        <f t="shared" si="45"/>
        <v>Strong</v>
      </c>
      <c r="S202" t="str">
        <f t="shared" si="46"/>
        <v>Hired</v>
      </c>
      <c r="T202">
        <f t="shared" si="47"/>
        <v>77</v>
      </c>
      <c r="U202" t="str">
        <f t="shared" si="48"/>
        <v>Job Ready</v>
      </c>
      <c r="V202" t="str">
        <f t="shared" si="49"/>
        <v>Personality</v>
      </c>
      <c r="W202" t="str">
        <f t="shared" si="50"/>
        <v>Interview Preparation</v>
      </c>
      <c r="X202" t="str">
        <f t="shared" si="51"/>
        <v>Improve interview preparation and communication</v>
      </c>
    </row>
    <row r="203" spans="1:24" x14ac:dyDescent="0.3">
      <c r="A203">
        <v>48</v>
      </c>
      <c r="B203">
        <v>0</v>
      </c>
      <c r="C203">
        <v>2</v>
      </c>
      <c r="D203">
        <v>1</v>
      </c>
      <c r="E203">
        <v>3</v>
      </c>
      <c r="F203">
        <v>2.6225538395337802</v>
      </c>
      <c r="G203">
        <v>21</v>
      </c>
      <c r="H203">
        <v>67</v>
      </c>
      <c r="I203">
        <v>26</v>
      </c>
      <c r="J203">
        <v>2</v>
      </c>
      <c r="K203">
        <v>0</v>
      </c>
      <c r="L203" t="str">
        <f t="shared" si="39"/>
        <v>C202</v>
      </c>
      <c r="M203" t="str">
        <f t="shared" si="40"/>
        <v>Male</v>
      </c>
      <c r="N203" t="str">
        <f t="shared" si="41"/>
        <v>Bachelor's Type 2</v>
      </c>
      <c r="O203" t="str">
        <f t="shared" si="42"/>
        <v>Entry Level</v>
      </c>
      <c r="P203" t="str">
        <f t="shared" si="43"/>
        <v>Low</v>
      </c>
      <c r="Q203" t="str">
        <f t="shared" si="44"/>
        <v>Intermediate</v>
      </c>
      <c r="R203" t="str">
        <f t="shared" si="45"/>
        <v>Needs Improvement</v>
      </c>
      <c r="S203" t="str">
        <f t="shared" si="46"/>
        <v>Not Hired</v>
      </c>
      <c r="T203">
        <f t="shared" si="47"/>
        <v>35</v>
      </c>
      <c r="U203" t="str">
        <f t="shared" si="48"/>
        <v>Needs Improvement</v>
      </c>
      <c r="V203" t="str">
        <f t="shared" si="49"/>
        <v>Technical Skills</v>
      </c>
      <c r="W203" t="str">
        <f t="shared" si="50"/>
        <v>Interview Preparation</v>
      </c>
      <c r="X203" t="str">
        <f t="shared" si="51"/>
        <v>Improve interview preparation and communication</v>
      </c>
    </row>
    <row r="204" spans="1:24" x14ac:dyDescent="0.3">
      <c r="A204">
        <v>23</v>
      </c>
      <c r="B204">
        <v>1</v>
      </c>
      <c r="C204">
        <v>2</v>
      </c>
      <c r="D204">
        <v>13</v>
      </c>
      <c r="E204">
        <v>3</v>
      </c>
      <c r="F204">
        <v>12.779411412233801</v>
      </c>
      <c r="G204">
        <v>87</v>
      </c>
      <c r="H204">
        <v>93</v>
      </c>
      <c r="I204">
        <v>0</v>
      </c>
      <c r="J204">
        <v>3</v>
      </c>
      <c r="K204">
        <v>0</v>
      </c>
      <c r="L204" t="str">
        <f t="shared" si="39"/>
        <v>C203</v>
      </c>
      <c r="M204" t="str">
        <f t="shared" si="40"/>
        <v>Female</v>
      </c>
      <c r="N204" t="str">
        <f t="shared" si="41"/>
        <v>Bachelor's Type 2</v>
      </c>
      <c r="O204" t="str">
        <f t="shared" si="42"/>
        <v>Senior Level</v>
      </c>
      <c r="P204" t="str">
        <f t="shared" si="43"/>
        <v>Strong</v>
      </c>
      <c r="Q204" t="str">
        <f t="shared" si="44"/>
        <v>Advanced</v>
      </c>
      <c r="R204" t="str">
        <f t="shared" si="45"/>
        <v>Needs Improvement</v>
      </c>
      <c r="S204" t="str">
        <f t="shared" si="46"/>
        <v>Not Hired</v>
      </c>
      <c r="T204">
        <f t="shared" si="47"/>
        <v>70</v>
      </c>
      <c r="U204" t="str">
        <f t="shared" si="48"/>
        <v>Developing</v>
      </c>
      <c r="V204" t="str">
        <f t="shared" si="49"/>
        <v>Technical Skills</v>
      </c>
      <c r="W204" t="str">
        <f t="shared" si="50"/>
        <v>Personality &amp; Communication</v>
      </c>
      <c r="X204" t="str">
        <f t="shared" si="51"/>
        <v>Work on communication and personality development</v>
      </c>
    </row>
    <row r="205" spans="1:24" x14ac:dyDescent="0.3">
      <c r="A205">
        <v>49</v>
      </c>
      <c r="B205">
        <v>0</v>
      </c>
      <c r="C205">
        <v>2</v>
      </c>
      <c r="D205">
        <v>15</v>
      </c>
      <c r="E205">
        <v>3</v>
      </c>
      <c r="F205">
        <v>16.515355789584799</v>
      </c>
      <c r="G205">
        <v>24</v>
      </c>
      <c r="H205">
        <v>83</v>
      </c>
      <c r="I205">
        <v>33</v>
      </c>
      <c r="J205">
        <v>3</v>
      </c>
      <c r="K205">
        <v>0</v>
      </c>
      <c r="L205" t="str">
        <f t="shared" si="39"/>
        <v>C204</v>
      </c>
      <c r="M205" t="str">
        <f t="shared" si="40"/>
        <v>Male</v>
      </c>
      <c r="N205" t="str">
        <f t="shared" si="41"/>
        <v>Bachelor's Type 2</v>
      </c>
      <c r="O205" t="str">
        <f t="shared" si="42"/>
        <v>Senior Level</v>
      </c>
      <c r="P205" t="str">
        <f t="shared" si="43"/>
        <v>Low</v>
      </c>
      <c r="Q205" t="str">
        <f t="shared" si="44"/>
        <v>Advanced</v>
      </c>
      <c r="R205" t="str">
        <f t="shared" si="45"/>
        <v>Needs Improvement</v>
      </c>
      <c r="S205" t="str">
        <f t="shared" si="46"/>
        <v>Not Hired</v>
      </c>
      <c r="T205">
        <f t="shared" si="47"/>
        <v>56</v>
      </c>
      <c r="U205" t="str">
        <f t="shared" si="48"/>
        <v>Developing</v>
      </c>
      <c r="V205" t="str">
        <f t="shared" si="49"/>
        <v>Technical Skills</v>
      </c>
      <c r="W205" t="str">
        <f t="shared" si="50"/>
        <v>Interview Preparation</v>
      </c>
      <c r="X205" t="str">
        <f t="shared" si="51"/>
        <v>Improve interview preparation and communication</v>
      </c>
    </row>
    <row r="206" spans="1:24" x14ac:dyDescent="0.3">
      <c r="A206">
        <v>24</v>
      </c>
      <c r="B206">
        <v>0</v>
      </c>
      <c r="C206">
        <v>1</v>
      </c>
      <c r="D206">
        <v>6</v>
      </c>
      <c r="E206">
        <v>5</v>
      </c>
      <c r="F206">
        <v>20.956305022248301</v>
      </c>
      <c r="G206">
        <v>78</v>
      </c>
      <c r="H206">
        <v>2</v>
      </c>
      <c r="I206">
        <v>67</v>
      </c>
      <c r="J206">
        <v>1</v>
      </c>
      <c r="K206">
        <v>1</v>
      </c>
      <c r="L206" t="str">
        <f t="shared" si="39"/>
        <v>C205</v>
      </c>
      <c r="M206" t="str">
        <f t="shared" si="40"/>
        <v>Male</v>
      </c>
      <c r="N206" t="str">
        <f t="shared" si="41"/>
        <v>Bachelor's Type 1</v>
      </c>
      <c r="O206" t="str">
        <f t="shared" si="42"/>
        <v>Mid Level</v>
      </c>
      <c r="P206" t="str">
        <f t="shared" si="43"/>
        <v>Strong</v>
      </c>
      <c r="Q206" t="str">
        <f t="shared" si="44"/>
        <v>Beginner</v>
      </c>
      <c r="R206" t="str">
        <f t="shared" si="45"/>
        <v>Good</v>
      </c>
      <c r="S206" t="str">
        <f t="shared" si="46"/>
        <v>Hired</v>
      </c>
      <c r="T206">
        <f t="shared" si="47"/>
        <v>46</v>
      </c>
      <c r="U206" t="str">
        <f t="shared" si="48"/>
        <v>Needs Improvement</v>
      </c>
      <c r="V206" t="str">
        <f t="shared" si="49"/>
        <v>Interview</v>
      </c>
      <c r="W206" t="str">
        <f t="shared" si="50"/>
        <v>Technical Skills</v>
      </c>
      <c r="X206" t="str">
        <f t="shared" si="51"/>
        <v>Strengthen technical skills and practical knowledge</v>
      </c>
    </row>
    <row r="207" spans="1:24" x14ac:dyDescent="0.3">
      <c r="A207">
        <v>42</v>
      </c>
      <c r="B207">
        <v>0</v>
      </c>
      <c r="C207">
        <v>2</v>
      </c>
      <c r="D207">
        <v>9</v>
      </c>
      <c r="E207">
        <v>5</v>
      </c>
      <c r="F207">
        <v>13.1128578792383</v>
      </c>
      <c r="G207">
        <v>89</v>
      </c>
      <c r="H207">
        <v>86</v>
      </c>
      <c r="I207">
        <v>87</v>
      </c>
      <c r="J207">
        <v>2</v>
      </c>
      <c r="K207">
        <v>1</v>
      </c>
      <c r="L207" t="str">
        <f t="shared" si="39"/>
        <v>C206</v>
      </c>
      <c r="M207" t="str">
        <f t="shared" si="40"/>
        <v>Male</v>
      </c>
      <c r="N207" t="str">
        <f t="shared" si="41"/>
        <v>Bachelor's Type 2</v>
      </c>
      <c r="O207" t="str">
        <f t="shared" si="42"/>
        <v>Senior Level</v>
      </c>
      <c r="P207" t="str">
        <f t="shared" si="43"/>
        <v>Strong</v>
      </c>
      <c r="Q207" t="str">
        <f t="shared" si="44"/>
        <v>Advanced</v>
      </c>
      <c r="R207" t="str">
        <f t="shared" si="45"/>
        <v>Strong</v>
      </c>
      <c r="S207" t="str">
        <f t="shared" si="46"/>
        <v>Hired</v>
      </c>
      <c r="T207">
        <f t="shared" si="47"/>
        <v>81</v>
      </c>
      <c r="U207" t="str">
        <f t="shared" si="48"/>
        <v>Job Ready</v>
      </c>
      <c r="V207" t="str">
        <f t="shared" si="49"/>
        <v>Interview</v>
      </c>
      <c r="W207" t="str">
        <f t="shared" si="50"/>
        <v>Technical Skills</v>
      </c>
      <c r="X207" t="str">
        <f t="shared" si="51"/>
        <v>Strengthen technical skills and practical knowledge</v>
      </c>
    </row>
    <row r="208" spans="1:24" x14ac:dyDescent="0.3">
      <c r="A208">
        <v>26</v>
      </c>
      <c r="B208">
        <v>0</v>
      </c>
      <c r="C208">
        <v>3</v>
      </c>
      <c r="D208">
        <v>1</v>
      </c>
      <c r="E208">
        <v>5</v>
      </c>
      <c r="F208">
        <v>11.1743997277656</v>
      </c>
      <c r="G208">
        <v>71</v>
      </c>
      <c r="H208">
        <v>50</v>
      </c>
      <c r="I208">
        <v>20</v>
      </c>
      <c r="J208">
        <v>2</v>
      </c>
      <c r="K208">
        <v>0</v>
      </c>
      <c r="L208" t="str">
        <f t="shared" si="39"/>
        <v>C207</v>
      </c>
      <c r="M208" t="str">
        <f t="shared" si="40"/>
        <v>Male</v>
      </c>
      <c r="N208" t="str">
        <f t="shared" si="41"/>
        <v>Master's</v>
      </c>
      <c r="O208" t="str">
        <f t="shared" si="42"/>
        <v>Entry Level</v>
      </c>
      <c r="P208" t="str">
        <f t="shared" si="43"/>
        <v>Average</v>
      </c>
      <c r="Q208" t="str">
        <f t="shared" si="44"/>
        <v>Intermediate</v>
      </c>
      <c r="R208" t="str">
        <f t="shared" si="45"/>
        <v>Needs Improvement</v>
      </c>
      <c r="S208" t="str">
        <f t="shared" si="46"/>
        <v>Not Hired</v>
      </c>
      <c r="T208">
        <f t="shared" si="47"/>
        <v>45</v>
      </c>
      <c r="U208" t="str">
        <f t="shared" si="48"/>
        <v>Needs Improvement</v>
      </c>
      <c r="V208" t="str">
        <f t="shared" si="49"/>
        <v>Interview</v>
      </c>
      <c r="W208" t="str">
        <f t="shared" si="50"/>
        <v>Personality &amp; Communication</v>
      </c>
      <c r="X208" t="str">
        <f t="shared" si="51"/>
        <v>Work on communication and personality development</v>
      </c>
    </row>
    <row r="209" spans="1:24" x14ac:dyDescent="0.3">
      <c r="A209">
        <v>32</v>
      </c>
      <c r="B209">
        <v>1</v>
      </c>
      <c r="C209">
        <v>3</v>
      </c>
      <c r="D209">
        <v>5</v>
      </c>
      <c r="E209">
        <v>1</v>
      </c>
      <c r="F209">
        <v>48.727692120874998</v>
      </c>
      <c r="G209">
        <v>50</v>
      </c>
      <c r="H209">
        <v>81</v>
      </c>
      <c r="I209">
        <v>32</v>
      </c>
      <c r="J209">
        <v>3</v>
      </c>
      <c r="K209">
        <v>0</v>
      </c>
      <c r="L209" t="str">
        <f t="shared" si="39"/>
        <v>C208</v>
      </c>
      <c r="M209" t="str">
        <f t="shared" si="40"/>
        <v>Female</v>
      </c>
      <c r="N209" t="str">
        <f t="shared" si="41"/>
        <v>Master's</v>
      </c>
      <c r="O209" t="str">
        <f t="shared" si="42"/>
        <v>Mid Level</v>
      </c>
      <c r="P209" t="str">
        <f t="shared" si="43"/>
        <v>Average</v>
      </c>
      <c r="Q209" t="str">
        <f t="shared" si="44"/>
        <v>Advanced</v>
      </c>
      <c r="R209" t="str">
        <f t="shared" si="45"/>
        <v>Needs Improvement</v>
      </c>
      <c r="S209" t="str">
        <f t="shared" si="46"/>
        <v>Not Hired</v>
      </c>
      <c r="T209">
        <f t="shared" si="47"/>
        <v>54</v>
      </c>
      <c r="U209" t="str">
        <f t="shared" si="48"/>
        <v>Developing</v>
      </c>
      <c r="V209" t="str">
        <f t="shared" si="49"/>
        <v>Technical Skills</v>
      </c>
      <c r="W209" t="str">
        <f t="shared" si="50"/>
        <v>Personality &amp; Communication</v>
      </c>
      <c r="X209" t="str">
        <f t="shared" si="51"/>
        <v>Work on communication and personality development</v>
      </c>
    </row>
    <row r="210" spans="1:24" x14ac:dyDescent="0.3">
      <c r="A210">
        <v>34</v>
      </c>
      <c r="B210">
        <v>0</v>
      </c>
      <c r="C210">
        <v>3</v>
      </c>
      <c r="D210">
        <v>14</v>
      </c>
      <c r="E210">
        <v>2</v>
      </c>
      <c r="F210">
        <v>46.926080138525798</v>
      </c>
      <c r="G210">
        <v>87</v>
      </c>
      <c r="H210">
        <v>25</v>
      </c>
      <c r="I210">
        <v>6</v>
      </c>
      <c r="J210">
        <v>1</v>
      </c>
      <c r="K210">
        <v>1</v>
      </c>
      <c r="L210" t="str">
        <f t="shared" si="39"/>
        <v>C209</v>
      </c>
      <c r="M210" t="str">
        <f t="shared" si="40"/>
        <v>Male</v>
      </c>
      <c r="N210" t="str">
        <f t="shared" si="41"/>
        <v>Master's</v>
      </c>
      <c r="O210" t="str">
        <f t="shared" si="42"/>
        <v>Senior Level</v>
      </c>
      <c r="P210" t="str">
        <f t="shared" si="43"/>
        <v>Strong</v>
      </c>
      <c r="Q210" t="str">
        <f t="shared" si="44"/>
        <v>Beginner</v>
      </c>
      <c r="R210" t="str">
        <f t="shared" si="45"/>
        <v>Needs Improvement</v>
      </c>
      <c r="S210" t="str">
        <f t="shared" si="46"/>
        <v>Hired</v>
      </c>
      <c r="T210">
        <f t="shared" si="47"/>
        <v>53</v>
      </c>
      <c r="U210" t="str">
        <f t="shared" si="48"/>
        <v>Developing</v>
      </c>
      <c r="V210" t="str">
        <f t="shared" si="49"/>
        <v>Interview</v>
      </c>
      <c r="W210" t="str">
        <f t="shared" si="50"/>
        <v>Personality &amp; Communication</v>
      </c>
      <c r="X210" t="str">
        <f t="shared" si="51"/>
        <v>Work on communication and personality development</v>
      </c>
    </row>
    <row r="211" spans="1:24" x14ac:dyDescent="0.3">
      <c r="A211">
        <v>30</v>
      </c>
      <c r="B211">
        <v>0</v>
      </c>
      <c r="C211">
        <v>2</v>
      </c>
      <c r="D211">
        <v>2</v>
      </c>
      <c r="E211">
        <v>4</v>
      </c>
      <c r="F211">
        <v>3.3496250501558702</v>
      </c>
      <c r="G211">
        <v>47</v>
      </c>
      <c r="H211">
        <v>55</v>
      </c>
      <c r="I211">
        <v>64</v>
      </c>
      <c r="J211">
        <v>2</v>
      </c>
      <c r="K211">
        <v>0</v>
      </c>
      <c r="L211" t="str">
        <f t="shared" si="39"/>
        <v>C210</v>
      </c>
      <c r="M211" t="str">
        <f t="shared" si="40"/>
        <v>Male</v>
      </c>
      <c r="N211" t="str">
        <f t="shared" si="41"/>
        <v>Bachelor's Type 2</v>
      </c>
      <c r="O211" t="str">
        <f t="shared" si="42"/>
        <v>Entry Level</v>
      </c>
      <c r="P211" t="str">
        <f t="shared" si="43"/>
        <v>Low</v>
      </c>
      <c r="Q211" t="str">
        <f t="shared" si="44"/>
        <v>Intermediate</v>
      </c>
      <c r="R211" t="str">
        <f t="shared" si="45"/>
        <v>Good</v>
      </c>
      <c r="S211" t="str">
        <f t="shared" si="46"/>
        <v>Not Hired</v>
      </c>
      <c r="T211">
        <f t="shared" si="47"/>
        <v>48</v>
      </c>
      <c r="U211" t="str">
        <f t="shared" si="48"/>
        <v>Needs Improvement</v>
      </c>
      <c r="V211" t="str">
        <f t="shared" si="49"/>
        <v>Personality</v>
      </c>
      <c r="W211" t="str">
        <f t="shared" si="50"/>
        <v>Interview Preparation</v>
      </c>
      <c r="X211" t="str">
        <f t="shared" si="51"/>
        <v>Improve interview preparation and communication</v>
      </c>
    </row>
    <row r="212" spans="1:24" x14ac:dyDescent="0.3">
      <c r="A212">
        <v>48</v>
      </c>
      <c r="B212">
        <v>0</v>
      </c>
      <c r="C212">
        <v>2</v>
      </c>
      <c r="D212">
        <v>3</v>
      </c>
      <c r="E212">
        <v>1</v>
      </c>
      <c r="F212">
        <v>17.9406510802424</v>
      </c>
      <c r="G212">
        <v>69</v>
      </c>
      <c r="H212">
        <v>99</v>
      </c>
      <c r="I212">
        <v>2</v>
      </c>
      <c r="J212">
        <v>2</v>
      </c>
      <c r="K212">
        <v>0</v>
      </c>
      <c r="L212" t="str">
        <f t="shared" si="39"/>
        <v>C211</v>
      </c>
      <c r="M212" t="str">
        <f t="shared" si="40"/>
        <v>Male</v>
      </c>
      <c r="N212" t="str">
        <f t="shared" si="41"/>
        <v>Bachelor's Type 2</v>
      </c>
      <c r="O212" t="str">
        <f t="shared" si="42"/>
        <v>Mid Level</v>
      </c>
      <c r="P212" t="str">
        <f t="shared" si="43"/>
        <v>Average</v>
      </c>
      <c r="Q212" t="str">
        <f t="shared" si="44"/>
        <v>Advanced</v>
      </c>
      <c r="R212" t="str">
        <f t="shared" si="45"/>
        <v>Needs Improvement</v>
      </c>
      <c r="S212" t="str">
        <f t="shared" si="46"/>
        <v>Not Hired</v>
      </c>
      <c r="T212">
        <f t="shared" si="47"/>
        <v>56</v>
      </c>
      <c r="U212" t="str">
        <f t="shared" si="48"/>
        <v>Developing</v>
      </c>
      <c r="V212" t="str">
        <f t="shared" si="49"/>
        <v>Technical Skills</v>
      </c>
      <c r="W212" t="str">
        <f t="shared" si="50"/>
        <v>Personality &amp; Communication</v>
      </c>
      <c r="X212" t="str">
        <f t="shared" si="51"/>
        <v>Work on communication and personality development</v>
      </c>
    </row>
    <row r="213" spans="1:24" x14ac:dyDescent="0.3">
      <c r="A213">
        <v>23</v>
      </c>
      <c r="B213">
        <v>0</v>
      </c>
      <c r="C213">
        <v>2</v>
      </c>
      <c r="D213">
        <v>10</v>
      </c>
      <c r="E213">
        <v>2</v>
      </c>
      <c r="F213">
        <v>21.257427683920302</v>
      </c>
      <c r="G213">
        <v>98</v>
      </c>
      <c r="H213">
        <v>63</v>
      </c>
      <c r="I213">
        <v>50</v>
      </c>
      <c r="J213">
        <v>3</v>
      </c>
      <c r="K213">
        <v>0</v>
      </c>
      <c r="L213" t="str">
        <f t="shared" si="39"/>
        <v>C212</v>
      </c>
      <c r="M213" t="str">
        <f t="shared" si="40"/>
        <v>Male</v>
      </c>
      <c r="N213" t="str">
        <f t="shared" si="41"/>
        <v>Bachelor's Type 2</v>
      </c>
      <c r="O213" t="str">
        <f t="shared" si="42"/>
        <v>Senior Level</v>
      </c>
      <c r="P213" t="str">
        <f t="shared" si="43"/>
        <v>Strong</v>
      </c>
      <c r="Q213" t="str">
        <f t="shared" si="44"/>
        <v>Intermediate</v>
      </c>
      <c r="R213" t="str">
        <f t="shared" si="45"/>
        <v>Good</v>
      </c>
      <c r="S213" t="str">
        <f t="shared" si="46"/>
        <v>Not Hired</v>
      </c>
      <c r="T213">
        <f t="shared" si="47"/>
        <v>71</v>
      </c>
      <c r="U213" t="str">
        <f t="shared" si="48"/>
        <v>Developing</v>
      </c>
      <c r="V213" t="str">
        <f t="shared" si="49"/>
        <v>Interview</v>
      </c>
      <c r="W213" t="str">
        <f t="shared" si="50"/>
        <v>Personality &amp; Communication</v>
      </c>
      <c r="X213" t="str">
        <f t="shared" si="51"/>
        <v>Work on communication and personality development</v>
      </c>
    </row>
    <row r="214" spans="1:24" x14ac:dyDescent="0.3">
      <c r="A214">
        <v>32</v>
      </c>
      <c r="B214">
        <v>1</v>
      </c>
      <c r="C214">
        <v>2</v>
      </c>
      <c r="D214">
        <v>14</v>
      </c>
      <c r="E214">
        <v>2</v>
      </c>
      <c r="F214">
        <v>12.950726733297101</v>
      </c>
      <c r="G214">
        <v>64</v>
      </c>
      <c r="H214">
        <v>7</v>
      </c>
      <c r="I214">
        <v>78</v>
      </c>
      <c r="J214">
        <v>1</v>
      </c>
      <c r="K214">
        <v>1</v>
      </c>
      <c r="L214" t="str">
        <f t="shared" si="39"/>
        <v>C213</v>
      </c>
      <c r="M214" t="str">
        <f t="shared" si="40"/>
        <v>Female</v>
      </c>
      <c r="N214" t="str">
        <f t="shared" si="41"/>
        <v>Bachelor's Type 2</v>
      </c>
      <c r="O214" t="str">
        <f t="shared" si="42"/>
        <v>Senior Level</v>
      </c>
      <c r="P214" t="str">
        <f t="shared" si="43"/>
        <v>Average</v>
      </c>
      <c r="Q214" t="str">
        <f t="shared" si="44"/>
        <v>Beginner</v>
      </c>
      <c r="R214" t="str">
        <f t="shared" si="45"/>
        <v>Strong</v>
      </c>
      <c r="S214" t="str">
        <f t="shared" si="46"/>
        <v>Hired</v>
      </c>
      <c r="T214">
        <f t="shared" si="47"/>
        <v>53</v>
      </c>
      <c r="U214" t="str">
        <f t="shared" si="48"/>
        <v>Developing</v>
      </c>
      <c r="V214" t="str">
        <f t="shared" si="49"/>
        <v>Personality</v>
      </c>
      <c r="W214" t="str">
        <f t="shared" si="50"/>
        <v>Technical Skills</v>
      </c>
      <c r="X214" t="str">
        <f t="shared" si="51"/>
        <v>Strengthen technical skills and practical knowledge</v>
      </c>
    </row>
    <row r="215" spans="1:24" x14ac:dyDescent="0.3">
      <c r="A215">
        <v>26</v>
      </c>
      <c r="B215">
        <v>1</v>
      </c>
      <c r="C215">
        <v>2</v>
      </c>
      <c r="D215">
        <v>12</v>
      </c>
      <c r="E215">
        <v>3</v>
      </c>
      <c r="F215">
        <v>32.443644849408699</v>
      </c>
      <c r="G215">
        <v>59</v>
      </c>
      <c r="H215">
        <v>80</v>
      </c>
      <c r="I215">
        <v>94</v>
      </c>
      <c r="J215">
        <v>1</v>
      </c>
      <c r="K215">
        <v>1</v>
      </c>
      <c r="L215" t="str">
        <f t="shared" si="39"/>
        <v>C214</v>
      </c>
      <c r="M215" t="str">
        <f t="shared" si="40"/>
        <v>Female</v>
      </c>
      <c r="N215" t="str">
        <f t="shared" si="41"/>
        <v>Bachelor's Type 2</v>
      </c>
      <c r="O215" t="str">
        <f t="shared" si="42"/>
        <v>Senior Level</v>
      </c>
      <c r="P215" t="str">
        <f t="shared" si="43"/>
        <v>Average</v>
      </c>
      <c r="Q215" t="str">
        <f t="shared" si="44"/>
        <v>Advanced</v>
      </c>
      <c r="R215" t="str">
        <f t="shared" si="45"/>
        <v>Strong</v>
      </c>
      <c r="S215" t="str">
        <f t="shared" si="46"/>
        <v>Hired</v>
      </c>
      <c r="T215">
        <f t="shared" si="47"/>
        <v>75</v>
      </c>
      <c r="U215" t="str">
        <f t="shared" si="48"/>
        <v>Job Ready</v>
      </c>
      <c r="V215" t="str">
        <f t="shared" si="49"/>
        <v>Personality</v>
      </c>
      <c r="W215" t="str">
        <f t="shared" si="50"/>
        <v>Interview Preparation</v>
      </c>
      <c r="X215" t="str">
        <f t="shared" si="51"/>
        <v>Improve interview preparation and communication</v>
      </c>
    </row>
    <row r="216" spans="1:24" x14ac:dyDescent="0.3">
      <c r="A216">
        <v>46</v>
      </c>
      <c r="B216">
        <v>0</v>
      </c>
      <c r="C216">
        <v>1</v>
      </c>
      <c r="D216">
        <v>7</v>
      </c>
      <c r="E216">
        <v>3</v>
      </c>
      <c r="F216">
        <v>33.019037332212001</v>
      </c>
      <c r="G216">
        <v>45</v>
      </c>
      <c r="H216">
        <v>94</v>
      </c>
      <c r="I216">
        <v>53</v>
      </c>
      <c r="J216">
        <v>1</v>
      </c>
      <c r="K216">
        <v>1</v>
      </c>
      <c r="L216" t="str">
        <f t="shared" si="39"/>
        <v>C215</v>
      </c>
      <c r="M216" t="str">
        <f t="shared" si="40"/>
        <v>Male</v>
      </c>
      <c r="N216" t="str">
        <f t="shared" si="41"/>
        <v>Bachelor's Type 1</v>
      </c>
      <c r="O216" t="str">
        <f t="shared" si="42"/>
        <v>Senior Level</v>
      </c>
      <c r="P216" t="str">
        <f t="shared" si="43"/>
        <v>Low</v>
      </c>
      <c r="Q216" t="str">
        <f t="shared" si="44"/>
        <v>Advanced</v>
      </c>
      <c r="R216" t="str">
        <f t="shared" si="45"/>
        <v>Good</v>
      </c>
      <c r="S216" t="str">
        <f t="shared" si="46"/>
        <v>Hired</v>
      </c>
      <c r="T216">
        <f t="shared" si="47"/>
        <v>62</v>
      </c>
      <c r="U216" t="str">
        <f t="shared" si="48"/>
        <v>Developing</v>
      </c>
      <c r="V216" t="str">
        <f t="shared" si="49"/>
        <v>Technical Skills</v>
      </c>
      <c r="W216" t="str">
        <f t="shared" si="50"/>
        <v>Interview Preparation</v>
      </c>
      <c r="X216" t="str">
        <f t="shared" si="51"/>
        <v>Improve interview preparation and communication</v>
      </c>
    </row>
    <row r="217" spans="1:24" x14ac:dyDescent="0.3">
      <c r="A217">
        <v>38</v>
      </c>
      <c r="B217">
        <v>0</v>
      </c>
      <c r="C217">
        <v>2</v>
      </c>
      <c r="D217">
        <v>13</v>
      </c>
      <c r="E217">
        <v>1</v>
      </c>
      <c r="F217">
        <v>43.525211416429798</v>
      </c>
      <c r="G217">
        <v>35</v>
      </c>
      <c r="H217">
        <v>36</v>
      </c>
      <c r="I217">
        <v>79</v>
      </c>
      <c r="J217">
        <v>1</v>
      </c>
      <c r="K217">
        <v>1</v>
      </c>
      <c r="L217" t="str">
        <f t="shared" si="39"/>
        <v>C216</v>
      </c>
      <c r="M217" t="str">
        <f t="shared" si="40"/>
        <v>Male</v>
      </c>
      <c r="N217" t="str">
        <f t="shared" si="41"/>
        <v>Bachelor's Type 2</v>
      </c>
      <c r="O217" t="str">
        <f t="shared" si="42"/>
        <v>Senior Level</v>
      </c>
      <c r="P217" t="str">
        <f t="shared" si="43"/>
        <v>Low</v>
      </c>
      <c r="Q217" t="str">
        <f t="shared" si="44"/>
        <v>Beginner</v>
      </c>
      <c r="R217" t="str">
        <f t="shared" si="45"/>
        <v>Strong</v>
      </c>
      <c r="S217" t="str">
        <f t="shared" si="46"/>
        <v>Hired</v>
      </c>
      <c r="T217">
        <f t="shared" si="47"/>
        <v>53</v>
      </c>
      <c r="U217" t="str">
        <f t="shared" si="48"/>
        <v>Developing</v>
      </c>
      <c r="V217" t="str">
        <f t="shared" si="49"/>
        <v>Personality</v>
      </c>
      <c r="W217" t="str">
        <f t="shared" si="50"/>
        <v>Interview Preparation</v>
      </c>
      <c r="X217" t="str">
        <f t="shared" si="51"/>
        <v>Improve interview preparation and communication</v>
      </c>
    </row>
    <row r="218" spans="1:24" x14ac:dyDescent="0.3">
      <c r="A218">
        <v>41</v>
      </c>
      <c r="B218">
        <v>0</v>
      </c>
      <c r="C218">
        <v>4</v>
      </c>
      <c r="D218">
        <v>2</v>
      </c>
      <c r="E218">
        <v>3</v>
      </c>
      <c r="F218">
        <v>38.043463419260803</v>
      </c>
      <c r="G218">
        <v>57</v>
      </c>
      <c r="H218">
        <v>96</v>
      </c>
      <c r="I218">
        <v>73</v>
      </c>
      <c r="J218">
        <v>2</v>
      </c>
      <c r="K218">
        <v>0</v>
      </c>
      <c r="L218" t="str">
        <f t="shared" si="39"/>
        <v>C217</v>
      </c>
      <c r="M218" t="str">
        <f t="shared" si="40"/>
        <v>Male</v>
      </c>
      <c r="N218" t="str">
        <f t="shared" si="41"/>
        <v>PhD</v>
      </c>
      <c r="O218" t="str">
        <f t="shared" si="42"/>
        <v>Entry Level</v>
      </c>
      <c r="P218" t="str">
        <f t="shared" si="43"/>
        <v>Average</v>
      </c>
      <c r="Q218" t="str">
        <f t="shared" si="44"/>
        <v>Advanced</v>
      </c>
      <c r="R218" t="str">
        <f t="shared" si="45"/>
        <v>Good</v>
      </c>
      <c r="S218" t="str">
        <f t="shared" si="46"/>
        <v>Not Hired</v>
      </c>
      <c r="T218">
        <f t="shared" si="47"/>
        <v>68</v>
      </c>
      <c r="U218" t="str">
        <f t="shared" si="48"/>
        <v>Developing</v>
      </c>
      <c r="V218" t="str">
        <f t="shared" si="49"/>
        <v>Technical Skills</v>
      </c>
      <c r="W218" t="str">
        <f t="shared" si="50"/>
        <v>Interview Preparation</v>
      </c>
      <c r="X218" t="str">
        <f t="shared" si="51"/>
        <v>Improve interview preparation and communication</v>
      </c>
    </row>
    <row r="219" spans="1:24" x14ac:dyDescent="0.3">
      <c r="A219">
        <v>47</v>
      </c>
      <c r="B219">
        <v>0</v>
      </c>
      <c r="C219">
        <v>2</v>
      </c>
      <c r="D219">
        <v>9</v>
      </c>
      <c r="E219">
        <v>2</v>
      </c>
      <c r="F219">
        <v>28.128666348297699</v>
      </c>
      <c r="G219">
        <v>75</v>
      </c>
      <c r="H219">
        <v>26</v>
      </c>
      <c r="I219">
        <v>92</v>
      </c>
      <c r="J219">
        <v>2</v>
      </c>
      <c r="K219">
        <v>0</v>
      </c>
      <c r="L219" t="str">
        <f t="shared" si="39"/>
        <v>C218</v>
      </c>
      <c r="M219" t="str">
        <f t="shared" si="40"/>
        <v>Male</v>
      </c>
      <c r="N219" t="str">
        <f t="shared" si="41"/>
        <v>Bachelor's Type 2</v>
      </c>
      <c r="O219" t="str">
        <f t="shared" si="42"/>
        <v>Senior Level</v>
      </c>
      <c r="P219" t="str">
        <f t="shared" si="43"/>
        <v>Strong</v>
      </c>
      <c r="Q219" t="str">
        <f t="shared" si="44"/>
        <v>Beginner</v>
      </c>
      <c r="R219" t="str">
        <f t="shared" si="45"/>
        <v>Strong</v>
      </c>
      <c r="S219" t="str">
        <f t="shared" si="46"/>
        <v>Not Hired</v>
      </c>
      <c r="T219">
        <f t="shared" si="47"/>
        <v>60</v>
      </c>
      <c r="U219" t="str">
        <f t="shared" si="48"/>
        <v>Developing</v>
      </c>
      <c r="V219" t="str">
        <f t="shared" si="49"/>
        <v>Personality</v>
      </c>
      <c r="W219" t="str">
        <f t="shared" si="50"/>
        <v>Technical Skills</v>
      </c>
      <c r="X219" t="str">
        <f t="shared" si="51"/>
        <v>Strengthen technical skills and practical knowledge</v>
      </c>
    </row>
    <row r="220" spans="1:24" x14ac:dyDescent="0.3">
      <c r="A220">
        <v>21</v>
      </c>
      <c r="B220">
        <v>0</v>
      </c>
      <c r="C220">
        <v>1</v>
      </c>
      <c r="D220">
        <v>5</v>
      </c>
      <c r="E220">
        <v>3</v>
      </c>
      <c r="F220">
        <v>33.679338502220901</v>
      </c>
      <c r="G220">
        <v>37</v>
      </c>
      <c r="H220">
        <v>44</v>
      </c>
      <c r="I220">
        <v>58</v>
      </c>
      <c r="J220">
        <v>2</v>
      </c>
      <c r="K220">
        <v>0</v>
      </c>
      <c r="L220" t="str">
        <f t="shared" si="39"/>
        <v>C219</v>
      </c>
      <c r="M220" t="str">
        <f t="shared" si="40"/>
        <v>Male</v>
      </c>
      <c r="N220" t="str">
        <f t="shared" si="41"/>
        <v>Bachelor's Type 1</v>
      </c>
      <c r="O220" t="str">
        <f t="shared" si="42"/>
        <v>Mid Level</v>
      </c>
      <c r="P220" t="str">
        <f t="shared" si="43"/>
        <v>Low</v>
      </c>
      <c r="Q220" t="str">
        <f t="shared" si="44"/>
        <v>Beginner</v>
      </c>
      <c r="R220" t="str">
        <f t="shared" si="45"/>
        <v>Good</v>
      </c>
      <c r="S220" t="str">
        <f t="shared" si="46"/>
        <v>Not Hired</v>
      </c>
      <c r="T220">
        <f t="shared" si="47"/>
        <v>43</v>
      </c>
      <c r="U220" t="str">
        <f t="shared" si="48"/>
        <v>Needs Improvement</v>
      </c>
      <c r="V220" t="str">
        <f t="shared" si="49"/>
        <v>Personality</v>
      </c>
      <c r="W220" t="str">
        <f t="shared" si="50"/>
        <v>Interview Preparation</v>
      </c>
      <c r="X220" t="str">
        <f t="shared" si="51"/>
        <v>Improve interview preparation and communication</v>
      </c>
    </row>
    <row r="221" spans="1:24" x14ac:dyDescent="0.3">
      <c r="A221">
        <v>29</v>
      </c>
      <c r="B221">
        <v>0</v>
      </c>
      <c r="C221">
        <v>2</v>
      </c>
      <c r="D221">
        <v>0</v>
      </c>
      <c r="E221">
        <v>5</v>
      </c>
      <c r="F221">
        <v>14.699439077150901</v>
      </c>
      <c r="G221">
        <v>10</v>
      </c>
      <c r="H221">
        <v>3</v>
      </c>
      <c r="I221">
        <v>5</v>
      </c>
      <c r="J221">
        <v>1</v>
      </c>
      <c r="K221">
        <v>0</v>
      </c>
      <c r="L221" t="str">
        <f t="shared" si="39"/>
        <v>C220</v>
      </c>
      <c r="M221" t="str">
        <f t="shared" si="40"/>
        <v>Male</v>
      </c>
      <c r="N221" t="str">
        <f t="shared" si="41"/>
        <v>Bachelor's Type 2</v>
      </c>
      <c r="O221" t="str">
        <f t="shared" si="42"/>
        <v>Entry Level</v>
      </c>
      <c r="P221" t="str">
        <f t="shared" si="43"/>
        <v>Low</v>
      </c>
      <c r="Q221" t="str">
        <f t="shared" si="44"/>
        <v>Beginner</v>
      </c>
      <c r="R221" t="str">
        <f t="shared" si="45"/>
        <v>Needs Improvement</v>
      </c>
      <c r="S221" t="str">
        <f t="shared" si="46"/>
        <v>Not Hired</v>
      </c>
      <c r="T221">
        <f t="shared" si="47"/>
        <v>7</v>
      </c>
      <c r="U221" t="str">
        <f t="shared" si="48"/>
        <v>Needs Improvement</v>
      </c>
      <c r="V221" t="str">
        <f t="shared" si="49"/>
        <v>Interview</v>
      </c>
      <c r="W221" t="str">
        <f t="shared" si="50"/>
        <v>Technical Skills</v>
      </c>
      <c r="X221" t="str">
        <f t="shared" si="51"/>
        <v>Strengthen technical skills and practical knowledge</v>
      </c>
    </row>
    <row r="222" spans="1:24" x14ac:dyDescent="0.3">
      <c r="A222">
        <v>32</v>
      </c>
      <c r="B222">
        <v>1</v>
      </c>
      <c r="C222">
        <v>3</v>
      </c>
      <c r="D222">
        <v>6</v>
      </c>
      <c r="E222">
        <v>3</v>
      </c>
      <c r="F222">
        <v>30.652809498367802</v>
      </c>
      <c r="G222">
        <v>11</v>
      </c>
      <c r="H222">
        <v>85</v>
      </c>
      <c r="I222">
        <v>28</v>
      </c>
      <c r="J222">
        <v>1</v>
      </c>
      <c r="K222">
        <v>1</v>
      </c>
      <c r="L222" t="str">
        <f t="shared" si="39"/>
        <v>C221</v>
      </c>
      <c r="M222" t="str">
        <f t="shared" si="40"/>
        <v>Female</v>
      </c>
      <c r="N222" t="str">
        <f t="shared" si="41"/>
        <v>Master's</v>
      </c>
      <c r="O222" t="str">
        <f t="shared" si="42"/>
        <v>Mid Level</v>
      </c>
      <c r="P222" t="str">
        <f t="shared" si="43"/>
        <v>Low</v>
      </c>
      <c r="Q222" t="str">
        <f t="shared" si="44"/>
        <v>Advanced</v>
      </c>
      <c r="R222" t="str">
        <f t="shared" si="45"/>
        <v>Needs Improvement</v>
      </c>
      <c r="S222" t="str">
        <f t="shared" si="46"/>
        <v>Hired</v>
      </c>
      <c r="T222">
        <f t="shared" si="47"/>
        <v>44</v>
      </c>
      <c r="U222" t="str">
        <f t="shared" si="48"/>
        <v>Needs Improvement</v>
      </c>
      <c r="V222" t="str">
        <f t="shared" si="49"/>
        <v>Technical Skills</v>
      </c>
      <c r="W222" t="str">
        <f t="shared" si="50"/>
        <v>Interview Preparation</v>
      </c>
      <c r="X222" t="str">
        <f t="shared" si="51"/>
        <v>Improve interview preparation and communication</v>
      </c>
    </row>
    <row r="223" spans="1:24" x14ac:dyDescent="0.3">
      <c r="A223">
        <v>49</v>
      </c>
      <c r="B223">
        <v>0</v>
      </c>
      <c r="C223">
        <v>2</v>
      </c>
      <c r="D223">
        <v>7</v>
      </c>
      <c r="E223">
        <v>2</v>
      </c>
      <c r="F223">
        <v>25.4613627374959</v>
      </c>
      <c r="G223">
        <v>41</v>
      </c>
      <c r="H223">
        <v>89</v>
      </c>
      <c r="I223">
        <v>16</v>
      </c>
      <c r="J223">
        <v>1</v>
      </c>
      <c r="K223">
        <v>1</v>
      </c>
      <c r="L223" t="str">
        <f t="shared" si="39"/>
        <v>C222</v>
      </c>
      <c r="M223" t="str">
        <f t="shared" si="40"/>
        <v>Male</v>
      </c>
      <c r="N223" t="str">
        <f t="shared" si="41"/>
        <v>Bachelor's Type 2</v>
      </c>
      <c r="O223" t="str">
        <f t="shared" si="42"/>
        <v>Senior Level</v>
      </c>
      <c r="P223" t="str">
        <f t="shared" si="43"/>
        <v>Low</v>
      </c>
      <c r="Q223" t="str">
        <f t="shared" si="44"/>
        <v>Advanced</v>
      </c>
      <c r="R223" t="str">
        <f t="shared" si="45"/>
        <v>Needs Improvement</v>
      </c>
      <c r="S223" t="str">
        <f t="shared" si="46"/>
        <v>Hired</v>
      </c>
      <c r="T223">
        <f t="shared" si="47"/>
        <v>52</v>
      </c>
      <c r="U223" t="str">
        <f t="shared" si="48"/>
        <v>Developing</v>
      </c>
      <c r="V223" t="str">
        <f t="shared" si="49"/>
        <v>Technical Skills</v>
      </c>
      <c r="W223" t="str">
        <f t="shared" si="50"/>
        <v>Personality &amp; Communication</v>
      </c>
      <c r="X223" t="str">
        <f t="shared" si="51"/>
        <v>Work on communication and personality development</v>
      </c>
    </row>
    <row r="224" spans="1:24" x14ac:dyDescent="0.3">
      <c r="A224">
        <v>44</v>
      </c>
      <c r="B224">
        <v>1</v>
      </c>
      <c r="C224">
        <v>2</v>
      </c>
      <c r="D224">
        <v>10</v>
      </c>
      <c r="E224">
        <v>1</v>
      </c>
      <c r="F224">
        <v>7.6672233658185203</v>
      </c>
      <c r="G224">
        <v>38</v>
      </c>
      <c r="H224">
        <v>95</v>
      </c>
      <c r="I224">
        <v>59</v>
      </c>
      <c r="J224">
        <v>1</v>
      </c>
      <c r="K224">
        <v>1</v>
      </c>
      <c r="L224" t="str">
        <f t="shared" si="39"/>
        <v>C223</v>
      </c>
      <c r="M224" t="str">
        <f t="shared" si="40"/>
        <v>Female</v>
      </c>
      <c r="N224" t="str">
        <f t="shared" si="41"/>
        <v>Bachelor's Type 2</v>
      </c>
      <c r="O224" t="str">
        <f t="shared" si="42"/>
        <v>Senior Level</v>
      </c>
      <c r="P224" t="str">
        <f t="shared" si="43"/>
        <v>Low</v>
      </c>
      <c r="Q224" t="str">
        <f t="shared" si="44"/>
        <v>Advanced</v>
      </c>
      <c r="R224" t="str">
        <f t="shared" si="45"/>
        <v>Good</v>
      </c>
      <c r="S224" t="str">
        <f t="shared" si="46"/>
        <v>Hired</v>
      </c>
      <c r="T224">
        <f t="shared" si="47"/>
        <v>64</v>
      </c>
      <c r="U224" t="str">
        <f t="shared" si="48"/>
        <v>Developing</v>
      </c>
      <c r="V224" t="str">
        <f t="shared" si="49"/>
        <v>Technical Skills</v>
      </c>
      <c r="W224" t="str">
        <f t="shared" si="50"/>
        <v>Interview Preparation</v>
      </c>
      <c r="X224" t="str">
        <f t="shared" si="51"/>
        <v>Improve interview preparation and communication</v>
      </c>
    </row>
    <row r="225" spans="1:24" x14ac:dyDescent="0.3">
      <c r="A225">
        <v>40</v>
      </c>
      <c r="B225">
        <v>1</v>
      </c>
      <c r="C225">
        <v>1</v>
      </c>
      <c r="D225">
        <v>13</v>
      </c>
      <c r="E225">
        <v>4</v>
      </c>
      <c r="F225">
        <v>13.1272138291485</v>
      </c>
      <c r="G225">
        <v>70</v>
      </c>
      <c r="H225">
        <v>87</v>
      </c>
      <c r="I225">
        <v>21</v>
      </c>
      <c r="J225">
        <v>2</v>
      </c>
      <c r="K225">
        <v>0</v>
      </c>
      <c r="L225" t="str">
        <f t="shared" si="39"/>
        <v>C224</v>
      </c>
      <c r="M225" t="str">
        <f t="shared" si="40"/>
        <v>Female</v>
      </c>
      <c r="N225" t="str">
        <f t="shared" si="41"/>
        <v>Bachelor's Type 1</v>
      </c>
      <c r="O225" t="str">
        <f t="shared" si="42"/>
        <v>Senior Level</v>
      </c>
      <c r="P225" t="str">
        <f t="shared" si="43"/>
        <v>Average</v>
      </c>
      <c r="Q225" t="str">
        <f t="shared" si="44"/>
        <v>Advanced</v>
      </c>
      <c r="R225" t="str">
        <f t="shared" si="45"/>
        <v>Needs Improvement</v>
      </c>
      <c r="S225" t="str">
        <f t="shared" si="46"/>
        <v>Not Hired</v>
      </c>
      <c r="T225">
        <f t="shared" si="47"/>
        <v>67</v>
      </c>
      <c r="U225" t="str">
        <f t="shared" si="48"/>
        <v>Developing</v>
      </c>
      <c r="V225" t="str">
        <f t="shared" si="49"/>
        <v>Technical Skills</v>
      </c>
      <c r="W225" t="str">
        <f t="shared" si="50"/>
        <v>Personality &amp; Communication</v>
      </c>
      <c r="X225" t="str">
        <f t="shared" si="51"/>
        <v>Work on communication and personality development</v>
      </c>
    </row>
    <row r="226" spans="1:24" x14ac:dyDescent="0.3">
      <c r="A226">
        <v>25</v>
      </c>
      <c r="B226">
        <v>0</v>
      </c>
      <c r="C226">
        <v>2</v>
      </c>
      <c r="D226">
        <v>7</v>
      </c>
      <c r="E226">
        <v>3</v>
      </c>
      <c r="F226">
        <v>15.584672536079299</v>
      </c>
      <c r="G226">
        <v>10</v>
      </c>
      <c r="H226">
        <v>98</v>
      </c>
      <c r="I226">
        <v>23</v>
      </c>
      <c r="J226">
        <v>1</v>
      </c>
      <c r="K226">
        <v>1</v>
      </c>
      <c r="L226" t="str">
        <f t="shared" si="39"/>
        <v>C225</v>
      </c>
      <c r="M226" t="str">
        <f t="shared" si="40"/>
        <v>Male</v>
      </c>
      <c r="N226" t="str">
        <f t="shared" si="41"/>
        <v>Bachelor's Type 2</v>
      </c>
      <c r="O226" t="str">
        <f t="shared" si="42"/>
        <v>Senior Level</v>
      </c>
      <c r="P226" t="str">
        <f t="shared" si="43"/>
        <v>Low</v>
      </c>
      <c r="Q226" t="str">
        <f t="shared" si="44"/>
        <v>Advanced</v>
      </c>
      <c r="R226" t="str">
        <f t="shared" si="45"/>
        <v>Needs Improvement</v>
      </c>
      <c r="S226" t="str">
        <f t="shared" si="46"/>
        <v>Hired</v>
      </c>
      <c r="T226">
        <f t="shared" si="47"/>
        <v>47</v>
      </c>
      <c r="U226" t="str">
        <f t="shared" si="48"/>
        <v>Needs Improvement</v>
      </c>
      <c r="V226" t="str">
        <f t="shared" si="49"/>
        <v>Technical Skills</v>
      </c>
      <c r="W226" t="str">
        <f t="shared" si="50"/>
        <v>Interview Preparation</v>
      </c>
      <c r="X226" t="str">
        <f t="shared" si="51"/>
        <v>Improve interview preparation and communication</v>
      </c>
    </row>
    <row r="227" spans="1:24" x14ac:dyDescent="0.3">
      <c r="A227">
        <v>47</v>
      </c>
      <c r="B227">
        <v>1</v>
      </c>
      <c r="C227">
        <v>2</v>
      </c>
      <c r="D227">
        <v>2</v>
      </c>
      <c r="E227">
        <v>2</v>
      </c>
      <c r="F227">
        <v>47.215478352627898</v>
      </c>
      <c r="G227">
        <v>35</v>
      </c>
      <c r="H227">
        <v>36</v>
      </c>
      <c r="I227">
        <v>80</v>
      </c>
      <c r="J227">
        <v>1</v>
      </c>
      <c r="K227">
        <v>0</v>
      </c>
      <c r="L227" t="str">
        <f t="shared" si="39"/>
        <v>C226</v>
      </c>
      <c r="M227" t="str">
        <f t="shared" si="40"/>
        <v>Female</v>
      </c>
      <c r="N227" t="str">
        <f t="shared" si="41"/>
        <v>Bachelor's Type 2</v>
      </c>
      <c r="O227" t="str">
        <f t="shared" si="42"/>
        <v>Entry Level</v>
      </c>
      <c r="P227" t="str">
        <f t="shared" si="43"/>
        <v>Low</v>
      </c>
      <c r="Q227" t="str">
        <f t="shared" si="44"/>
        <v>Beginner</v>
      </c>
      <c r="R227" t="str">
        <f t="shared" si="45"/>
        <v>Strong</v>
      </c>
      <c r="S227" t="str">
        <f t="shared" si="46"/>
        <v>Not Hired</v>
      </c>
      <c r="T227">
        <f t="shared" si="47"/>
        <v>42</v>
      </c>
      <c r="U227" t="str">
        <f t="shared" si="48"/>
        <v>Needs Improvement</v>
      </c>
      <c r="V227" t="str">
        <f t="shared" si="49"/>
        <v>Personality</v>
      </c>
      <c r="W227" t="str">
        <f t="shared" si="50"/>
        <v>Interview Preparation</v>
      </c>
      <c r="X227" t="str">
        <f t="shared" si="51"/>
        <v>Improve interview preparation and communication</v>
      </c>
    </row>
    <row r="228" spans="1:24" x14ac:dyDescent="0.3">
      <c r="A228">
        <v>47</v>
      </c>
      <c r="B228">
        <v>1</v>
      </c>
      <c r="C228">
        <v>3</v>
      </c>
      <c r="D228">
        <v>13</v>
      </c>
      <c r="E228">
        <v>4</v>
      </c>
      <c r="F228">
        <v>12.519331969294401</v>
      </c>
      <c r="G228">
        <v>51</v>
      </c>
      <c r="H228">
        <v>95</v>
      </c>
      <c r="I228">
        <v>84</v>
      </c>
      <c r="J228">
        <v>2</v>
      </c>
      <c r="K228">
        <v>1</v>
      </c>
      <c r="L228" t="str">
        <f t="shared" si="39"/>
        <v>C227</v>
      </c>
      <c r="M228" t="str">
        <f t="shared" si="40"/>
        <v>Female</v>
      </c>
      <c r="N228" t="str">
        <f t="shared" si="41"/>
        <v>Master's</v>
      </c>
      <c r="O228" t="str">
        <f t="shared" si="42"/>
        <v>Senior Level</v>
      </c>
      <c r="P228" t="str">
        <f t="shared" si="43"/>
        <v>Average</v>
      </c>
      <c r="Q228" t="str">
        <f t="shared" si="44"/>
        <v>Advanced</v>
      </c>
      <c r="R228" t="str">
        <f t="shared" si="45"/>
        <v>Strong</v>
      </c>
      <c r="S228" t="str">
        <f t="shared" si="46"/>
        <v>Hired</v>
      </c>
      <c r="T228">
        <f t="shared" si="47"/>
        <v>77</v>
      </c>
      <c r="U228" t="str">
        <f t="shared" si="48"/>
        <v>Job Ready</v>
      </c>
      <c r="V228" t="str">
        <f t="shared" si="49"/>
        <v>Technical Skills</v>
      </c>
      <c r="W228" t="str">
        <f t="shared" si="50"/>
        <v>Interview Preparation</v>
      </c>
      <c r="X228" t="str">
        <f t="shared" si="51"/>
        <v>Improve interview preparation and communication</v>
      </c>
    </row>
    <row r="229" spans="1:24" x14ac:dyDescent="0.3">
      <c r="A229">
        <v>31</v>
      </c>
      <c r="B229">
        <v>1</v>
      </c>
      <c r="C229">
        <v>2</v>
      </c>
      <c r="D229">
        <v>9</v>
      </c>
      <c r="E229">
        <v>4</v>
      </c>
      <c r="F229">
        <v>15.4621951409834</v>
      </c>
      <c r="G229">
        <v>30</v>
      </c>
      <c r="H229">
        <v>70</v>
      </c>
      <c r="I229">
        <v>50</v>
      </c>
      <c r="J229">
        <v>2</v>
      </c>
      <c r="K229">
        <v>0</v>
      </c>
      <c r="L229" t="str">
        <f t="shared" si="39"/>
        <v>C228</v>
      </c>
      <c r="M229" t="str">
        <f t="shared" si="40"/>
        <v>Female</v>
      </c>
      <c r="N229" t="str">
        <f t="shared" si="41"/>
        <v>Bachelor's Type 2</v>
      </c>
      <c r="O229" t="str">
        <f t="shared" si="42"/>
        <v>Senior Level</v>
      </c>
      <c r="P229" t="str">
        <f t="shared" si="43"/>
        <v>Low</v>
      </c>
      <c r="Q229" t="str">
        <f t="shared" si="44"/>
        <v>Intermediate</v>
      </c>
      <c r="R229" t="str">
        <f t="shared" si="45"/>
        <v>Good</v>
      </c>
      <c r="S229" t="str">
        <f t="shared" si="46"/>
        <v>Not Hired</v>
      </c>
      <c r="T229">
        <f t="shared" si="47"/>
        <v>52</v>
      </c>
      <c r="U229" t="str">
        <f t="shared" si="48"/>
        <v>Developing</v>
      </c>
      <c r="V229" t="str">
        <f t="shared" si="49"/>
        <v>Technical Skills</v>
      </c>
      <c r="W229" t="str">
        <f t="shared" si="50"/>
        <v>Interview Preparation</v>
      </c>
      <c r="X229" t="str">
        <f t="shared" si="51"/>
        <v>Improve interview preparation and communication</v>
      </c>
    </row>
    <row r="230" spans="1:24" x14ac:dyDescent="0.3">
      <c r="A230">
        <v>31</v>
      </c>
      <c r="B230">
        <v>1</v>
      </c>
      <c r="C230">
        <v>1</v>
      </c>
      <c r="D230">
        <v>0</v>
      </c>
      <c r="E230">
        <v>5</v>
      </c>
      <c r="F230">
        <v>19.4677065044716</v>
      </c>
      <c r="G230">
        <v>32</v>
      </c>
      <c r="H230">
        <v>32</v>
      </c>
      <c r="I230">
        <v>49</v>
      </c>
      <c r="J230">
        <v>2</v>
      </c>
      <c r="K230">
        <v>0</v>
      </c>
      <c r="L230" t="str">
        <f t="shared" si="39"/>
        <v>C229</v>
      </c>
      <c r="M230" t="str">
        <f t="shared" si="40"/>
        <v>Female</v>
      </c>
      <c r="N230" t="str">
        <f t="shared" si="41"/>
        <v>Bachelor's Type 1</v>
      </c>
      <c r="O230" t="str">
        <f t="shared" si="42"/>
        <v>Entry Level</v>
      </c>
      <c r="P230" t="str">
        <f t="shared" si="43"/>
        <v>Low</v>
      </c>
      <c r="Q230" t="str">
        <f t="shared" si="44"/>
        <v>Beginner</v>
      </c>
      <c r="R230" t="str">
        <f t="shared" si="45"/>
        <v>Needs Improvement</v>
      </c>
      <c r="S230" t="str">
        <f t="shared" si="46"/>
        <v>Not Hired</v>
      </c>
      <c r="T230">
        <f t="shared" si="47"/>
        <v>32</v>
      </c>
      <c r="U230" t="str">
        <f t="shared" si="48"/>
        <v>Needs Improvement</v>
      </c>
      <c r="V230" t="str">
        <f t="shared" si="49"/>
        <v>Personality</v>
      </c>
      <c r="W230" t="str">
        <f t="shared" si="50"/>
        <v>Interview Preparation</v>
      </c>
      <c r="X230" t="str">
        <f t="shared" si="51"/>
        <v>Improve interview preparation and communication</v>
      </c>
    </row>
    <row r="231" spans="1:24" x14ac:dyDescent="0.3">
      <c r="A231">
        <v>39</v>
      </c>
      <c r="B231">
        <v>1</v>
      </c>
      <c r="C231">
        <v>1</v>
      </c>
      <c r="D231">
        <v>8</v>
      </c>
      <c r="E231">
        <v>4</v>
      </c>
      <c r="F231">
        <v>34.187136931269301</v>
      </c>
      <c r="G231">
        <v>12</v>
      </c>
      <c r="H231">
        <v>30</v>
      </c>
      <c r="I231">
        <v>10</v>
      </c>
      <c r="J231">
        <v>3</v>
      </c>
      <c r="K231">
        <v>0</v>
      </c>
      <c r="L231" t="str">
        <f t="shared" si="39"/>
        <v>C230</v>
      </c>
      <c r="M231" t="str">
        <f t="shared" si="40"/>
        <v>Female</v>
      </c>
      <c r="N231" t="str">
        <f t="shared" si="41"/>
        <v>Bachelor's Type 1</v>
      </c>
      <c r="O231" t="str">
        <f t="shared" si="42"/>
        <v>Senior Level</v>
      </c>
      <c r="P231" t="str">
        <f t="shared" si="43"/>
        <v>Low</v>
      </c>
      <c r="Q231" t="str">
        <f t="shared" si="44"/>
        <v>Beginner</v>
      </c>
      <c r="R231" t="str">
        <f t="shared" si="45"/>
        <v>Needs Improvement</v>
      </c>
      <c r="S231" t="str">
        <f t="shared" si="46"/>
        <v>Not Hired</v>
      </c>
      <c r="T231">
        <f t="shared" si="47"/>
        <v>25</v>
      </c>
      <c r="U231" t="str">
        <f t="shared" si="48"/>
        <v>Needs Improvement</v>
      </c>
      <c r="V231" t="str">
        <f t="shared" si="49"/>
        <v>Technical Skills</v>
      </c>
      <c r="W231" t="str">
        <f t="shared" si="50"/>
        <v>Personality &amp; Communication</v>
      </c>
      <c r="X231" t="str">
        <f t="shared" si="51"/>
        <v>Work on communication and personality development</v>
      </c>
    </row>
    <row r="232" spans="1:24" x14ac:dyDescent="0.3">
      <c r="A232">
        <v>49</v>
      </c>
      <c r="B232">
        <v>1</v>
      </c>
      <c r="C232">
        <v>1</v>
      </c>
      <c r="D232">
        <v>12</v>
      </c>
      <c r="E232">
        <v>2</v>
      </c>
      <c r="F232">
        <v>6.9119196236070204</v>
      </c>
      <c r="G232">
        <v>17</v>
      </c>
      <c r="H232">
        <v>54</v>
      </c>
      <c r="I232">
        <v>55</v>
      </c>
      <c r="J232">
        <v>1</v>
      </c>
      <c r="K232">
        <v>1</v>
      </c>
      <c r="L232" t="str">
        <f t="shared" si="39"/>
        <v>C231</v>
      </c>
      <c r="M232" t="str">
        <f t="shared" si="40"/>
        <v>Female</v>
      </c>
      <c r="N232" t="str">
        <f t="shared" si="41"/>
        <v>Bachelor's Type 1</v>
      </c>
      <c r="O232" t="str">
        <f t="shared" si="42"/>
        <v>Senior Level</v>
      </c>
      <c r="P232" t="str">
        <f t="shared" si="43"/>
        <v>Low</v>
      </c>
      <c r="Q232" t="str">
        <f t="shared" si="44"/>
        <v>Intermediate</v>
      </c>
      <c r="R232" t="str">
        <f t="shared" si="45"/>
        <v>Good</v>
      </c>
      <c r="S232" t="str">
        <f t="shared" si="46"/>
        <v>Hired</v>
      </c>
      <c r="T232">
        <f t="shared" si="47"/>
        <v>47</v>
      </c>
      <c r="U232" t="str">
        <f t="shared" si="48"/>
        <v>Needs Improvement</v>
      </c>
      <c r="V232" t="str">
        <f t="shared" si="49"/>
        <v>Personality</v>
      </c>
      <c r="W232" t="str">
        <f t="shared" si="50"/>
        <v>Interview Preparation</v>
      </c>
      <c r="X232" t="str">
        <f t="shared" si="51"/>
        <v>Improve interview preparation and communication</v>
      </c>
    </row>
    <row r="233" spans="1:24" x14ac:dyDescent="0.3">
      <c r="A233">
        <v>49</v>
      </c>
      <c r="B233">
        <v>0</v>
      </c>
      <c r="C233">
        <v>2</v>
      </c>
      <c r="D233">
        <v>5</v>
      </c>
      <c r="E233">
        <v>2</v>
      </c>
      <c r="F233">
        <v>48.697260624688802</v>
      </c>
      <c r="G233">
        <v>40</v>
      </c>
      <c r="H233">
        <v>11</v>
      </c>
      <c r="I233">
        <v>70</v>
      </c>
      <c r="J233">
        <v>2</v>
      </c>
      <c r="K233">
        <v>0</v>
      </c>
      <c r="L233" t="str">
        <f t="shared" si="39"/>
        <v>C232</v>
      </c>
      <c r="M233" t="str">
        <f t="shared" si="40"/>
        <v>Male</v>
      </c>
      <c r="N233" t="str">
        <f t="shared" si="41"/>
        <v>Bachelor's Type 2</v>
      </c>
      <c r="O233" t="str">
        <f t="shared" si="42"/>
        <v>Mid Level</v>
      </c>
      <c r="P233" t="str">
        <f t="shared" si="43"/>
        <v>Low</v>
      </c>
      <c r="Q233" t="str">
        <f t="shared" si="44"/>
        <v>Beginner</v>
      </c>
      <c r="R233" t="str">
        <f t="shared" si="45"/>
        <v>Good</v>
      </c>
      <c r="S233" t="str">
        <f t="shared" si="46"/>
        <v>Not Hired</v>
      </c>
      <c r="T233">
        <f t="shared" si="47"/>
        <v>37</v>
      </c>
      <c r="U233" t="str">
        <f t="shared" si="48"/>
        <v>Needs Improvement</v>
      </c>
      <c r="V233" t="str">
        <f t="shared" si="49"/>
        <v>Personality</v>
      </c>
      <c r="W233" t="str">
        <f t="shared" si="50"/>
        <v>Technical Skills</v>
      </c>
      <c r="X233" t="str">
        <f t="shared" si="51"/>
        <v>Strengthen technical skills and practical knowledge</v>
      </c>
    </row>
    <row r="234" spans="1:24" x14ac:dyDescent="0.3">
      <c r="A234">
        <v>30</v>
      </c>
      <c r="B234">
        <v>1</v>
      </c>
      <c r="C234">
        <v>2</v>
      </c>
      <c r="D234">
        <v>10</v>
      </c>
      <c r="E234">
        <v>3</v>
      </c>
      <c r="F234">
        <v>44.278561004738201</v>
      </c>
      <c r="G234">
        <v>57</v>
      </c>
      <c r="H234">
        <v>10</v>
      </c>
      <c r="I234">
        <v>41</v>
      </c>
      <c r="J234">
        <v>2</v>
      </c>
      <c r="K234">
        <v>0</v>
      </c>
      <c r="L234" t="str">
        <f t="shared" si="39"/>
        <v>C233</v>
      </c>
      <c r="M234" t="str">
        <f t="shared" si="40"/>
        <v>Female</v>
      </c>
      <c r="N234" t="str">
        <f t="shared" si="41"/>
        <v>Bachelor's Type 2</v>
      </c>
      <c r="O234" t="str">
        <f t="shared" si="42"/>
        <v>Senior Level</v>
      </c>
      <c r="P234" t="str">
        <f t="shared" si="43"/>
        <v>Average</v>
      </c>
      <c r="Q234" t="str">
        <f t="shared" si="44"/>
        <v>Beginner</v>
      </c>
      <c r="R234" t="str">
        <f t="shared" si="45"/>
        <v>Needs Improvement</v>
      </c>
      <c r="S234" t="str">
        <f t="shared" si="46"/>
        <v>Not Hired</v>
      </c>
      <c r="T234">
        <f t="shared" si="47"/>
        <v>41</v>
      </c>
      <c r="U234" t="str">
        <f t="shared" si="48"/>
        <v>Needs Improvement</v>
      </c>
      <c r="V234" t="str">
        <f t="shared" si="49"/>
        <v>Interview</v>
      </c>
      <c r="W234" t="str">
        <f t="shared" si="50"/>
        <v>Technical Skills</v>
      </c>
      <c r="X234" t="str">
        <f t="shared" si="51"/>
        <v>Strengthen technical skills and practical knowledge</v>
      </c>
    </row>
    <row r="235" spans="1:24" x14ac:dyDescent="0.3">
      <c r="A235">
        <v>45</v>
      </c>
      <c r="B235">
        <v>1</v>
      </c>
      <c r="C235">
        <v>2</v>
      </c>
      <c r="D235">
        <v>8</v>
      </c>
      <c r="E235">
        <v>3</v>
      </c>
      <c r="F235">
        <v>29.860803650447501</v>
      </c>
      <c r="G235">
        <v>55</v>
      </c>
      <c r="H235">
        <v>87</v>
      </c>
      <c r="I235">
        <v>38</v>
      </c>
      <c r="J235">
        <v>2</v>
      </c>
      <c r="K235">
        <v>0</v>
      </c>
      <c r="L235" t="str">
        <f t="shared" si="39"/>
        <v>C234</v>
      </c>
      <c r="M235" t="str">
        <f t="shared" si="40"/>
        <v>Female</v>
      </c>
      <c r="N235" t="str">
        <f t="shared" si="41"/>
        <v>Bachelor's Type 2</v>
      </c>
      <c r="O235" t="str">
        <f t="shared" si="42"/>
        <v>Senior Level</v>
      </c>
      <c r="P235" t="str">
        <f t="shared" si="43"/>
        <v>Average</v>
      </c>
      <c r="Q235" t="str">
        <f t="shared" si="44"/>
        <v>Advanced</v>
      </c>
      <c r="R235" t="str">
        <f t="shared" si="45"/>
        <v>Needs Improvement</v>
      </c>
      <c r="S235" t="str">
        <f t="shared" si="46"/>
        <v>Not Hired</v>
      </c>
      <c r="T235">
        <f t="shared" si="47"/>
        <v>61</v>
      </c>
      <c r="U235" t="str">
        <f t="shared" si="48"/>
        <v>Developing</v>
      </c>
      <c r="V235" t="str">
        <f t="shared" si="49"/>
        <v>Technical Skills</v>
      </c>
      <c r="W235" t="str">
        <f t="shared" si="50"/>
        <v>Personality &amp; Communication</v>
      </c>
      <c r="X235" t="str">
        <f t="shared" si="51"/>
        <v>Work on communication and personality development</v>
      </c>
    </row>
    <row r="236" spans="1:24" x14ac:dyDescent="0.3">
      <c r="A236">
        <v>42</v>
      </c>
      <c r="B236">
        <v>1</v>
      </c>
      <c r="C236">
        <v>2</v>
      </c>
      <c r="D236">
        <v>6</v>
      </c>
      <c r="E236">
        <v>3</v>
      </c>
      <c r="F236">
        <v>34.701893371247799</v>
      </c>
      <c r="G236">
        <v>23</v>
      </c>
      <c r="H236">
        <v>71</v>
      </c>
      <c r="I236">
        <v>68</v>
      </c>
      <c r="J236">
        <v>3</v>
      </c>
      <c r="K236">
        <v>0</v>
      </c>
      <c r="L236" t="str">
        <f t="shared" si="39"/>
        <v>C235</v>
      </c>
      <c r="M236" t="str">
        <f t="shared" si="40"/>
        <v>Female</v>
      </c>
      <c r="N236" t="str">
        <f t="shared" si="41"/>
        <v>Bachelor's Type 2</v>
      </c>
      <c r="O236" t="str">
        <f t="shared" si="42"/>
        <v>Mid Level</v>
      </c>
      <c r="P236" t="str">
        <f t="shared" si="43"/>
        <v>Low</v>
      </c>
      <c r="Q236" t="str">
        <f t="shared" si="44"/>
        <v>Intermediate</v>
      </c>
      <c r="R236" t="str">
        <f t="shared" si="45"/>
        <v>Good</v>
      </c>
      <c r="S236" t="str">
        <f t="shared" si="46"/>
        <v>Not Hired</v>
      </c>
      <c r="T236">
        <f t="shared" si="47"/>
        <v>50</v>
      </c>
      <c r="U236" t="str">
        <f t="shared" si="48"/>
        <v>Developing</v>
      </c>
      <c r="V236" t="str">
        <f t="shared" si="49"/>
        <v>Technical Skills</v>
      </c>
      <c r="W236" t="str">
        <f t="shared" si="50"/>
        <v>Interview Preparation</v>
      </c>
      <c r="X236" t="str">
        <f t="shared" si="51"/>
        <v>Improve interview preparation and communication</v>
      </c>
    </row>
    <row r="237" spans="1:24" x14ac:dyDescent="0.3">
      <c r="A237">
        <v>47</v>
      </c>
      <c r="B237">
        <v>0</v>
      </c>
      <c r="C237">
        <v>2</v>
      </c>
      <c r="D237">
        <v>0</v>
      </c>
      <c r="E237">
        <v>4</v>
      </c>
      <c r="F237">
        <v>1.83302356221079</v>
      </c>
      <c r="G237">
        <v>72</v>
      </c>
      <c r="H237">
        <v>31</v>
      </c>
      <c r="I237">
        <v>47</v>
      </c>
      <c r="J237">
        <v>1</v>
      </c>
      <c r="K237">
        <v>0</v>
      </c>
      <c r="L237" t="str">
        <f t="shared" si="39"/>
        <v>C236</v>
      </c>
      <c r="M237" t="str">
        <f t="shared" si="40"/>
        <v>Male</v>
      </c>
      <c r="N237" t="str">
        <f t="shared" si="41"/>
        <v>Bachelor's Type 2</v>
      </c>
      <c r="O237" t="str">
        <f t="shared" si="42"/>
        <v>Entry Level</v>
      </c>
      <c r="P237" t="str">
        <f t="shared" si="43"/>
        <v>Average</v>
      </c>
      <c r="Q237" t="str">
        <f t="shared" si="44"/>
        <v>Beginner</v>
      </c>
      <c r="R237" t="str">
        <f t="shared" si="45"/>
        <v>Needs Improvement</v>
      </c>
      <c r="S237" t="str">
        <f t="shared" si="46"/>
        <v>Not Hired</v>
      </c>
      <c r="T237">
        <f t="shared" si="47"/>
        <v>43</v>
      </c>
      <c r="U237" t="str">
        <f t="shared" si="48"/>
        <v>Needs Improvement</v>
      </c>
      <c r="V237" t="str">
        <f t="shared" si="49"/>
        <v>Interview</v>
      </c>
      <c r="W237" t="str">
        <f t="shared" si="50"/>
        <v>Technical Skills</v>
      </c>
      <c r="X237" t="str">
        <f t="shared" si="51"/>
        <v>Strengthen technical skills and practical knowledge</v>
      </c>
    </row>
    <row r="238" spans="1:24" x14ac:dyDescent="0.3">
      <c r="A238">
        <v>44</v>
      </c>
      <c r="B238">
        <v>1</v>
      </c>
      <c r="C238">
        <v>1</v>
      </c>
      <c r="D238">
        <v>11</v>
      </c>
      <c r="E238">
        <v>4</v>
      </c>
      <c r="F238">
        <v>17.947238767422402</v>
      </c>
      <c r="G238">
        <v>30</v>
      </c>
      <c r="H238">
        <v>56</v>
      </c>
      <c r="I238">
        <v>56</v>
      </c>
      <c r="J238">
        <v>2</v>
      </c>
      <c r="K238">
        <v>0</v>
      </c>
      <c r="L238" t="str">
        <f t="shared" si="39"/>
        <v>C237</v>
      </c>
      <c r="M238" t="str">
        <f t="shared" si="40"/>
        <v>Female</v>
      </c>
      <c r="N238" t="str">
        <f t="shared" si="41"/>
        <v>Bachelor's Type 1</v>
      </c>
      <c r="O238" t="str">
        <f t="shared" si="42"/>
        <v>Senior Level</v>
      </c>
      <c r="P238" t="str">
        <f t="shared" si="43"/>
        <v>Low</v>
      </c>
      <c r="Q238" t="str">
        <f t="shared" si="44"/>
        <v>Intermediate</v>
      </c>
      <c r="R238" t="str">
        <f t="shared" si="45"/>
        <v>Good</v>
      </c>
      <c r="S238" t="str">
        <f t="shared" si="46"/>
        <v>Not Hired</v>
      </c>
      <c r="T238">
        <f t="shared" si="47"/>
        <v>51</v>
      </c>
      <c r="U238" t="str">
        <f t="shared" si="48"/>
        <v>Developing</v>
      </c>
      <c r="V238" t="str">
        <f t="shared" si="49"/>
        <v>Technical Skills</v>
      </c>
      <c r="W238" t="str">
        <f t="shared" si="50"/>
        <v>Interview Preparation</v>
      </c>
      <c r="X238" t="str">
        <f t="shared" si="51"/>
        <v>Improve interview preparation and communication</v>
      </c>
    </row>
    <row r="239" spans="1:24" x14ac:dyDescent="0.3">
      <c r="A239">
        <v>26</v>
      </c>
      <c r="B239">
        <v>0</v>
      </c>
      <c r="C239">
        <v>1</v>
      </c>
      <c r="D239">
        <v>11</v>
      </c>
      <c r="E239">
        <v>5</v>
      </c>
      <c r="F239">
        <v>40.783011533072099</v>
      </c>
      <c r="G239">
        <v>54</v>
      </c>
      <c r="H239">
        <v>37</v>
      </c>
      <c r="I239">
        <v>20</v>
      </c>
      <c r="J239">
        <v>1</v>
      </c>
      <c r="K239">
        <v>0</v>
      </c>
      <c r="L239" t="str">
        <f t="shared" si="39"/>
        <v>C238</v>
      </c>
      <c r="M239" t="str">
        <f t="shared" si="40"/>
        <v>Male</v>
      </c>
      <c r="N239" t="str">
        <f t="shared" si="41"/>
        <v>Bachelor's Type 1</v>
      </c>
      <c r="O239" t="str">
        <f t="shared" si="42"/>
        <v>Senior Level</v>
      </c>
      <c r="P239" t="str">
        <f t="shared" si="43"/>
        <v>Average</v>
      </c>
      <c r="Q239" t="str">
        <f t="shared" si="44"/>
        <v>Beginner</v>
      </c>
      <c r="R239" t="str">
        <f t="shared" si="45"/>
        <v>Needs Improvement</v>
      </c>
      <c r="S239" t="str">
        <f t="shared" si="46"/>
        <v>Not Hired</v>
      </c>
      <c r="T239">
        <f t="shared" si="47"/>
        <v>45</v>
      </c>
      <c r="U239" t="str">
        <f t="shared" si="48"/>
        <v>Needs Improvement</v>
      </c>
      <c r="V239" t="str">
        <f t="shared" si="49"/>
        <v>Interview</v>
      </c>
      <c r="W239" t="str">
        <f t="shared" si="50"/>
        <v>Personality &amp; Communication</v>
      </c>
      <c r="X239" t="str">
        <f t="shared" si="51"/>
        <v>Work on communication and personality development</v>
      </c>
    </row>
    <row r="240" spans="1:24" x14ac:dyDescent="0.3">
      <c r="A240">
        <v>49</v>
      </c>
      <c r="B240">
        <v>1</v>
      </c>
      <c r="C240">
        <v>3</v>
      </c>
      <c r="D240">
        <v>0</v>
      </c>
      <c r="E240">
        <v>3</v>
      </c>
      <c r="F240">
        <v>4.8741486896192896</v>
      </c>
      <c r="G240">
        <v>9</v>
      </c>
      <c r="H240">
        <v>59</v>
      </c>
      <c r="I240">
        <v>81</v>
      </c>
      <c r="J240">
        <v>2</v>
      </c>
      <c r="K240">
        <v>0</v>
      </c>
      <c r="L240" t="str">
        <f t="shared" si="39"/>
        <v>C239</v>
      </c>
      <c r="M240" t="str">
        <f t="shared" si="40"/>
        <v>Female</v>
      </c>
      <c r="N240" t="str">
        <f t="shared" si="41"/>
        <v>Master's</v>
      </c>
      <c r="O240" t="str">
        <f t="shared" si="42"/>
        <v>Entry Level</v>
      </c>
      <c r="P240" t="str">
        <f t="shared" si="43"/>
        <v>Low</v>
      </c>
      <c r="Q240" t="str">
        <f t="shared" si="44"/>
        <v>Intermediate</v>
      </c>
      <c r="R240" t="str">
        <f t="shared" si="45"/>
        <v>Strong</v>
      </c>
      <c r="S240" t="str">
        <f t="shared" si="46"/>
        <v>Not Hired</v>
      </c>
      <c r="T240">
        <f t="shared" si="47"/>
        <v>40</v>
      </c>
      <c r="U240" t="str">
        <f t="shared" si="48"/>
        <v>Needs Improvement</v>
      </c>
      <c r="V240" t="str">
        <f t="shared" si="49"/>
        <v>Personality</v>
      </c>
      <c r="W240" t="str">
        <f t="shared" si="50"/>
        <v>Interview Preparation</v>
      </c>
      <c r="X240" t="str">
        <f t="shared" si="51"/>
        <v>Improve interview preparation and communication</v>
      </c>
    </row>
    <row r="241" spans="1:24" x14ac:dyDescent="0.3">
      <c r="A241">
        <v>20</v>
      </c>
      <c r="B241">
        <v>0</v>
      </c>
      <c r="C241">
        <v>2</v>
      </c>
      <c r="D241">
        <v>5</v>
      </c>
      <c r="E241">
        <v>1</v>
      </c>
      <c r="F241">
        <v>15.115691710536</v>
      </c>
      <c r="G241">
        <v>59</v>
      </c>
      <c r="H241">
        <v>85</v>
      </c>
      <c r="I241">
        <v>98</v>
      </c>
      <c r="J241">
        <v>2</v>
      </c>
      <c r="K241">
        <v>0</v>
      </c>
      <c r="L241" t="str">
        <f t="shared" si="39"/>
        <v>C240</v>
      </c>
      <c r="M241" t="str">
        <f t="shared" si="40"/>
        <v>Male</v>
      </c>
      <c r="N241" t="str">
        <f t="shared" si="41"/>
        <v>Bachelor's Type 2</v>
      </c>
      <c r="O241" t="str">
        <f t="shared" si="42"/>
        <v>Mid Level</v>
      </c>
      <c r="P241" t="str">
        <f t="shared" si="43"/>
        <v>Average</v>
      </c>
      <c r="Q241" t="str">
        <f t="shared" si="44"/>
        <v>Advanced</v>
      </c>
      <c r="R241" t="str">
        <f t="shared" si="45"/>
        <v>Strong</v>
      </c>
      <c r="S241" t="str">
        <f t="shared" si="46"/>
        <v>Not Hired</v>
      </c>
      <c r="T241">
        <f t="shared" si="47"/>
        <v>70</v>
      </c>
      <c r="U241" t="str">
        <f t="shared" si="48"/>
        <v>Developing</v>
      </c>
      <c r="V241" t="str">
        <f t="shared" si="49"/>
        <v>Personality</v>
      </c>
      <c r="W241" t="str">
        <f t="shared" si="50"/>
        <v>Interview Preparation</v>
      </c>
      <c r="X241" t="str">
        <f t="shared" si="51"/>
        <v>Improve interview preparation and communication</v>
      </c>
    </row>
    <row r="242" spans="1:24" x14ac:dyDescent="0.3">
      <c r="A242">
        <v>20</v>
      </c>
      <c r="B242">
        <v>0</v>
      </c>
      <c r="C242">
        <v>2</v>
      </c>
      <c r="D242">
        <v>4</v>
      </c>
      <c r="E242">
        <v>5</v>
      </c>
      <c r="F242">
        <v>30.264841416715502</v>
      </c>
      <c r="G242">
        <v>1</v>
      </c>
      <c r="H242">
        <v>97</v>
      </c>
      <c r="I242">
        <v>19</v>
      </c>
      <c r="J242">
        <v>3</v>
      </c>
      <c r="K242">
        <v>0</v>
      </c>
      <c r="L242" t="str">
        <f t="shared" si="39"/>
        <v>C241</v>
      </c>
      <c r="M242" t="str">
        <f t="shared" si="40"/>
        <v>Male</v>
      </c>
      <c r="N242" t="str">
        <f t="shared" si="41"/>
        <v>Bachelor's Type 2</v>
      </c>
      <c r="O242" t="str">
        <f t="shared" si="42"/>
        <v>Mid Level</v>
      </c>
      <c r="P242" t="str">
        <f t="shared" si="43"/>
        <v>Low</v>
      </c>
      <c r="Q242" t="str">
        <f t="shared" si="44"/>
        <v>Advanced</v>
      </c>
      <c r="R242" t="str">
        <f t="shared" si="45"/>
        <v>Needs Improvement</v>
      </c>
      <c r="S242" t="str">
        <f t="shared" si="46"/>
        <v>Not Hired</v>
      </c>
      <c r="T242">
        <f t="shared" si="47"/>
        <v>40</v>
      </c>
      <c r="U242" t="str">
        <f t="shared" si="48"/>
        <v>Needs Improvement</v>
      </c>
      <c r="V242" t="str">
        <f t="shared" si="49"/>
        <v>Technical Skills</v>
      </c>
      <c r="W242" t="str">
        <f t="shared" si="50"/>
        <v>Interview Preparation</v>
      </c>
      <c r="X242" t="str">
        <f t="shared" si="51"/>
        <v>Improve interview preparation and communication</v>
      </c>
    </row>
    <row r="243" spans="1:24" x14ac:dyDescent="0.3">
      <c r="A243">
        <v>44</v>
      </c>
      <c r="B243">
        <v>1</v>
      </c>
      <c r="C243">
        <v>3</v>
      </c>
      <c r="D243">
        <v>8</v>
      </c>
      <c r="E243">
        <v>1</v>
      </c>
      <c r="F243">
        <v>13.820651384947</v>
      </c>
      <c r="G243">
        <v>14</v>
      </c>
      <c r="H243">
        <v>18</v>
      </c>
      <c r="I243">
        <v>14</v>
      </c>
      <c r="J243">
        <v>3</v>
      </c>
      <c r="K243">
        <v>0</v>
      </c>
      <c r="L243" t="str">
        <f t="shared" si="39"/>
        <v>C242</v>
      </c>
      <c r="M243" t="str">
        <f t="shared" si="40"/>
        <v>Female</v>
      </c>
      <c r="N243" t="str">
        <f t="shared" si="41"/>
        <v>Master's</v>
      </c>
      <c r="O243" t="str">
        <f t="shared" si="42"/>
        <v>Senior Level</v>
      </c>
      <c r="P243" t="str">
        <f t="shared" si="43"/>
        <v>Low</v>
      </c>
      <c r="Q243" t="str">
        <f t="shared" si="44"/>
        <v>Beginner</v>
      </c>
      <c r="R243" t="str">
        <f t="shared" si="45"/>
        <v>Needs Improvement</v>
      </c>
      <c r="S243" t="str">
        <f t="shared" si="46"/>
        <v>Not Hired</v>
      </c>
      <c r="T243">
        <f t="shared" si="47"/>
        <v>24</v>
      </c>
      <c r="U243" t="str">
        <f t="shared" si="48"/>
        <v>Needs Improvement</v>
      </c>
      <c r="V243" t="str">
        <f t="shared" si="49"/>
        <v>Technical Skills</v>
      </c>
      <c r="W243" t="str">
        <f t="shared" si="50"/>
        <v>Interview Preparation</v>
      </c>
      <c r="X243" t="str">
        <f t="shared" si="51"/>
        <v>Improve interview preparation and communication</v>
      </c>
    </row>
    <row r="244" spans="1:24" x14ac:dyDescent="0.3">
      <c r="A244">
        <v>46</v>
      </c>
      <c r="B244">
        <v>1</v>
      </c>
      <c r="C244">
        <v>2</v>
      </c>
      <c r="D244">
        <v>1</v>
      </c>
      <c r="E244">
        <v>4</v>
      </c>
      <c r="F244">
        <v>47.698898707225901</v>
      </c>
      <c r="G244">
        <v>2</v>
      </c>
      <c r="H244">
        <v>83</v>
      </c>
      <c r="I244">
        <v>68</v>
      </c>
      <c r="J244">
        <v>2</v>
      </c>
      <c r="K244">
        <v>0</v>
      </c>
      <c r="L244" t="str">
        <f t="shared" si="39"/>
        <v>C243</v>
      </c>
      <c r="M244" t="str">
        <f t="shared" si="40"/>
        <v>Female</v>
      </c>
      <c r="N244" t="str">
        <f t="shared" si="41"/>
        <v>Bachelor's Type 2</v>
      </c>
      <c r="O244" t="str">
        <f t="shared" si="42"/>
        <v>Entry Level</v>
      </c>
      <c r="P244" t="str">
        <f t="shared" si="43"/>
        <v>Low</v>
      </c>
      <c r="Q244" t="str">
        <f t="shared" si="44"/>
        <v>Advanced</v>
      </c>
      <c r="R244" t="str">
        <f t="shared" si="45"/>
        <v>Good</v>
      </c>
      <c r="S244" t="str">
        <f t="shared" si="46"/>
        <v>Not Hired</v>
      </c>
      <c r="T244">
        <f t="shared" si="47"/>
        <v>43</v>
      </c>
      <c r="U244" t="str">
        <f t="shared" si="48"/>
        <v>Needs Improvement</v>
      </c>
      <c r="V244" t="str">
        <f t="shared" si="49"/>
        <v>Technical Skills</v>
      </c>
      <c r="W244" t="str">
        <f t="shared" si="50"/>
        <v>Interview Preparation</v>
      </c>
      <c r="X244" t="str">
        <f t="shared" si="51"/>
        <v>Improve interview preparation and communication</v>
      </c>
    </row>
    <row r="245" spans="1:24" x14ac:dyDescent="0.3">
      <c r="A245">
        <v>49</v>
      </c>
      <c r="B245">
        <v>0</v>
      </c>
      <c r="C245">
        <v>3</v>
      </c>
      <c r="D245">
        <v>7</v>
      </c>
      <c r="E245">
        <v>5</v>
      </c>
      <c r="F245">
        <v>7.5529315402145096</v>
      </c>
      <c r="G245">
        <v>42</v>
      </c>
      <c r="H245">
        <v>55</v>
      </c>
      <c r="I245">
        <v>76</v>
      </c>
      <c r="J245">
        <v>1</v>
      </c>
      <c r="K245">
        <v>1</v>
      </c>
      <c r="L245" t="str">
        <f t="shared" si="39"/>
        <v>C244</v>
      </c>
      <c r="M245" t="str">
        <f t="shared" si="40"/>
        <v>Male</v>
      </c>
      <c r="N245" t="str">
        <f t="shared" si="41"/>
        <v>Master's</v>
      </c>
      <c r="O245" t="str">
        <f t="shared" si="42"/>
        <v>Senior Level</v>
      </c>
      <c r="P245" t="str">
        <f t="shared" si="43"/>
        <v>Low</v>
      </c>
      <c r="Q245" t="str">
        <f t="shared" si="44"/>
        <v>Intermediate</v>
      </c>
      <c r="R245" t="str">
        <f t="shared" si="45"/>
        <v>Strong</v>
      </c>
      <c r="S245" t="str">
        <f t="shared" si="46"/>
        <v>Hired</v>
      </c>
      <c r="T245">
        <f t="shared" si="47"/>
        <v>55</v>
      </c>
      <c r="U245" t="str">
        <f t="shared" si="48"/>
        <v>Developing</v>
      </c>
      <c r="V245" t="str">
        <f t="shared" si="49"/>
        <v>Personality</v>
      </c>
      <c r="W245" t="str">
        <f t="shared" si="50"/>
        <v>Interview Preparation</v>
      </c>
      <c r="X245" t="str">
        <f t="shared" si="51"/>
        <v>Improve interview preparation and communication</v>
      </c>
    </row>
    <row r="246" spans="1:24" x14ac:dyDescent="0.3">
      <c r="A246">
        <v>44</v>
      </c>
      <c r="B246">
        <v>1</v>
      </c>
      <c r="C246">
        <v>2</v>
      </c>
      <c r="D246">
        <v>10</v>
      </c>
      <c r="E246">
        <v>5</v>
      </c>
      <c r="F246">
        <v>40.869717895388902</v>
      </c>
      <c r="G246">
        <v>30</v>
      </c>
      <c r="H246">
        <v>13</v>
      </c>
      <c r="I246">
        <v>50</v>
      </c>
      <c r="J246">
        <v>2</v>
      </c>
      <c r="K246">
        <v>0</v>
      </c>
      <c r="L246" t="str">
        <f t="shared" si="39"/>
        <v>C245</v>
      </c>
      <c r="M246" t="str">
        <f t="shared" si="40"/>
        <v>Female</v>
      </c>
      <c r="N246" t="str">
        <f t="shared" si="41"/>
        <v>Bachelor's Type 2</v>
      </c>
      <c r="O246" t="str">
        <f t="shared" si="42"/>
        <v>Senior Level</v>
      </c>
      <c r="P246" t="str">
        <f t="shared" si="43"/>
        <v>Low</v>
      </c>
      <c r="Q246" t="str">
        <f t="shared" si="44"/>
        <v>Beginner</v>
      </c>
      <c r="R246" t="str">
        <f t="shared" si="45"/>
        <v>Good</v>
      </c>
      <c r="S246" t="str">
        <f t="shared" si="46"/>
        <v>Not Hired</v>
      </c>
      <c r="T246">
        <f t="shared" si="47"/>
        <v>35</v>
      </c>
      <c r="U246" t="str">
        <f t="shared" si="48"/>
        <v>Needs Improvement</v>
      </c>
      <c r="V246" t="str">
        <f t="shared" si="49"/>
        <v>Personality</v>
      </c>
      <c r="W246" t="str">
        <f t="shared" si="50"/>
        <v>Technical Skills</v>
      </c>
      <c r="X246" t="str">
        <f t="shared" si="51"/>
        <v>Strengthen technical skills and practical knowledge</v>
      </c>
    </row>
    <row r="247" spans="1:24" x14ac:dyDescent="0.3">
      <c r="A247">
        <v>39</v>
      </c>
      <c r="B247">
        <v>0</v>
      </c>
      <c r="C247">
        <v>4</v>
      </c>
      <c r="D247">
        <v>4</v>
      </c>
      <c r="E247">
        <v>2</v>
      </c>
      <c r="F247">
        <v>26.397434595320401</v>
      </c>
      <c r="G247">
        <v>69</v>
      </c>
      <c r="H247">
        <v>32</v>
      </c>
      <c r="I247">
        <v>75</v>
      </c>
      <c r="J247">
        <v>2</v>
      </c>
      <c r="K247">
        <v>0</v>
      </c>
      <c r="L247" t="str">
        <f t="shared" si="39"/>
        <v>C246</v>
      </c>
      <c r="M247" t="str">
        <f t="shared" si="40"/>
        <v>Male</v>
      </c>
      <c r="N247" t="str">
        <f t="shared" si="41"/>
        <v>PhD</v>
      </c>
      <c r="O247" t="str">
        <f t="shared" si="42"/>
        <v>Mid Level</v>
      </c>
      <c r="P247" t="str">
        <f t="shared" si="43"/>
        <v>Average</v>
      </c>
      <c r="Q247" t="str">
        <f t="shared" si="44"/>
        <v>Beginner</v>
      </c>
      <c r="R247" t="str">
        <f t="shared" si="45"/>
        <v>Strong</v>
      </c>
      <c r="S247" t="str">
        <f t="shared" si="46"/>
        <v>Not Hired</v>
      </c>
      <c r="T247">
        <f t="shared" si="47"/>
        <v>54</v>
      </c>
      <c r="U247" t="str">
        <f t="shared" si="48"/>
        <v>Developing</v>
      </c>
      <c r="V247" t="str">
        <f t="shared" si="49"/>
        <v>Personality</v>
      </c>
      <c r="W247" t="str">
        <f t="shared" si="50"/>
        <v>Technical Skills</v>
      </c>
      <c r="X247" t="str">
        <f t="shared" si="51"/>
        <v>Strengthen technical skills and practical knowledge</v>
      </c>
    </row>
    <row r="248" spans="1:24" x14ac:dyDescent="0.3">
      <c r="A248">
        <v>32</v>
      </c>
      <c r="B248">
        <v>0</v>
      </c>
      <c r="C248">
        <v>1</v>
      </c>
      <c r="D248">
        <v>1</v>
      </c>
      <c r="E248">
        <v>4</v>
      </c>
      <c r="F248">
        <v>38.516538790997799</v>
      </c>
      <c r="G248">
        <v>66</v>
      </c>
      <c r="H248">
        <v>9</v>
      </c>
      <c r="I248">
        <v>61</v>
      </c>
      <c r="J248">
        <v>1</v>
      </c>
      <c r="K248">
        <v>0</v>
      </c>
      <c r="L248" t="str">
        <f t="shared" si="39"/>
        <v>C247</v>
      </c>
      <c r="M248" t="str">
        <f t="shared" si="40"/>
        <v>Male</v>
      </c>
      <c r="N248" t="str">
        <f t="shared" si="41"/>
        <v>Bachelor's Type 1</v>
      </c>
      <c r="O248" t="str">
        <f t="shared" si="42"/>
        <v>Entry Level</v>
      </c>
      <c r="P248" t="str">
        <f t="shared" si="43"/>
        <v>Average</v>
      </c>
      <c r="Q248" t="str">
        <f t="shared" si="44"/>
        <v>Beginner</v>
      </c>
      <c r="R248" t="str">
        <f t="shared" si="45"/>
        <v>Good</v>
      </c>
      <c r="S248" t="str">
        <f t="shared" si="46"/>
        <v>Not Hired</v>
      </c>
      <c r="T248">
        <f t="shared" si="47"/>
        <v>38</v>
      </c>
      <c r="U248" t="str">
        <f t="shared" si="48"/>
        <v>Needs Improvement</v>
      </c>
      <c r="V248" t="str">
        <f t="shared" si="49"/>
        <v>Interview</v>
      </c>
      <c r="W248" t="str">
        <f t="shared" si="50"/>
        <v>Technical Skills</v>
      </c>
      <c r="X248" t="str">
        <f t="shared" si="51"/>
        <v>Strengthen technical skills and practical knowledge</v>
      </c>
    </row>
    <row r="249" spans="1:24" x14ac:dyDescent="0.3">
      <c r="A249">
        <v>28</v>
      </c>
      <c r="B249">
        <v>0</v>
      </c>
      <c r="C249">
        <v>1</v>
      </c>
      <c r="D249">
        <v>12</v>
      </c>
      <c r="E249">
        <v>4</v>
      </c>
      <c r="F249">
        <v>16.535766415572301</v>
      </c>
      <c r="G249">
        <v>55</v>
      </c>
      <c r="H249">
        <v>79</v>
      </c>
      <c r="I249">
        <v>84</v>
      </c>
      <c r="J249">
        <v>2</v>
      </c>
      <c r="K249">
        <v>0</v>
      </c>
      <c r="L249" t="str">
        <f t="shared" si="39"/>
        <v>C248</v>
      </c>
      <c r="M249" t="str">
        <f t="shared" si="40"/>
        <v>Male</v>
      </c>
      <c r="N249" t="str">
        <f t="shared" si="41"/>
        <v>Bachelor's Type 1</v>
      </c>
      <c r="O249" t="str">
        <f t="shared" si="42"/>
        <v>Senior Level</v>
      </c>
      <c r="P249" t="str">
        <f t="shared" si="43"/>
        <v>Average</v>
      </c>
      <c r="Q249" t="str">
        <f t="shared" si="44"/>
        <v>Advanced</v>
      </c>
      <c r="R249" t="str">
        <f t="shared" si="45"/>
        <v>Strong</v>
      </c>
      <c r="S249" t="str">
        <f t="shared" si="46"/>
        <v>Not Hired</v>
      </c>
      <c r="T249">
        <f t="shared" si="47"/>
        <v>72</v>
      </c>
      <c r="U249" t="str">
        <f t="shared" si="48"/>
        <v>Developing</v>
      </c>
      <c r="V249" t="str">
        <f t="shared" si="49"/>
        <v>Personality</v>
      </c>
      <c r="W249" t="str">
        <f t="shared" si="50"/>
        <v>Interview Preparation</v>
      </c>
      <c r="X249" t="str">
        <f t="shared" si="51"/>
        <v>Improve interview preparation and communication</v>
      </c>
    </row>
    <row r="250" spans="1:24" x14ac:dyDescent="0.3">
      <c r="A250">
        <v>22</v>
      </c>
      <c r="B250">
        <v>0</v>
      </c>
      <c r="C250">
        <v>2</v>
      </c>
      <c r="D250">
        <v>9</v>
      </c>
      <c r="E250">
        <v>5</v>
      </c>
      <c r="F250">
        <v>26.724480115601899</v>
      </c>
      <c r="G250">
        <v>62</v>
      </c>
      <c r="H250">
        <v>63</v>
      </c>
      <c r="I250">
        <v>36</v>
      </c>
      <c r="J250">
        <v>3</v>
      </c>
      <c r="K250">
        <v>0</v>
      </c>
      <c r="L250" t="str">
        <f t="shared" si="39"/>
        <v>C249</v>
      </c>
      <c r="M250" t="str">
        <f t="shared" si="40"/>
        <v>Male</v>
      </c>
      <c r="N250" t="str">
        <f t="shared" si="41"/>
        <v>Bachelor's Type 2</v>
      </c>
      <c r="O250" t="str">
        <f t="shared" si="42"/>
        <v>Senior Level</v>
      </c>
      <c r="P250" t="str">
        <f t="shared" si="43"/>
        <v>Average</v>
      </c>
      <c r="Q250" t="str">
        <f t="shared" si="44"/>
        <v>Intermediate</v>
      </c>
      <c r="R250" t="str">
        <f t="shared" si="45"/>
        <v>Needs Improvement</v>
      </c>
      <c r="S250" t="str">
        <f t="shared" si="46"/>
        <v>Not Hired</v>
      </c>
      <c r="T250">
        <f t="shared" si="47"/>
        <v>56</v>
      </c>
      <c r="U250" t="str">
        <f t="shared" si="48"/>
        <v>Developing</v>
      </c>
      <c r="V250" t="str">
        <f t="shared" si="49"/>
        <v>Technical Skills</v>
      </c>
      <c r="W250" t="str">
        <f t="shared" si="50"/>
        <v>Personality &amp; Communication</v>
      </c>
      <c r="X250" t="str">
        <f t="shared" si="51"/>
        <v>Work on communication and personality development</v>
      </c>
    </row>
    <row r="251" spans="1:24" x14ac:dyDescent="0.3">
      <c r="A251">
        <v>26</v>
      </c>
      <c r="B251">
        <v>0</v>
      </c>
      <c r="C251">
        <v>4</v>
      </c>
      <c r="D251">
        <v>10</v>
      </c>
      <c r="E251">
        <v>4</v>
      </c>
      <c r="F251">
        <v>43.841767486158801</v>
      </c>
      <c r="G251">
        <v>74</v>
      </c>
      <c r="H251">
        <v>63</v>
      </c>
      <c r="I251">
        <v>5</v>
      </c>
      <c r="J251">
        <v>2</v>
      </c>
      <c r="K251">
        <v>1</v>
      </c>
      <c r="L251" t="str">
        <f t="shared" si="39"/>
        <v>C250</v>
      </c>
      <c r="M251" t="str">
        <f t="shared" si="40"/>
        <v>Male</v>
      </c>
      <c r="N251" t="str">
        <f t="shared" si="41"/>
        <v>PhD</v>
      </c>
      <c r="O251" t="str">
        <f t="shared" si="42"/>
        <v>Senior Level</v>
      </c>
      <c r="P251" t="str">
        <f t="shared" si="43"/>
        <v>Average</v>
      </c>
      <c r="Q251" t="str">
        <f t="shared" si="44"/>
        <v>Intermediate</v>
      </c>
      <c r="R251" t="str">
        <f t="shared" si="45"/>
        <v>Needs Improvement</v>
      </c>
      <c r="S251" t="str">
        <f t="shared" si="46"/>
        <v>Hired</v>
      </c>
      <c r="T251">
        <f t="shared" si="47"/>
        <v>57</v>
      </c>
      <c r="U251" t="str">
        <f t="shared" si="48"/>
        <v>Developing</v>
      </c>
      <c r="V251" t="str">
        <f t="shared" si="49"/>
        <v>Interview</v>
      </c>
      <c r="W251" t="str">
        <f t="shared" si="50"/>
        <v>Personality &amp; Communication</v>
      </c>
      <c r="X251" t="str">
        <f t="shared" si="51"/>
        <v>Work on communication and personality development</v>
      </c>
    </row>
    <row r="252" spans="1:24" x14ac:dyDescent="0.3">
      <c r="A252">
        <v>25</v>
      </c>
      <c r="B252">
        <v>1</v>
      </c>
      <c r="C252">
        <v>3</v>
      </c>
      <c r="D252">
        <v>10</v>
      </c>
      <c r="E252">
        <v>5</v>
      </c>
      <c r="F252">
        <v>24.3439049561552</v>
      </c>
      <c r="G252">
        <v>14</v>
      </c>
      <c r="H252">
        <v>61</v>
      </c>
      <c r="I252">
        <v>70</v>
      </c>
      <c r="J252">
        <v>2</v>
      </c>
      <c r="K252">
        <v>1</v>
      </c>
      <c r="L252" t="str">
        <f t="shared" si="39"/>
        <v>C251</v>
      </c>
      <c r="M252" t="str">
        <f t="shared" si="40"/>
        <v>Female</v>
      </c>
      <c r="N252" t="str">
        <f t="shared" si="41"/>
        <v>Master's</v>
      </c>
      <c r="O252" t="str">
        <f t="shared" si="42"/>
        <v>Senior Level</v>
      </c>
      <c r="P252" t="str">
        <f t="shared" si="43"/>
        <v>Low</v>
      </c>
      <c r="Q252" t="str">
        <f t="shared" si="44"/>
        <v>Intermediate</v>
      </c>
      <c r="R252" t="str">
        <f t="shared" si="45"/>
        <v>Good</v>
      </c>
      <c r="S252" t="str">
        <f t="shared" si="46"/>
        <v>Hired</v>
      </c>
      <c r="T252">
        <f t="shared" si="47"/>
        <v>50</v>
      </c>
      <c r="U252" t="str">
        <f t="shared" si="48"/>
        <v>Developing</v>
      </c>
      <c r="V252" t="str">
        <f t="shared" si="49"/>
        <v>Personality</v>
      </c>
      <c r="W252" t="str">
        <f t="shared" si="50"/>
        <v>Interview Preparation</v>
      </c>
      <c r="X252" t="str">
        <f t="shared" si="51"/>
        <v>Improve interview preparation and communication</v>
      </c>
    </row>
    <row r="253" spans="1:24" x14ac:dyDescent="0.3">
      <c r="A253">
        <v>27</v>
      </c>
      <c r="B253">
        <v>0</v>
      </c>
      <c r="C253">
        <v>1</v>
      </c>
      <c r="D253">
        <v>11</v>
      </c>
      <c r="E253">
        <v>2</v>
      </c>
      <c r="F253">
        <v>18.9859930955134</v>
      </c>
      <c r="G253">
        <v>91</v>
      </c>
      <c r="H253">
        <v>67</v>
      </c>
      <c r="I253">
        <v>25</v>
      </c>
      <c r="J253">
        <v>3</v>
      </c>
      <c r="K253">
        <v>0</v>
      </c>
      <c r="L253" t="str">
        <f t="shared" si="39"/>
        <v>C252</v>
      </c>
      <c r="M253" t="str">
        <f t="shared" si="40"/>
        <v>Male</v>
      </c>
      <c r="N253" t="str">
        <f t="shared" si="41"/>
        <v>Bachelor's Type 1</v>
      </c>
      <c r="O253" t="str">
        <f t="shared" si="42"/>
        <v>Senior Level</v>
      </c>
      <c r="P253" t="str">
        <f t="shared" si="43"/>
        <v>Strong</v>
      </c>
      <c r="Q253" t="str">
        <f t="shared" si="44"/>
        <v>Intermediate</v>
      </c>
      <c r="R253" t="str">
        <f t="shared" si="45"/>
        <v>Needs Improvement</v>
      </c>
      <c r="S253" t="str">
        <f t="shared" si="46"/>
        <v>Not Hired</v>
      </c>
      <c r="T253">
        <f t="shared" si="47"/>
        <v>66</v>
      </c>
      <c r="U253" t="str">
        <f t="shared" si="48"/>
        <v>Developing</v>
      </c>
      <c r="V253" t="str">
        <f t="shared" si="49"/>
        <v>Interview</v>
      </c>
      <c r="W253" t="str">
        <f t="shared" si="50"/>
        <v>Personality &amp; Communication</v>
      </c>
      <c r="X253" t="str">
        <f t="shared" si="51"/>
        <v>Work on communication and personality development</v>
      </c>
    </row>
    <row r="254" spans="1:24" x14ac:dyDescent="0.3">
      <c r="A254">
        <v>46</v>
      </c>
      <c r="B254">
        <v>0</v>
      </c>
      <c r="C254">
        <v>2</v>
      </c>
      <c r="D254">
        <v>5</v>
      </c>
      <c r="E254">
        <v>5</v>
      </c>
      <c r="F254">
        <v>27.8077693126368</v>
      </c>
      <c r="G254">
        <v>9</v>
      </c>
      <c r="H254">
        <v>90</v>
      </c>
      <c r="I254">
        <v>7</v>
      </c>
      <c r="J254">
        <v>1</v>
      </c>
      <c r="K254">
        <v>0</v>
      </c>
      <c r="L254" t="str">
        <f t="shared" si="39"/>
        <v>C253</v>
      </c>
      <c r="M254" t="str">
        <f t="shared" si="40"/>
        <v>Male</v>
      </c>
      <c r="N254" t="str">
        <f t="shared" si="41"/>
        <v>Bachelor's Type 2</v>
      </c>
      <c r="O254" t="str">
        <f t="shared" si="42"/>
        <v>Mid Level</v>
      </c>
      <c r="P254" t="str">
        <f t="shared" si="43"/>
        <v>Low</v>
      </c>
      <c r="Q254" t="str">
        <f t="shared" si="44"/>
        <v>Advanced</v>
      </c>
      <c r="R254" t="str">
        <f t="shared" si="45"/>
        <v>Needs Improvement</v>
      </c>
      <c r="S254" t="str">
        <f t="shared" si="46"/>
        <v>Not Hired</v>
      </c>
      <c r="T254">
        <f t="shared" si="47"/>
        <v>39</v>
      </c>
      <c r="U254" t="str">
        <f t="shared" si="48"/>
        <v>Needs Improvement</v>
      </c>
      <c r="V254" t="str">
        <f t="shared" si="49"/>
        <v>Technical Skills</v>
      </c>
      <c r="W254" t="str">
        <f t="shared" si="50"/>
        <v>Personality &amp; Communication</v>
      </c>
      <c r="X254" t="str">
        <f t="shared" si="51"/>
        <v>Work on communication and personality development</v>
      </c>
    </row>
    <row r="255" spans="1:24" x14ac:dyDescent="0.3">
      <c r="A255">
        <v>28</v>
      </c>
      <c r="B255">
        <v>1</v>
      </c>
      <c r="C255">
        <v>4</v>
      </c>
      <c r="D255">
        <v>9</v>
      </c>
      <c r="E255">
        <v>4</v>
      </c>
      <c r="F255">
        <v>36.868137651818301</v>
      </c>
      <c r="G255">
        <v>37</v>
      </c>
      <c r="H255">
        <v>91</v>
      </c>
      <c r="I255">
        <v>72</v>
      </c>
      <c r="J255">
        <v>1</v>
      </c>
      <c r="K255">
        <v>1</v>
      </c>
      <c r="L255" t="str">
        <f t="shared" si="39"/>
        <v>C254</v>
      </c>
      <c r="M255" t="str">
        <f t="shared" si="40"/>
        <v>Female</v>
      </c>
      <c r="N255" t="str">
        <f t="shared" si="41"/>
        <v>PhD</v>
      </c>
      <c r="O255" t="str">
        <f t="shared" si="42"/>
        <v>Senior Level</v>
      </c>
      <c r="P255" t="str">
        <f t="shared" si="43"/>
        <v>Low</v>
      </c>
      <c r="Q255" t="str">
        <f t="shared" si="44"/>
        <v>Advanced</v>
      </c>
      <c r="R255" t="str">
        <f t="shared" si="45"/>
        <v>Good</v>
      </c>
      <c r="S255" t="str">
        <f t="shared" si="46"/>
        <v>Hired</v>
      </c>
      <c r="T255">
        <f t="shared" si="47"/>
        <v>67</v>
      </c>
      <c r="U255" t="str">
        <f t="shared" si="48"/>
        <v>Developing</v>
      </c>
      <c r="V255" t="str">
        <f t="shared" si="49"/>
        <v>Technical Skills</v>
      </c>
      <c r="W255" t="str">
        <f t="shared" si="50"/>
        <v>Interview Preparation</v>
      </c>
      <c r="X255" t="str">
        <f t="shared" si="51"/>
        <v>Improve interview preparation and communication</v>
      </c>
    </row>
    <row r="256" spans="1:24" x14ac:dyDescent="0.3">
      <c r="A256">
        <v>49</v>
      </c>
      <c r="B256">
        <v>0</v>
      </c>
      <c r="C256">
        <v>2</v>
      </c>
      <c r="D256">
        <v>7</v>
      </c>
      <c r="E256">
        <v>4</v>
      </c>
      <c r="F256">
        <v>23.178167274925102</v>
      </c>
      <c r="G256">
        <v>46</v>
      </c>
      <c r="H256">
        <v>42</v>
      </c>
      <c r="I256">
        <v>90</v>
      </c>
      <c r="J256">
        <v>2</v>
      </c>
      <c r="K256">
        <v>0</v>
      </c>
      <c r="L256" t="str">
        <f t="shared" si="39"/>
        <v>C255</v>
      </c>
      <c r="M256" t="str">
        <f t="shared" si="40"/>
        <v>Male</v>
      </c>
      <c r="N256" t="str">
        <f t="shared" si="41"/>
        <v>Bachelor's Type 2</v>
      </c>
      <c r="O256" t="str">
        <f t="shared" si="42"/>
        <v>Senior Level</v>
      </c>
      <c r="P256" t="str">
        <f t="shared" si="43"/>
        <v>Low</v>
      </c>
      <c r="Q256" t="str">
        <f t="shared" si="44"/>
        <v>Beginner</v>
      </c>
      <c r="R256" t="str">
        <f t="shared" si="45"/>
        <v>Strong</v>
      </c>
      <c r="S256" t="str">
        <f t="shared" si="46"/>
        <v>Not Hired</v>
      </c>
      <c r="T256">
        <f t="shared" si="47"/>
        <v>54</v>
      </c>
      <c r="U256" t="str">
        <f t="shared" si="48"/>
        <v>Developing</v>
      </c>
      <c r="V256" t="str">
        <f t="shared" si="49"/>
        <v>Personality</v>
      </c>
      <c r="W256" t="str">
        <f t="shared" si="50"/>
        <v>Technical Skills</v>
      </c>
      <c r="X256" t="str">
        <f t="shared" si="51"/>
        <v>Strengthen technical skills and practical knowledge</v>
      </c>
    </row>
    <row r="257" spans="1:24" x14ac:dyDescent="0.3">
      <c r="A257">
        <v>24</v>
      </c>
      <c r="B257">
        <v>1</v>
      </c>
      <c r="C257">
        <v>3</v>
      </c>
      <c r="D257">
        <v>3</v>
      </c>
      <c r="E257">
        <v>5</v>
      </c>
      <c r="F257">
        <v>47.943848757113599</v>
      </c>
      <c r="G257">
        <v>56</v>
      </c>
      <c r="H257">
        <v>79</v>
      </c>
      <c r="I257">
        <v>3</v>
      </c>
      <c r="J257">
        <v>2</v>
      </c>
      <c r="K257">
        <v>0</v>
      </c>
      <c r="L257" t="str">
        <f t="shared" si="39"/>
        <v>C256</v>
      </c>
      <c r="M257" t="str">
        <f t="shared" si="40"/>
        <v>Female</v>
      </c>
      <c r="N257" t="str">
        <f t="shared" si="41"/>
        <v>Master's</v>
      </c>
      <c r="O257" t="str">
        <f t="shared" si="42"/>
        <v>Mid Level</v>
      </c>
      <c r="P257" t="str">
        <f t="shared" si="43"/>
        <v>Average</v>
      </c>
      <c r="Q257" t="str">
        <f t="shared" si="44"/>
        <v>Advanced</v>
      </c>
      <c r="R257" t="str">
        <f t="shared" si="45"/>
        <v>Needs Improvement</v>
      </c>
      <c r="S257" t="str">
        <f t="shared" si="46"/>
        <v>Not Hired</v>
      </c>
      <c r="T257">
        <f t="shared" si="47"/>
        <v>48</v>
      </c>
      <c r="U257" t="str">
        <f t="shared" si="48"/>
        <v>Needs Improvement</v>
      </c>
      <c r="V257" t="str">
        <f t="shared" si="49"/>
        <v>Technical Skills</v>
      </c>
      <c r="W257" t="str">
        <f t="shared" si="50"/>
        <v>Personality &amp; Communication</v>
      </c>
      <c r="X257" t="str">
        <f t="shared" si="51"/>
        <v>Work on communication and personality development</v>
      </c>
    </row>
    <row r="258" spans="1:24" x14ac:dyDescent="0.3">
      <c r="A258">
        <v>20</v>
      </c>
      <c r="B258">
        <v>1</v>
      </c>
      <c r="C258">
        <v>3</v>
      </c>
      <c r="D258">
        <v>1</v>
      </c>
      <c r="E258">
        <v>5</v>
      </c>
      <c r="F258">
        <v>15.747291202117101</v>
      </c>
      <c r="G258">
        <v>49</v>
      </c>
      <c r="H258">
        <v>58</v>
      </c>
      <c r="I258">
        <v>20</v>
      </c>
      <c r="J258">
        <v>2</v>
      </c>
      <c r="K258">
        <v>0</v>
      </c>
      <c r="L258" t="str">
        <f t="shared" si="39"/>
        <v>C257</v>
      </c>
      <c r="M258" t="str">
        <f t="shared" si="40"/>
        <v>Female</v>
      </c>
      <c r="N258" t="str">
        <f t="shared" si="41"/>
        <v>Master's</v>
      </c>
      <c r="O258" t="str">
        <f t="shared" si="42"/>
        <v>Entry Level</v>
      </c>
      <c r="P258" t="str">
        <f t="shared" si="43"/>
        <v>Low</v>
      </c>
      <c r="Q258" t="str">
        <f t="shared" si="44"/>
        <v>Intermediate</v>
      </c>
      <c r="R258" t="str">
        <f t="shared" si="45"/>
        <v>Needs Improvement</v>
      </c>
      <c r="S258" t="str">
        <f t="shared" si="46"/>
        <v>Not Hired</v>
      </c>
      <c r="T258">
        <f t="shared" si="47"/>
        <v>41</v>
      </c>
      <c r="U258" t="str">
        <f t="shared" si="48"/>
        <v>Needs Improvement</v>
      </c>
      <c r="V258" t="str">
        <f t="shared" si="49"/>
        <v>Technical Skills</v>
      </c>
      <c r="W258" t="str">
        <f t="shared" si="50"/>
        <v>Personality &amp; Communication</v>
      </c>
      <c r="X258" t="str">
        <f t="shared" si="51"/>
        <v>Work on communication and personality development</v>
      </c>
    </row>
    <row r="259" spans="1:24" x14ac:dyDescent="0.3">
      <c r="A259">
        <v>38</v>
      </c>
      <c r="B259">
        <v>1</v>
      </c>
      <c r="C259">
        <v>2</v>
      </c>
      <c r="D259">
        <v>11</v>
      </c>
      <c r="E259">
        <v>5</v>
      </c>
      <c r="F259">
        <v>24.773180308455998</v>
      </c>
      <c r="G259">
        <v>70</v>
      </c>
      <c r="H259">
        <v>51</v>
      </c>
      <c r="I259">
        <v>30</v>
      </c>
      <c r="J259">
        <v>1</v>
      </c>
      <c r="K259">
        <v>1</v>
      </c>
      <c r="L259" t="str">
        <f t="shared" ref="L259:L322" si="52">"C"&amp;TEXT(ROW()-1,"000")</f>
        <v>C258</v>
      </c>
      <c r="M259" t="str">
        <f t="shared" ref="M259:M322" si="53">IF(B259=0,"Male","Female")</f>
        <v>Female</v>
      </c>
      <c r="N259" t="str">
        <f t="shared" ref="N259:N322" si="54">IF(C259=1,"Bachelor's Type 1",IF(C259=2,"Bachelor's Type 2",IF(C259=3,"Master's","PhD")))</f>
        <v>Bachelor's Type 2</v>
      </c>
      <c r="O259" t="str">
        <f t="shared" ref="O259:O322" si="55">IF(D259&lt;=2,"Entry Level",IF(D259&lt;=6,"Mid Level","Senior Level"))</f>
        <v>Senior Level</v>
      </c>
      <c r="P259" t="str">
        <f t="shared" ref="P259:P322" si="56">IF(G259&lt;50,"Low",IF(G259&lt;75,"Average","Strong"))</f>
        <v>Average</v>
      </c>
      <c r="Q259" t="str">
        <f t="shared" ref="Q259:Q322" si="57">IF(H259&lt;50,"Beginner",IF(H259&lt;75,"Intermediate","Advanced"))</f>
        <v>Intermediate</v>
      </c>
      <c r="R259" t="str">
        <f t="shared" ref="R259:R322" si="58">IF(I259&lt;50,"Needs Improvement",IF(I259&lt;75,"Good","Strong"))</f>
        <v>Needs Improvement</v>
      </c>
      <c r="S259" t="str">
        <f t="shared" ref="S259:S322" si="59">IF(K259=1,"Hired","Not Hired")</f>
        <v>Hired</v>
      </c>
      <c r="T259">
        <f t="shared" ref="T259:T322" si="60">ROUND((G259*30%)+(H259*30%)+(I259*20%)+((D259/15)*100*15%)+(IF(C259&lt;=2,50,IF(C259=3,75,100))*5%),0)</f>
        <v>56</v>
      </c>
      <c r="U259" t="str">
        <f t="shared" ref="U259:U322" si="61">IF(T259&lt;50,"Needs Improvement",IF(T259&lt;75,"Developing","Job Ready"))</f>
        <v>Developing</v>
      </c>
      <c r="V259" t="str">
        <f t="shared" ref="V259:V322" si="62">IF(AND(G259&gt;=H259,G259&gt;=I259),"Interview",IF(H259&gt;=I259,"Technical Skills","Personality"))</f>
        <v>Interview</v>
      </c>
      <c r="W259" t="str">
        <f t="shared" ref="W259:W322" si="63">IF(AND(G259&lt;=H259,G259&lt;=I259),"Interview Preparation",IF(H259&lt;=I259,"Technical Skills","Personality &amp; Communication"))</f>
        <v>Personality &amp; Communication</v>
      </c>
      <c r="X259" t="str">
        <f t="shared" ref="X259:X322" si="64">IF(W259="Interview Preparation","Improve interview preparation and communication",IF(W259="Technical Skills","Strengthen technical skills and practical knowledge","Work on communication and personality development"))</f>
        <v>Work on communication and personality development</v>
      </c>
    </row>
    <row r="260" spans="1:24" x14ac:dyDescent="0.3">
      <c r="A260">
        <v>29</v>
      </c>
      <c r="B260">
        <v>0</v>
      </c>
      <c r="C260">
        <v>2</v>
      </c>
      <c r="D260">
        <v>10</v>
      </c>
      <c r="E260">
        <v>3</v>
      </c>
      <c r="F260">
        <v>38.846382967072003</v>
      </c>
      <c r="G260">
        <v>14</v>
      </c>
      <c r="H260">
        <v>96</v>
      </c>
      <c r="I260">
        <v>20</v>
      </c>
      <c r="J260">
        <v>1</v>
      </c>
      <c r="K260">
        <v>1</v>
      </c>
      <c r="L260" t="str">
        <f t="shared" si="52"/>
        <v>C259</v>
      </c>
      <c r="M260" t="str">
        <f t="shared" si="53"/>
        <v>Male</v>
      </c>
      <c r="N260" t="str">
        <f t="shared" si="54"/>
        <v>Bachelor's Type 2</v>
      </c>
      <c r="O260" t="str">
        <f t="shared" si="55"/>
        <v>Senior Level</v>
      </c>
      <c r="P260" t="str">
        <f t="shared" si="56"/>
        <v>Low</v>
      </c>
      <c r="Q260" t="str">
        <f t="shared" si="57"/>
        <v>Advanced</v>
      </c>
      <c r="R260" t="str">
        <f t="shared" si="58"/>
        <v>Needs Improvement</v>
      </c>
      <c r="S260" t="str">
        <f t="shared" si="59"/>
        <v>Hired</v>
      </c>
      <c r="T260">
        <f t="shared" si="60"/>
        <v>50</v>
      </c>
      <c r="U260" t="str">
        <f t="shared" si="61"/>
        <v>Developing</v>
      </c>
      <c r="V260" t="str">
        <f t="shared" si="62"/>
        <v>Technical Skills</v>
      </c>
      <c r="W260" t="str">
        <f t="shared" si="63"/>
        <v>Interview Preparation</v>
      </c>
      <c r="X260" t="str">
        <f t="shared" si="64"/>
        <v>Improve interview preparation and communication</v>
      </c>
    </row>
    <row r="261" spans="1:24" x14ac:dyDescent="0.3">
      <c r="A261">
        <v>31</v>
      </c>
      <c r="B261">
        <v>0</v>
      </c>
      <c r="C261">
        <v>2</v>
      </c>
      <c r="D261">
        <v>4</v>
      </c>
      <c r="E261">
        <v>4</v>
      </c>
      <c r="F261">
        <v>35.456054524787902</v>
      </c>
      <c r="G261">
        <v>17</v>
      </c>
      <c r="H261">
        <v>18</v>
      </c>
      <c r="I261">
        <v>24</v>
      </c>
      <c r="J261">
        <v>1</v>
      </c>
      <c r="K261">
        <v>0</v>
      </c>
      <c r="L261" t="str">
        <f t="shared" si="52"/>
        <v>C260</v>
      </c>
      <c r="M261" t="str">
        <f t="shared" si="53"/>
        <v>Male</v>
      </c>
      <c r="N261" t="str">
        <f t="shared" si="54"/>
        <v>Bachelor's Type 2</v>
      </c>
      <c r="O261" t="str">
        <f t="shared" si="55"/>
        <v>Mid Level</v>
      </c>
      <c r="P261" t="str">
        <f t="shared" si="56"/>
        <v>Low</v>
      </c>
      <c r="Q261" t="str">
        <f t="shared" si="57"/>
        <v>Beginner</v>
      </c>
      <c r="R261" t="str">
        <f t="shared" si="58"/>
        <v>Needs Improvement</v>
      </c>
      <c r="S261" t="str">
        <f t="shared" si="59"/>
        <v>Not Hired</v>
      </c>
      <c r="T261">
        <f t="shared" si="60"/>
        <v>22</v>
      </c>
      <c r="U261" t="str">
        <f t="shared" si="61"/>
        <v>Needs Improvement</v>
      </c>
      <c r="V261" t="str">
        <f t="shared" si="62"/>
        <v>Personality</v>
      </c>
      <c r="W261" t="str">
        <f t="shared" si="63"/>
        <v>Interview Preparation</v>
      </c>
      <c r="X261" t="str">
        <f t="shared" si="64"/>
        <v>Improve interview preparation and communication</v>
      </c>
    </row>
    <row r="262" spans="1:24" x14ac:dyDescent="0.3">
      <c r="A262">
        <v>43</v>
      </c>
      <c r="B262">
        <v>0</v>
      </c>
      <c r="C262">
        <v>2</v>
      </c>
      <c r="D262">
        <v>14</v>
      </c>
      <c r="E262">
        <v>4</v>
      </c>
      <c r="F262">
        <v>44.182052620857803</v>
      </c>
      <c r="G262">
        <v>81</v>
      </c>
      <c r="H262">
        <v>20</v>
      </c>
      <c r="I262">
        <v>14</v>
      </c>
      <c r="J262">
        <v>3</v>
      </c>
      <c r="K262">
        <v>0</v>
      </c>
      <c r="L262" t="str">
        <f t="shared" si="52"/>
        <v>C261</v>
      </c>
      <c r="M262" t="str">
        <f t="shared" si="53"/>
        <v>Male</v>
      </c>
      <c r="N262" t="str">
        <f t="shared" si="54"/>
        <v>Bachelor's Type 2</v>
      </c>
      <c r="O262" t="str">
        <f t="shared" si="55"/>
        <v>Senior Level</v>
      </c>
      <c r="P262" t="str">
        <f t="shared" si="56"/>
        <v>Strong</v>
      </c>
      <c r="Q262" t="str">
        <f t="shared" si="57"/>
        <v>Beginner</v>
      </c>
      <c r="R262" t="str">
        <f t="shared" si="58"/>
        <v>Needs Improvement</v>
      </c>
      <c r="S262" t="str">
        <f t="shared" si="59"/>
        <v>Not Hired</v>
      </c>
      <c r="T262">
        <f t="shared" si="60"/>
        <v>50</v>
      </c>
      <c r="U262" t="str">
        <f t="shared" si="61"/>
        <v>Developing</v>
      </c>
      <c r="V262" t="str">
        <f t="shared" si="62"/>
        <v>Interview</v>
      </c>
      <c r="W262" t="str">
        <f t="shared" si="63"/>
        <v>Personality &amp; Communication</v>
      </c>
      <c r="X262" t="str">
        <f t="shared" si="64"/>
        <v>Work on communication and personality development</v>
      </c>
    </row>
    <row r="263" spans="1:24" x14ac:dyDescent="0.3">
      <c r="A263">
        <v>34</v>
      </c>
      <c r="B263">
        <v>1</v>
      </c>
      <c r="C263">
        <v>3</v>
      </c>
      <c r="D263">
        <v>11</v>
      </c>
      <c r="E263">
        <v>3</v>
      </c>
      <c r="F263">
        <v>50.840459034055399</v>
      </c>
      <c r="G263">
        <v>87</v>
      </c>
      <c r="H263">
        <v>21</v>
      </c>
      <c r="I263">
        <v>34</v>
      </c>
      <c r="J263">
        <v>2</v>
      </c>
      <c r="K263">
        <v>0</v>
      </c>
      <c r="L263" t="str">
        <f t="shared" si="52"/>
        <v>C262</v>
      </c>
      <c r="M263" t="str">
        <f t="shared" si="53"/>
        <v>Female</v>
      </c>
      <c r="N263" t="str">
        <f t="shared" si="54"/>
        <v>Master's</v>
      </c>
      <c r="O263" t="str">
        <f t="shared" si="55"/>
        <v>Senior Level</v>
      </c>
      <c r="P263" t="str">
        <f t="shared" si="56"/>
        <v>Strong</v>
      </c>
      <c r="Q263" t="str">
        <f t="shared" si="57"/>
        <v>Beginner</v>
      </c>
      <c r="R263" t="str">
        <f t="shared" si="58"/>
        <v>Needs Improvement</v>
      </c>
      <c r="S263" t="str">
        <f t="shared" si="59"/>
        <v>Not Hired</v>
      </c>
      <c r="T263">
        <f t="shared" si="60"/>
        <v>54</v>
      </c>
      <c r="U263" t="str">
        <f t="shared" si="61"/>
        <v>Developing</v>
      </c>
      <c r="V263" t="str">
        <f t="shared" si="62"/>
        <v>Interview</v>
      </c>
      <c r="W263" t="str">
        <f t="shared" si="63"/>
        <v>Technical Skills</v>
      </c>
      <c r="X263" t="str">
        <f t="shared" si="64"/>
        <v>Strengthen technical skills and practical knowledge</v>
      </c>
    </row>
    <row r="264" spans="1:24" x14ac:dyDescent="0.3">
      <c r="A264">
        <v>46</v>
      </c>
      <c r="B264">
        <v>0</v>
      </c>
      <c r="C264">
        <v>2</v>
      </c>
      <c r="D264">
        <v>1</v>
      </c>
      <c r="E264">
        <v>5</v>
      </c>
      <c r="F264">
        <v>22.342916439754401</v>
      </c>
      <c r="G264">
        <v>1</v>
      </c>
      <c r="H264">
        <v>8</v>
      </c>
      <c r="I264">
        <v>48</v>
      </c>
      <c r="J264">
        <v>2</v>
      </c>
      <c r="K264">
        <v>0</v>
      </c>
      <c r="L264" t="str">
        <f t="shared" si="52"/>
        <v>C263</v>
      </c>
      <c r="M264" t="str">
        <f t="shared" si="53"/>
        <v>Male</v>
      </c>
      <c r="N264" t="str">
        <f t="shared" si="54"/>
        <v>Bachelor's Type 2</v>
      </c>
      <c r="O264" t="str">
        <f t="shared" si="55"/>
        <v>Entry Level</v>
      </c>
      <c r="P264" t="str">
        <f t="shared" si="56"/>
        <v>Low</v>
      </c>
      <c r="Q264" t="str">
        <f t="shared" si="57"/>
        <v>Beginner</v>
      </c>
      <c r="R264" t="str">
        <f t="shared" si="58"/>
        <v>Needs Improvement</v>
      </c>
      <c r="S264" t="str">
        <f t="shared" si="59"/>
        <v>Not Hired</v>
      </c>
      <c r="T264">
        <f t="shared" si="60"/>
        <v>16</v>
      </c>
      <c r="U264" t="str">
        <f t="shared" si="61"/>
        <v>Needs Improvement</v>
      </c>
      <c r="V264" t="str">
        <f t="shared" si="62"/>
        <v>Personality</v>
      </c>
      <c r="W264" t="str">
        <f t="shared" si="63"/>
        <v>Interview Preparation</v>
      </c>
      <c r="X264" t="str">
        <f t="shared" si="64"/>
        <v>Improve interview preparation and communication</v>
      </c>
    </row>
    <row r="265" spans="1:24" x14ac:dyDescent="0.3">
      <c r="A265">
        <v>41</v>
      </c>
      <c r="B265">
        <v>1</v>
      </c>
      <c r="C265">
        <v>3</v>
      </c>
      <c r="D265">
        <v>1</v>
      </c>
      <c r="E265">
        <v>2</v>
      </c>
      <c r="F265">
        <v>6.5575439891655902</v>
      </c>
      <c r="G265">
        <v>83</v>
      </c>
      <c r="H265">
        <v>8</v>
      </c>
      <c r="I265">
        <v>42</v>
      </c>
      <c r="J265">
        <v>1</v>
      </c>
      <c r="K265">
        <v>1</v>
      </c>
      <c r="L265" t="str">
        <f t="shared" si="52"/>
        <v>C264</v>
      </c>
      <c r="M265" t="str">
        <f t="shared" si="53"/>
        <v>Female</v>
      </c>
      <c r="N265" t="str">
        <f t="shared" si="54"/>
        <v>Master's</v>
      </c>
      <c r="O265" t="str">
        <f t="shared" si="55"/>
        <v>Entry Level</v>
      </c>
      <c r="P265" t="str">
        <f t="shared" si="56"/>
        <v>Strong</v>
      </c>
      <c r="Q265" t="str">
        <f t="shared" si="57"/>
        <v>Beginner</v>
      </c>
      <c r="R265" t="str">
        <f t="shared" si="58"/>
        <v>Needs Improvement</v>
      </c>
      <c r="S265" t="str">
        <f t="shared" si="59"/>
        <v>Hired</v>
      </c>
      <c r="T265">
        <f t="shared" si="60"/>
        <v>40</v>
      </c>
      <c r="U265" t="str">
        <f t="shared" si="61"/>
        <v>Needs Improvement</v>
      </c>
      <c r="V265" t="str">
        <f t="shared" si="62"/>
        <v>Interview</v>
      </c>
      <c r="W265" t="str">
        <f t="shared" si="63"/>
        <v>Technical Skills</v>
      </c>
      <c r="X265" t="str">
        <f t="shared" si="64"/>
        <v>Strengthen technical skills and practical knowledge</v>
      </c>
    </row>
    <row r="266" spans="1:24" x14ac:dyDescent="0.3">
      <c r="A266">
        <v>43</v>
      </c>
      <c r="B266">
        <v>0</v>
      </c>
      <c r="C266">
        <v>1</v>
      </c>
      <c r="D266">
        <v>14</v>
      </c>
      <c r="E266">
        <v>5</v>
      </c>
      <c r="F266">
        <v>2.5207940403983899</v>
      </c>
      <c r="G266">
        <v>97</v>
      </c>
      <c r="H266">
        <v>72</v>
      </c>
      <c r="I266">
        <v>40</v>
      </c>
      <c r="J266">
        <v>1</v>
      </c>
      <c r="K266">
        <v>1</v>
      </c>
      <c r="L266" t="str">
        <f t="shared" si="52"/>
        <v>C265</v>
      </c>
      <c r="M266" t="str">
        <f t="shared" si="53"/>
        <v>Male</v>
      </c>
      <c r="N266" t="str">
        <f t="shared" si="54"/>
        <v>Bachelor's Type 1</v>
      </c>
      <c r="O266" t="str">
        <f t="shared" si="55"/>
        <v>Senior Level</v>
      </c>
      <c r="P266" t="str">
        <f t="shared" si="56"/>
        <v>Strong</v>
      </c>
      <c r="Q266" t="str">
        <f t="shared" si="57"/>
        <v>Intermediate</v>
      </c>
      <c r="R266" t="str">
        <f t="shared" si="58"/>
        <v>Needs Improvement</v>
      </c>
      <c r="S266" t="str">
        <f t="shared" si="59"/>
        <v>Hired</v>
      </c>
      <c r="T266">
        <f t="shared" si="60"/>
        <v>75</v>
      </c>
      <c r="U266" t="str">
        <f t="shared" si="61"/>
        <v>Job Ready</v>
      </c>
      <c r="V266" t="str">
        <f t="shared" si="62"/>
        <v>Interview</v>
      </c>
      <c r="W266" t="str">
        <f t="shared" si="63"/>
        <v>Personality &amp; Communication</v>
      </c>
      <c r="X266" t="str">
        <f t="shared" si="64"/>
        <v>Work on communication and personality development</v>
      </c>
    </row>
    <row r="267" spans="1:24" x14ac:dyDescent="0.3">
      <c r="A267">
        <v>28</v>
      </c>
      <c r="B267">
        <v>1</v>
      </c>
      <c r="C267">
        <v>4</v>
      </c>
      <c r="D267">
        <v>5</v>
      </c>
      <c r="E267">
        <v>5</v>
      </c>
      <c r="F267">
        <v>37.343845306988499</v>
      </c>
      <c r="G267">
        <v>42</v>
      </c>
      <c r="H267">
        <v>26</v>
      </c>
      <c r="I267">
        <v>36</v>
      </c>
      <c r="J267">
        <v>2</v>
      </c>
      <c r="K267">
        <v>0</v>
      </c>
      <c r="L267" t="str">
        <f t="shared" si="52"/>
        <v>C266</v>
      </c>
      <c r="M267" t="str">
        <f t="shared" si="53"/>
        <v>Female</v>
      </c>
      <c r="N267" t="str">
        <f t="shared" si="54"/>
        <v>PhD</v>
      </c>
      <c r="O267" t="str">
        <f t="shared" si="55"/>
        <v>Mid Level</v>
      </c>
      <c r="P267" t="str">
        <f t="shared" si="56"/>
        <v>Low</v>
      </c>
      <c r="Q267" t="str">
        <f t="shared" si="57"/>
        <v>Beginner</v>
      </c>
      <c r="R267" t="str">
        <f t="shared" si="58"/>
        <v>Needs Improvement</v>
      </c>
      <c r="S267" t="str">
        <f t="shared" si="59"/>
        <v>Not Hired</v>
      </c>
      <c r="T267">
        <f t="shared" si="60"/>
        <v>38</v>
      </c>
      <c r="U267" t="str">
        <f t="shared" si="61"/>
        <v>Needs Improvement</v>
      </c>
      <c r="V267" t="str">
        <f t="shared" si="62"/>
        <v>Interview</v>
      </c>
      <c r="W267" t="str">
        <f t="shared" si="63"/>
        <v>Technical Skills</v>
      </c>
      <c r="X267" t="str">
        <f t="shared" si="64"/>
        <v>Strengthen technical skills and practical knowledge</v>
      </c>
    </row>
    <row r="268" spans="1:24" x14ac:dyDescent="0.3">
      <c r="A268">
        <v>39</v>
      </c>
      <c r="B268">
        <v>0</v>
      </c>
      <c r="C268">
        <v>2</v>
      </c>
      <c r="D268">
        <v>15</v>
      </c>
      <c r="E268">
        <v>3</v>
      </c>
      <c r="F268">
        <v>44.700683565435703</v>
      </c>
      <c r="G268">
        <v>25</v>
      </c>
      <c r="H268">
        <v>16</v>
      </c>
      <c r="I268">
        <v>56</v>
      </c>
      <c r="J268">
        <v>1</v>
      </c>
      <c r="K268">
        <v>0</v>
      </c>
      <c r="L268" t="str">
        <f t="shared" si="52"/>
        <v>C267</v>
      </c>
      <c r="M268" t="str">
        <f t="shared" si="53"/>
        <v>Male</v>
      </c>
      <c r="N268" t="str">
        <f t="shared" si="54"/>
        <v>Bachelor's Type 2</v>
      </c>
      <c r="O268" t="str">
        <f t="shared" si="55"/>
        <v>Senior Level</v>
      </c>
      <c r="P268" t="str">
        <f t="shared" si="56"/>
        <v>Low</v>
      </c>
      <c r="Q268" t="str">
        <f t="shared" si="57"/>
        <v>Beginner</v>
      </c>
      <c r="R268" t="str">
        <f t="shared" si="58"/>
        <v>Good</v>
      </c>
      <c r="S268" t="str">
        <f t="shared" si="59"/>
        <v>Not Hired</v>
      </c>
      <c r="T268">
        <f t="shared" si="60"/>
        <v>41</v>
      </c>
      <c r="U268" t="str">
        <f t="shared" si="61"/>
        <v>Needs Improvement</v>
      </c>
      <c r="V268" t="str">
        <f t="shared" si="62"/>
        <v>Personality</v>
      </c>
      <c r="W268" t="str">
        <f t="shared" si="63"/>
        <v>Technical Skills</v>
      </c>
      <c r="X268" t="str">
        <f t="shared" si="64"/>
        <v>Strengthen technical skills and practical knowledge</v>
      </c>
    </row>
    <row r="269" spans="1:24" x14ac:dyDescent="0.3">
      <c r="A269">
        <v>36</v>
      </c>
      <c r="B269">
        <v>0</v>
      </c>
      <c r="C269">
        <v>1</v>
      </c>
      <c r="D269">
        <v>10</v>
      </c>
      <c r="E269">
        <v>4</v>
      </c>
      <c r="F269">
        <v>12.0356292972209</v>
      </c>
      <c r="G269">
        <v>70</v>
      </c>
      <c r="H269">
        <v>43</v>
      </c>
      <c r="I269">
        <v>41</v>
      </c>
      <c r="J269">
        <v>2</v>
      </c>
      <c r="K269">
        <v>0</v>
      </c>
      <c r="L269" t="str">
        <f t="shared" si="52"/>
        <v>C268</v>
      </c>
      <c r="M269" t="str">
        <f t="shared" si="53"/>
        <v>Male</v>
      </c>
      <c r="N269" t="str">
        <f t="shared" si="54"/>
        <v>Bachelor's Type 1</v>
      </c>
      <c r="O269" t="str">
        <f t="shared" si="55"/>
        <v>Senior Level</v>
      </c>
      <c r="P269" t="str">
        <f t="shared" si="56"/>
        <v>Average</v>
      </c>
      <c r="Q269" t="str">
        <f t="shared" si="57"/>
        <v>Beginner</v>
      </c>
      <c r="R269" t="str">
        <f t="shared" si="58"/>
        <v>Needs Improvement</v>
      </c>
      <c r="S269" t="str">
        <f t="shared" si="59"/>
        <v>Not Hired</v>
      </c>
      <c r="T269">
        <f t="shared" si="60"/>
        <v>55</v>
      </c>
      <c r="U269" t="str">
        <f t="shared" si="61"/>
        <v>Developing</v>
      </c>
      <c r="V269" t="str">
        <f t="shared" si="62"/>
        <v>Interview</v>
      </c>
      <c r="W269" t="str">
        <f t="shared" si="63"/>
        <v>Personality &amp; Communication</v>
      </c>
      <c r="X269" t="str">
        <f t="shared" si="64"/>
        <v>Work on communication and personality development</v>
      </c>
    </row>
    <row r="270" spans="1:24" x14ac:dyDescent="0.3">
      <c r="A270">
        <v>49</v>
      </c>
      <c r="B270">
        <v>0</v>
      </c>
      <c r="C270">
        <v>1</v>
      </c>
      <c r="D270">
        <v>9</v>
      </c>
      <c r="E270">
        <v>5</v>
      </c>
      <c r="F270">
        <v>8.9224018594952899</v>
      </c>
      <c r="G270">
        <v>37</v>
      </c>
      <c r="H270">
        <v>44</v>
      </c>
      <c r="I270">
        <v>46</v>
      </c>
      <c r="J270">
        <v>2</v>
      </c>
      <c r="K270">
        <v>0</v>
      </c>
      <c r="L270" t="str">
        <f t="shared" si="52"/>
        <v>C269</v>
      </c>
      <c r="M270" t="str">
        <f t="shared" si="53"/>
        <v>Male</v>
      </c>
      <c r="N270" t="str">
        <f t="shared" si="54"/>
        <v>Bachelor's Type 1</v>
      </c>
      <c r="O270" t="str">
        <f t="shared" si="55"/>
        <v>Senior Level</v>
      </c>
      <c r="P270" t="str">
        <f t="shared" si="56"/>
        <v>Low</v>
      </c>
      <c r="Q270" t="str">
        <f t="shared" si="57"/>
        <v>Beginner</v>
      </c>
      <c r="R270" t="str">
        <f t="shared" si="58"/>
        <v>Needs Improvement</v>
      </c>
      <c r="S270" t="str">
        <f t="shared" si="59"/>
        <v>Not Hired</v>
      </c>
      <c r="T270">
        <f t="shared" si="60"/>
        <v>45</v>
      </c>
      <c r="U270" t="str">
        <f t="shared" si="61"/>
        <v>Needs Improvement</v>
      </c>
      <c r="V270" t="str">
        <f t="shared" si="62"/>
        <v>Personality</v>
      </c>
      <c r="W270" t="str">
        <f t="shared" si="63"/>
        <v>Interview Preparation</v>
      </c>
      <c r="X270" t="str">
        <f t="shared" si="64"/>
        <v>Improve interview preparation and communication</v>
      </c>
    </row>
    <row r="271" spans="1:24" x14ac:dyDescent="0.3">
      <c r="A271">
        <v>36</v>
      </c>
      <c r="B271">
        <v>1</v>
      </c>
      <c r="C271">
        <v>3</v>
      </c>
      <c r="D271">
        <v>8</v>
      </c>
      <c r="E271">
        <v>4</v>
      </c>
      <c r="F271">
        <v>4.1102545762845404</v>
      </c>
      <c r="G271">
        <v>93</v>
      </c>
      <c r="H271">
        <v>7</v>
      </c>
      <c r="I271">
        <v>91</v>
      </c>
      <c r="J271">
        <v>2</v>
      </c>
      <c r="K271">
        <v>1</v>
      </c>
      <c r="L271" t="str">
        <f t="shared" si="52"/>
        <v>C270</v>
      </c>
      <c r="M271" t="str">
        <f t="shared" si="53"/>
        <v>Female</v>
      </c>
      <c r="N271" t="str">
        <f t="shared" si="54"/>
        <v>Master's</v>
      </c>
      <c r="O271" t="str">
        <f t="shared" si="55"/>
        <v>Senior Level</v>
      </c>
      <c r="P271" t="str">
        <f t="shared" si="56"/>
        <v>Strong</v>
      </c>
      <c r="Q271" t="str">
        <f t="shared" si="57"/>
        <v>Beginner</v>
      </c>
      <c r="R271" t="str">
        <f t="shared" si="58"/>
        <v>Strong</v>
      </c>
      <c r="S271" t="str">
        <f t="shared" si="59"/>
        <v>Hired</v>
      </c>
      <c r="T271">
        <f t="shared" si="60"/>
        <v>60</v>
      </c>
      <c r="U271" t="str">
        <f t="shared" si="61"/>
        <v>Developing</v>
      </c>
      <c r="V271" t="str">
        <f t="shared" si="62"/>
        <v>Interview</v>
      </c>
      <c r="W271" t="str">
        <f t="shared" si="63"/>
        <v>Technical Skills</v>
      </c>
      <c r="X271" t="str">
        <f t="shared" si="64"/>
        <v>Strengthen technical skills and practical knowledge</v>
      </c>
    </row>
    <row r="272" spans="1:24" x14ac:dyDescent="0.3">
      <c r="A272">
        <v>45</v>
      </c>
      <c r="B272">
        <v>1</v>
      </c>
      <c r="C272">
        <v>2</v>
      </c>
      <c r="D272">
        <v>12</v>
      </c>
      <c r="E272">
        <v>1</v>
      </c>
      <c r="F272">
        <v>42.135146085860299</v>
      </c>
      <c r="G272">
        <v>41</v>
      </c>
      <c r="H272">
        <v>79</v>
      </c>
      <c r="I272">
        <v>60</v>
      </c>
      <c r="J272">
        <v>2</v>
      </c>
      <c r="K272">
        <v>0</v>
      </c>
      <c r="L272" t="str">
        <f t="shared" si="52"/>
        <v>C271</v>
      </c>
      <c r="M272" t="str">
        <f t="shared" si="53"/>
        <v>Female</v>
      </c>
      <c r="N272" t="str">
        <f t="shared" si="54"/>
        <v>Bachelor's Type 2</v>
      </c>
      <c r="O272" t="str">
        <f t="shared" si="55"/>
        <v>Senior Level</v>
      </c>
      <c r="P272" t="str">
        <f t="shared" si="56"/>
        <v>Low</v>
      </c>
      <c r="Q272" t="str">
        <f t="shared" si="57"/>
        <v>Advanced</v>
      </c>
      <c r="R272" t="str">
        <f t="shared" si="58"/>
        <v>Good</v>
      </c>
      <c r="S272" t="str">
        <f t="shared" si="59"/>
        <v>Not Hired</v>
      </c>
      <c r="T272">
        <f t="shared" si="60"/>
        <v>63</v>
      </c>
      <c r="U272" t="str">
        <f t="shared" si="61"/>
        <v>Developing</v>
      </c>
      <c r="V272" t="str">
        <f t="shared" si="62"/>
        <v>Technical Skills</v>
      </c>
      <c r="W272" t="str">
        <f t="shared" si="63"/>
        <v>Interview Preparation</v>
      </c>
      <c r="X272" t="str">
        <f t="shared" si="64"/>
        <v>Improve interview preparation and communication</v>
      </c>
    </row>
    <row r="273" spans="1:24" x14ac:dyDescent="0.3">
      <c r="A273">
        <v>39</v>
      </c>
      <c r="B273">
        <v>0</v>
      </c>
      <c r="C273">
        <v>3</v>
      </c>
      <c r="D273">
        <v>3</v>
      </c>
      <c r="E273">
        <v>4</v>
      </c>
      <c r="F273">
        <v>16.569096994629199</v>
      </c>
      <c r="G273">
        <v>4</v>
      </c>
      <c r="H273">
        <v>17</v>
      </c>
      <c r="I273">
        <v>13</v>
      </c>
      <c r="J273">
        <v>2</v>
      </c>
      <c r="K273">
        <v>0</v>
      </c>
      <c r="L273" t="str">
        <f t="shared" si="52"/>
        <v>C272</v>
      </c>
      <c r="M273" t="str">
        <f t="shared" si="53"/>
        <v>Male</v>
      </c>
      <c r="N273" t="str">
        <f t="shared" si="54"/>
        <v>Master's</v>
      </c>
      <c r="O273" t="str">
        <f t="shared" si="55"/>
        <v>Mid Level</v>
      </c>
      <c r="P273" t="str">
        <f t="shared" si="56"/>
        <v>Low</v>
      </c>
      <c r="Q273" t="str">
        <f t="shared" si="57"/>
        <v>Beginner</v>
      </c>
      <c r="R273" t="str">
        <f t="shared" si="58"/>
        <v>Needs Improvement</v>
      </c>
      <c r="S273" t="str">
        <f t="shared" si="59"/>
        <v>Not Hired</v>
      </c>
      <c r="T273">
        <f t="shared" si="60"/>
        <v>16</v>
      </c>
      <c r="U273" t="str">
        <f t="shared" si="61"/>
        <v>Needs Improvement</v>
      </c>
      <c r="V273" t="str">
        <f t="shared" si="62"/>
        <v>Technical Skills</v>
      </c>
      <c r="W273" t="str">
        <f t="shared" si="63"/>
        <v>Interview Preparation</v>
      </c>
      <c r="X273" t="str">
        <f t="shared" si="64"/>
        <v>Improve interview preparation and communication</v>
      </c>
    </row>
    <row r="274" spans="1:24" x14ac:dyDescent="0.3">
      <c r="A274">
        <v>31</v>
      </c>
      <c r="B274">
        <v>0</v>
      </c>
      <c r="C274">
        <v>1</v>
      </c>
      <c r="D274">
        <v>5</v>
      </c>
      <c r="E274">
        <v>2</v>
      </c>
      <c r="F274">
        <v>21.084844637988802</v>
      </c>
      <c r="G274">
        <v>10</v>
      </c>
      <c r="H274">
        <v>32</v>
      </c>
      <c r="I274">
        <v>67</v>
      </c>
      <c r="J274">
        <v>1</v>
      </c>
      <c r="K274">
        <v>0</v>
      </c>
      <c r="L274" t="str">
        <f t="shared" si="52"/>
        <v>C273</v>
      </c>
      <c r="M274" t="str">
        <f t="shared" si="53"/>
        <v>Male</v>
      </c>
      <c r="N274" t="str">
        <f t="shared" si="54"/>
        <v>Bachelor's Type 1</v>
      </c>
      <c r="O274" t="str">
        <f t="shared" si="55"/>
        <v>Mid Level</v>
      </c>
      <c r="P274" t="str">
        <f t="shared" si="56"/>
        <v>Low</v>
      </c>
      <c r="Q274" t="str">
        <f t="shared" si="57"/>
        <v>Beginner</v>
      </c>
      <c r="R274" t="str">
        <f t="shared" si="58"/>
        <v>Good</v>
      </c>
      <c r="S274" t="str">
        <f t="shared" si="59"/>
        <v>Not Hired</v>
      </c>
      <c r="T274">
        <f t="shared" si="60"/>
        <v>34</v>
      </c>
      <c r="U274" t="str">
        <f t="shared" si="61"/>
        <v>Needs Improvement</v>
      </c>
      <c r="V274" t="str">
        <f t="shared" si="62"/>
        <v>Personality</v>
      </c>
      <c r="W274" t="str">
        <f t="shared" si="63"/>
        <v>Interview Preparation</v>
      </c>
      <c r="X274" t="str">
        <f t="shared" si="64"/>
        <v>Improve interview preparation and communication</v>
      </c>
    </row>
    <row r="275" spans="1:24" x14ac:dyDescent="0.3">
      <c r="A275">
        <v>49</v>
      </c>
      <c r="B275">
        <v>1</v>
      </c>
      <c r="C275">
        <v>1</v>
      </c>
      <c r="D275">
        <v>15</v>
      </c>
      <c r="E275">
        <v>2</v>
      </c>
      <c r="F275">
        <v>26.1375095804806</v>
      </c>
      <c r="G275">
        <v>64</v>
      </c>
      <c r="H275">
        <v>0</v>
      </c>
      <c r="I275">
        <v>52</v>
      </c>
      <c r="J275">
        <v>2</v>
      </c>
      <c r="K275">
        <v>0</v>
      </c>
      <c r="L275" t="str">
        <f t="shared" si="52"/>
        <v>C274</v>
      </c>
      <c r="M275" t="str">
        <f t="shared" si="53"/>
        <v>Female</v>
      </c>
      <c r="N275" t="str">
        <f t="shared" si="54"/>
        <v>Bachelor's Type 1</v>
      </c>
      <c r="O275" t="str">
        <f t="shared" si="55"/>
        <v>Senior Level</v>
      </c>
      <c r="P275" t="str">
        <f t="shared" si="56"/>
        <v>Average</v>
      </c>
      <c r="Q275" t="str">
        <f t="shared" si="57"/>
        <v>Beginner</v>
      </c>
      <c r="R275" t="str">
        <f t="shared" si="58"/>
        <v>Good</v>
      </c>
      <c r="S275" t="str">
        <f t="shared" si="59"/>
        <v>Not Hired</v>
      </c>
      <c r="T275">
        <f t="shared" si="60"/>
        <v>47</v>
      </c>
      <c r="U275" t="str">
        <f t="shared" si="61"/>
        <v>Needs Improvement</v>
      </c>
      <c r="V275" t="str">
        <f t="shared" si="62"/>
        <v>Interview</v>
      </c>
      <c r="W275" t="str">
        <f t="shared" si="63"/>
        <v>Technical Skills</v>
      </c>
      <c r="X275" t="str">
        <f t="shared" si="64"/>
        <v>Strengthen technical skills and practical knowledge</v>
      </c>
    </row>
    <row r="276" spans="1:24" x14ac:dyDescent="0.3">
      <c r="A276">
        <v>26</v>
      </c>
      <c r="B276">
        <v>1</v>
      </c>
      <c r="C276">
        <v>2</v>
      </c>
      <c r="D276">
        <v>6</v>
      </c>
      <c r="E276">
        <v>5</v>
      </c>
      <c r="F276">
        <v>42.972661710477503</v>
      </c>
      <c r="G276">
        <v>33</v>
      </c>
      <c r="H276">
        <v>75</v>
      </c>
      <c r="I276">
        <v>83</v>
      </c>
      <c r="J276">
        <v>2</v>
      </c>
      <c r="K276">
        <v>0</v>
      </c>
      <c r="L276" t="str">
        <f t="shared" si="52"/>
        <v>C275</v>
      </c>
      <c r="M276" t="str">
        <f t="shared" si="53"/>
        <v>Female</v>
      </c>
      <c r="N276" t="str">
        <f t="shared" si="54"/>
        <v>Bachelor's Type 2</v>
      </c>
      <c r="O276" t="str">
        <f t="shared" si="55"/>
        <v>Mid Level</v>
      </c>
      <c r="P276" t="str">
        <f t="shared" si="56"/>
        <v>Low</v>
      </c>
      <c r="Q276" t="str">
        <f t="shared" si="57"/>
        <v>Advanced</v>
      </c>
      <c r="R276" t="str">
        <f t="shared" si="58"/>
        <v>Strong</v>
      </c>
      <c r="S276" t="str">
        <f t="shared" si="59"/>
        <v>Not Hired</v>
      </c>
      <c r="T276">
        <f t="shared" si="60"/>
        <v>58</v>
      </c>
      <c r="U276" t="str">
        <f t="shared" si="61"/>
        <v>Developing</v>
      </c>
      <c r="V276" t="str">
        <f t="shared" si="62"/>
        <v>Personality</v>
      </c>
      <c r="W276" t="str">
        <f t="shared" si="63"/>
        <v>Interview Preparation</v>
      </c>
      <c r="X276" t="str">
        <f t="shared" si="64"/>
        <v>Improve interview preparation and communication</v>
      </c>
    </row>
    <row r="277" spans="1:24" x14ac:dyDescent="0.3">
      <c r="A277">
        <v>21</v>
      </c>
      <c r="B277">
        <v>1</v>
      </c>
      <c r="C277">
        <v>2</v>
      </c>
      <c r="D277">
        <v>12</v>
      </c>
      <c r="E277">
        <v>4</v>
      </c>
      <c r="F277">
        <v>33.541661078074199</v>
      </c>
      <c r="G277">
        <v>0</v>
      </c>
      <c r="H277">
        <v>5</v>
      </c>
      <c r="I277">
        <v>33</v>
      </c>
      <c r="J277">
        <v>1</v>
      </c>
      <c r="K277">
        <v>0</v>
      </c>
      <c r="L277" t="str">
        <f t="shared" si="52"/>
        <v>C276</v>
      </c>
      <c r="M277" t="str">
        <f t="shared" si="53"/>
        <v>Female</v>
      </c>
      <c r="N277" t="str">
        <f t="shared" si="54"/>
        <v>Bachelor's Type 2</v>
      </c>
      <c r="O277" t="str">
        <f t="shared" si="55"/>
        <v>Senior Level</v>
      </c>
      <c r="P277" t="str">
        <f t="shared" si="56"/>
        <v>Low</v>
      </c>
      <c r="Q277" t="str">
        <f t="shared" si="57"/>
        <v>Beginner</v>
      </c>
      <c r="R277" t="str">
        <f t="shared" si="58"/>
        <v>Needs Improvement</v>
      </c>
      <c r="S277" t="str">
        <f t="shared" si="59"/>
        <v>Not Hired</v>
      </c>
      <c r="T277">
        <f t="shared" si="60"/>
        <v>23</v>
      </c>
      <c r="U277" t="str">
        <f t="shared" si="61"/>
        <v>Needs Improvement</v>
      </c>
      <c r="V277" t="str">
        <f t="shared" si="62"/>
        <v>Personality</v>
      </c>
      <c r="W277" t="str">
        <f t="shared" si="63"/>
        <v>Interview Preparation</v>
      </c>
      <c r="X277" t="str">
        <f t="shared" si="64"/>
        <v>Improve interview preparation and communication</v>
      </c>
    </row>
    <row r="278" spans="1:24" x14ac:dyDescent="0.3">
      <c r="A278">
        <v>22</v>
      </c>
      <c r="B278">
        <v>0</v>
      </c>
      <c r="C278">
        <v>2</v>
      </c>
      <c r="D278">
        <v>10</v>
      </c>
      <c r="E278">
        <v>5</v>
      </c>
      <c r="F278">
        <v>31.7532314928905</v>
      </c>
      <c r="G278">
        <v>82</v>
      </c>
      <c r="H278">
        <v>40</v>
      </c>
      <c r="I278">
        <v>75</v>
      </c>
      <c r="J278">
        <v>3</v>
      </c>
      <c r="K278">
        <v>0</v>
      </c>
      <c r="L278" t="str">
        <f t="shared" si="52"/>
        <v>C277</v>
      </c>
      <c r="M278" t="str">
        <f t="shared" si="53"/>
        <v>Male</v>
      </c>
      <c r="N278" t="str">
        <f t="shared" si="54"/>
        <v>Bachelor's Type 2</v>
      </c>
      <c r="O278" t="str">
        <f t="shared" si="55"/>
        <v>Senior Level</v>
      </c>
      <c r="P278" t="str">
        <f t="shared" si="56"/>
        <v>Strong</v>
      </c>
      <c r="Q278" t="str">
        <f t="shared" si="57"/>
        <v>Beginner</v>
      </c>
      <c r="R278" t="str">
        <f t="shared" si="58"/>
        <v>Strong</v>
      </c>
      <c r="S278" t="str">
        <f t="shared" si="59"/>
        <v>Not Hired</v>
      </c>
      <c r="T278">
        <f t="shared" si="60"/>
        <v>64</v>
      </c>
      <c r="U278" t="str">
        <f t="shared" si="61"/>
        <v>Developing</v>
      </c>
      <c r="V278" t="str">
        <f t="shared" si="62"/>
        <v>Interview</v>
      </c>
      <c r="W278" t="str">
        <f t="shared" si="63"/>
        <v>Technical Skills</v>
      </c>
      <c r="X278" t="str">
        <f t="shared" si="64"/>
        <v>Strengthen technical skills and practical knowledge</v>
      </c>
    </row>
    <row r="279" spans="1:24" x14ac:dyDescent="0.3">
      <c r="A279">
        <v>36</v>
      </c>
      <c r="B279">
        <v>1</v>
      </c>
      <c r="C279">
        <v>4</v>
      </c>
      <c r="D279">
        <v>5</v>
      </c>
      <c r="E279">
        <v>3</v>
      </c>
      <c r="F279">
        <v>9.7836049977955302</v>
      </c>
      <c r="G279">
        <v>1</v>
      </c>
      <c r="H279">
        <v>54</v>
      </c>
      <c r="I279">
        <v>96</v>
      </c>
      <c r="J279">
        <v>1</v>
      </c>
      <c r="K279">
        <v>1</v>
      </c>
      <c r="L279" t="str">
        <f t="shared" si="52"/>
        <v>C278</v>
      </c>
      <c r="M279" t="str">
        <f t="shared" si="53"/>
        <v>Female</v>
      </c>
      <c r="N279" t="str">
        <f t="shared" si="54"/>
        <v>PhD</v>
      </c>
      <c r="O279" t="str">
        <f t="shared" si="55"/>
        <v>Mid Level</v>
      </c>
      <c r="P279" t="str">
        <f t="shared" si="56"/>
        <v>Low</v>
      </c>
      <c r="Q279" t="str">
        <f t="shared" si="57"/>
        <v>Intermediate</v>
      </c>
      <c r="R279" t="str">
        <f t="shared" si="58"/>
        <v>Strong</v>
      </c>
      <c r="S279" t="str">
        <f t="shared" si="59"/>
        <v>Hired</v>
      </c>
      <c r="T279">
        <f t="shared" si="60"/>
        <v>46</v>
      </c>
      <c r="U279" t="str">
        <f t="shared" si="61"/>
        <v>Needs Improvement</v>
      </c>
      <c r="V279" t="str">
        <f t="shared" si="62"/>
        <v>Personality</v>
      </c>
      <c r="W279" t="str">
        <f t="shared" si="63"/>
        <v>Interview Preparation</v>
      </c>
      <c r="X279" t="str">
        <f t="shared" si="64"/>
        <v>Improve interview preparation and communication</v>
      </c>
    </row>
    <row r="280" spans="1:24" x14ac:dyDescent="0.3">
      <c r="A280">
        <v>24</v>
      </c>
      <c r="B280">
        <v>0</v>
      </c>
      <c r="C280">
        <v>4</v>
      </c>
      <c r="D280">
        <v>7</v>
      </c>
      <c r="E280">
        <v>2</v>
      </c>
      <c r="F280">
        <v>26.659494585491402</v>
      </c>
      <c r="G280">
        <v>84</v>
      </c>
      <c r="H280">
        <v>4</v>
      </c>
      <c r="I280">
        <v>23</v>
      </c>
      <c r="J280">
        <v>1</v>
      </c>
      <c r="K280">
        <v>1</v>
      </c>
      <c r="L280" t="str">
        <f t="shared" si="52"/>
        <v>C279</v>
      </c>
      <c r="M280" t="str">
        <f t="shared" si="53"/>
        <v>Male</v>
      </c>
      <c r="N280" t="str">
        <f t="shared" si="54"/>
        <v>PhD</v>
      </c>
      <c r="O280" t="str">
        <f t="shared" si="55"/>
        <v>Senior Level</v>
      </c>
      <c r="P280" t="str">
        <f t="shared" si="56"/>
        <v>Strong</v>
      </c>
      <c r="Q280" t="str">
        <f t="shared" si="57"/>
        <v>Beginner</v>
      </c>
      <c r="R280" t="str">
        <f t="shared" si="58"/>
        <v>Needs Improvement</v>
      </c>
      <c r="S280" t="str">
        <f t="shared" si="59"/>
        <v>Hired</v>
      </c>
      <c r="T280">
        <f t="shared" si="60"/>
        <v>43</v>
      </c>
      <c r="U280" t="str">
        <f t="shared" si="61"/>
        <v>Needs Improvement</v>
      </c>
      <c r="V280" t="str">
        <f t="shared" si="62"/>
        <v>Interview</v>
      </c>
      <c r="W280" t="str">
        <f t="shared" si="63"/>
        <v>Technical Skills</v>
      </c>
      <c r="X280" t="str">
        <f t="shared" si="64"/>
        <v>Strengthen technical skills and practical knowledge</v>
      </c>
    </row>
    <row r="281" spans="1:24" x14ac:dyDescent="0.3">
      <c r="A281">
        <v>36</v>
      </c>
      <c r="B281">
        <v>1</v>
      </c>
      <c r="C281">
        <v>4</v>
      </c>
      <c r="D281">
        <v>3</v>
      </c>
      <c r="E281">
        <v>5</v>
      </c>
      <c r="F281">
        <v>36.769050858932701</v>
      </c>
      <c r="G281">
        <v>19</v>
      </c>
      <c r="H281">
        <v>58</v>
      </c>
      <c r="I281">
        <v>19</v>
      </c>
      <c r="J281">
        <v>1</v>
      </c>
      <c r="K281">
        <v>1</v>
      </c>
      <c r="L281" t="str">
        <f t="shared" si="52"/>
        <v>C280</v>
      </c>
      <c r="M281" t="str">
        <f t="shared" si="53"/>
        <v>Female</v>
      </c>
      <c r="N281" t="str">
        <f t="shared" si="54"/>
        <v>PhD</v>
      </c>
      <c r="O281" t="str">
        <f t="shared" si="55"/>
        <v>Mid Level</v>
      </c>
      <c r="P281" t="str">
        <f t="shared" si="56"/>
        <v>Low</v>
      </c>
      <c r="Q281" t="str">
        <f t="shared" si="57"/>
        <v>Intermediate</v>
      </c>
      <c r="R281" t="str">
        <f t="shared" si="58"/>
        <v>Needs Improvement</v>
      </c>
      <c r="S281" t="str">
        <f t="shared" si="59"/>
        <v>Hired</v>
      </c>
      <c r="T281">
        <f t="shared" si="60"/>
        <v>35</v>
      </c>
      <c r="U281" t="str">
        <f t="shared" si="61"/>
        <v>Needs Improvement</v>
      </c>
      <c r="V281" t="str">
        <f t="shared" si="62"/>
        <v>Technical Skills</v>
      </c>
      <c r="W281" t="str">
        <f t="shared" si="63"/>
        <v>Interview Preparation</v>
      </c>
      <c r="X281" t="str">
        <f t="shared" si="64"/>
        <v>Improve interview preparation and communication</v>
      </c>
    </row>
    <row r="282" spans="1:24" x14ac:dyDescent="0.3">
      <c r="A282">
        <v>43</v>
      </c>
      <c r="B282">
        <v>0</v>
      </c>
      <c r="C282">
        <v>3</v>
      </c>
      <c r="D282">
        <v>11</v>
      </c>
      <c r="E282">
        <v>3</v>
      </c>
      <c r="F282">
        <v>49.663044151524502</v>
      </c>
      <c r="G282">
        <v>60</v>
      </c>
      <c r="H282">
        <v>79</v>
      </c>
      <c r="I282">
        <v>68</v>
      </c>
      <c r="J282">
        <v>3</v>
      </c>
      <c r="K282">
        <v>1</v>
      </c>
      <c r="L282" t="str">
        <f t="shared" si="52"/>
        <v>C281</v>
      </c>
      <c r="M282" t="str">
        <f t="shared" si="53"/>
        <v>Male</v>
      </c>
      <c r="N282" t="str">
        <f t="shared" si="54"/>
        <v>Master's</v>
      </c>
      <c r="O282" t="str">
        <f t="shared" si="55"/>
        <v>Senior Level</v>
      </c>
      <c r="P282" t="str">
        <f t="shared" si="56"/>
        <v>Average</v>
      </c>
      <c r="Q282" t="str">
        <f t="shared" si="57"/>
        <v>Advanced</v>
      </c>
      <c r="R282" t="str">
        <f t="shared" si="58"/>
        <v>Good</v>
      </c>
      <c r="S282" t="str">
        <f t="shared" si="59"/>
        <v>Hired</v>
      </c>
      <c r="T282">
        <f t="shared" si="60"/>
        <v>70</v>
      </c>
      <c r="U282" t="str">
        <f t="shared" si="61"/>
        <v>Developing</v>
      </c>
      <c r="V282" t="str">
        <f t="shared" si="62"/>
        <v>Technical Skills</v>
      </c>
      <c r="W282" t="str">
        <f t="shared" si="63"/>
        <v>Interview Preparation</v>
      </c>
      <c r="X282" t="str">
        <f t="shared" si="64"/>
        <v>Improve interview preparation and communication</v>
      </c>
    </row>
    <row r="283" spans="1:24" x14ac:dyDescent="0.3">
      <c r="A283">
        <v>36</v>
      </c>
      <c r="B283">
        <v>1</v>
      </c>
      <c r="C283">
        <v>2</v>
      </c>
      <c r="D283">
        <v>14</v>
      </c>
      <c r="E283">
        <v>5</v>
      </c>
      <c r="F283">
        <v>11.070315460667601</v>
      </c>
      <c r="G283">
        <v>86</v>
      </c>
      <c r="H283">
        <v>17</v>
      </c>
      <c r="I283">
        <v>29</v>
      </c>
      <c r="J283">
        <v>2</v>
      </c>
      <c r="K283">
        <v>0</v>
      </c>
      <c r="L283" t="str">
        <f t="shared" si="52"/>
        <v>C282</v>
      </c>
      <c r="M283" t="str">
        <f t="shared" si="53"/>
        <v>Female</v>
      </c>
      <c r="N283" t="str">
        <f t="shared" si="54"/>
        <v>Bachelor's Type 2</v>
      </c>
      <c r="O283" t="str">
        <f t="shared" si="55"/>
        <v>Senior Level</v>
      </c>
      <c r="P283" t="str">
        <f t="shared" si="56"/>
        <v>Strong</v>
      </c>
      <c r="Q283" t="str">
        <f t="shared" si="57"/>
        <v>Beginner</v>
      </c>
      <c r="R283" t="str">
        <f t="shared" si="58"/>
        <v>Needs Improvement</v>
      </c>
      <c r="S283" t="str">
        <f t="shared" si="59"/>
        <v>Not Hired</v>
      </c>
      <c r="T283">
        <f t="shared" si="60"/>
        <v>53</v>
      </c>
      <c r="U283" t="str">
        <f t="shared" si="61"/>
        <v>Developing</v>
      </c>
      <c r="V283" t="str">
        <f t="shared" si="62"/>
        <v>Interview</v>
      </c>
      <c r="W283" t="str">
        <f t="shared" si="63"/>
        <v>Technical Skills</v>
      </c>
      <c r="X283" t="str">
        <f t="shared" si="64"/>
        <v>Strengthen technical skills and practical knowledge</v>
      </c>
    </row>
    <row r="284" spans="1:24" x14ac:dyDescent="0.3">
      <c r="A284">
        <v>46</v>
      </c>
      <c r="B284">
        <v>1</v>
      </c>
      <c r="C284">
        <v>2</v>
      </c>
      <c r="D284">
        <v>0</v>
      </c>
      <c r="E284">
        <v>4</v>
      </c>
      <c r="F284">
        <v>1.47716765336133</v>
      </c>
      <c r="G284">
        <v>20</v>
      </c>
      <c r="H284">
        <v>48</v>
      </c>
      <c r="I284">
        <v>87</v>
      </c>
      <c r="J284">
        <v>2</v>
      </c>
      <c r="K284">
        <v>0</v>
      </c>
      <c r="L284" t="str">
        <f t="shared" si="52"/>
        <v>C283</v>
      </c>
      <c r="M284" t="str">
        <f t="shared" si="53"/>
        <v>Female</v>
      </c>
      <c r="N284" t="str">
        <f t="shared" si="54"/>
        <v>Bachelor's Type 2</v>
      </c>
      <c r="O284" t="str">
        <f t="shared" si="55"/>
        <v>Entry Level</v>
      </c>
      <c r="P284" t="str">
        <f t="shared" si="56"/>
        <v>Low</v>
      </c>
      <c r="Q284" t="str">
        <f t="shared" si="57"/>
        <v>Beginner</v>
      </c>
      <c r="R284" t="str">
        <f t="shared" si="58"/>
        <v>Strong</v>
      </c>
      <c r="S284" t="str">
        <f t="shared" si="59"/>
        <v>Not Hired</v>
      </c>
      <c r="T284">
        <f t="shared" si="60"/>
        <v>40</v>
      </c>
      <c r="U284" t="str">
        <f t="shared" si="61"/>
        <v>Needs Improvement</v>
      </c>
      <c r="V284" t="str">
        <f t="shared" si="62"/>
        <v>Personality</v>
      </c>
      <c r="W284" t="str">
        <f t="shared" si="63"/>
        <v>Interview Preparation</v>
      </c>
      <c r="X284" t="str">
        <f t="shared" si="64"/>
        <v>Improve interview preparation and communication</v>
      </c>
    </row>
    <row r="285" spans="1:24" x14ac:dyDescent="0.3">
      <c r="A285">
        <v>36</v>
      </c>
      <c r="B285">
        <v>1</v>
      </c>
      <c r="C285">
        <v>2</v>
      </c>
      <c r="D285">
        <v>6</v>
      </c>
      <c r="E285">
        <v>4</v>
      </c>
      <c r="F285">
        <v>4.76507167992348</v>
      </c>
      <c r="G285">
        <v>87</v>
      </c>
      <c r="H285">
        <v>81</v>
      </c>
      <c r="I285">
        <v>6</v>
      </c>
      <c r="J285">
        <v>1</v>
      </c>
      <c r="K285">
        <v>1</v>
      </c>
      <c r="L285" t="str">
        <f t="shared" si="52"/>
        <v>C284</v>
      </c>
      <c r="M285" t="str">
        <f t="shared" si="53"/>
        <v>Female</v>
      </c>
      <c r="N285" t="str">
        <f t="shared" si="54"/>
        <v>Bachelor's Type 2</v>
      </c>
      <c r="O285" t="str">
        <f t="shared" si="55"/>
        <v>Mid Level</v>
      </c>
      <c r="P285" t="str">
        <f t="shared" si="56"/>
        <v>Strong</v>
      </c>
      <c r="Q285" t="str">
        <f t="shared" si="57"/>
        <v>Advanced</v>
      </c>
      <c r="R285" t="str">
        <f t="shared" si="58"/>
        <v>Needs Improvement</v>
      </c>
      <c r="S285" t="str">
        <f t="shared" si="59"/>
        <v>Hired</v>
      </c>
      <c r="T285">
        <f t="shared" si="60"/>
        <v>60</v>
      </c>
      <c r="U285" t="str">
        <f t="shared" si="61"/>
        <v>Developing</v>
      </c>
      <c r="V285" t="str">
        <f t="shared" si="62"/>
        <v>Interview</v>
      </c>
      <c r="W285" t="str">
        <f t="shared" si="63"/>
        <v>Personality &amp; Communication</v>
      </c>
      <c r="X285" t="str">
        <f t="shared" si="64"/>
        <v>Work on communication and personality development</v>
      </c>
    </row>
    <row r="286" spans="1:24" x14ac:dyDescent="0.3">
      <c r="A286">
        <v>21</v>
      </c>
      <c r="B286">
        <v>1</v>
      </c>
      <c r="C286">
        <v>3</v>
      </c>
      <c r="D286">
        <v>2</v>
      </c>
      <c r="E286">
        <v>4</v>
      </c>
      <c r="F286">
        <v>19.7926232590989</v>
      </c>
      <c r="G286">
        <v>67</v>
      </c>
      <c r="H286">
        <v>64</v>
      </c>
      <c r="I286">
        <v>35</v>
      </c>
      <c r="J286">
        <v>2</v>
      </c>
      <c r="K286">
        <v>0</v>
      </c>
      <c r="L286" t="str">
        <f t="shared" si="52"/>
        <v>C285</v>
      </c>
      <c r="M286" t="str">
        <f t="shared" si="53"/>
        <v>Female</v>
      </c>
      <c r="N286" t="str">
        <f t="shared" si="54"/>
        <v>Master's</v>
      </c>
      <c r="O286" t="str">
        <f t="shared" si="55"/>
        <v>Entry Level</v>
      </c>
      <c r="P286" t="str">
        <f t="shared" si="56"/>
        <v>Average</v>
      </c>
      <c r="Q286" t="str">
        <f t="shared" si="57"/>
        <v>Intermediate</v>
      </c>
      <c r="R286" t="str">
        <f t="shared" si="58"/>
        <v>Needs Improvement</v>
      </c>
      <c r="S286" t="str">
        <f t="shared" si="59"/>
        <v>Not Hired</v>
      </c>
      <c r="T286">
        <f t="shared" si="60"/>
        <v>52</v>
      </c>
      <c r="U286" t="str">
        <f t="shared" si="61"/>
        <v>Developing</v>
      </c>
      <c r="V286" t="str">
        <f t="shared" si="62"/>
        <v>Interview</v>
      </c>
      <c r="W286" t="str">
        <f t="shared" si="63"/>
        <v>Personality &amp; Communication</v>
      </c>
      <c r="X286" t="str">
        <f t="shared" si="64"/>
        <v>Work on communication and personality development</v>
      </c>
    </row>
    <row r="287" spans="1:24" x14ac:dyDescent="0.3">
      <c r="A287">
        <v>21</v>
      </c>
      <c r="B287">
        <v>1</v>
      </c>
      <c r="C287">
        <v>1</v>
      </c>
      <c r="D287">
        <v>13</v>
      </c>
      <c r="E287">
        <v>4</v>
      </c>
      <c r="F287">
        <v>42.0272323872993</v>
      </c>
      <c r="G287">
        <v>11</v>
      </c>
      <c r="H287">
        <v>82</v>
      </c>
      <c r="I287">
        <v>37</v>
      </c>
      <c r="J287">
        <v>2</v>
      </c>
      <c r="K287">
        <v>0</v>
      </c>
      <c r="L287" t="str">
        <f t="shared" si="52"/>
        <v>C286</v>
      </c>
      <c r="M287" t="str">
        <f t="shared" si="53"/>
        <v>Female</v>
      </c>
      <c r="N287" t="str">
        <f t="shared" si="54"/>
        <v>Bachelor's Type 1</v>
      </c>
      <c r="O287" t="str">
        <f t="shared" si="55"/>
        <v>Senior Level</v>
      </c>
      <c r="P287" t="str">
        <f t="shared" si="56"/>
        <v>Low</v>
      </c>
      <c r="Q287" t="str">
        <f t="shared" si="57"/>
        <v>Advanced</v>
      </c>
      <c r="R287" t="str">
        <f t="shared" si="58"/>
        <v>Needs Improvement</v>
      </c>
      <c r="S287" t="str">
        <f t="shared" si="59"/>
        <v>Not Hired</v>
      </c>
      <c r="T287">
        <f t="shared" si="60"/>
        <v>51</v>
      </c>
      <c r="U287" t="str">
        <f t="shared" si="61"/>
        <v>Developing</v>
      </c>
      <c r="V287" t="str">
        <f t="shared" si="62"/>
        <v>Technical Skills</v>
      </c>
      <c r="W287" t="str">
        <f t="shared" si="63"/>
        <v>Interview Preparation</v>
      </c>
      <c r="X287" t="str">
        <f t="shared" si="64"/>
        <v>Improve interview preparation and communication</v>
      </c>
    </row>
    <row r="288" spans="1:24" x14ac:dyDescent="0.3">
      <c r="A288">
        <v>47</v>
      </c>
      <c r="B288">
        <v>0</v>
      </c>
      <c r="C288">
        <v>2</v>
      </c>
      <c r="D288">
        <v>5</v>
      </c>
      <c r="E288">
        <v>1</v>
      </c>
      <c r="F288">
        <v>1.3571040884122501</v>
      </c>
      <c r="G288">
        <v>21</v>
      </c>
      <c r="H288">
        <v>53</v>
      </c>
      <c r="I288">
        <v>79</v>
      </c>
      <c r="J288">
        <v>3</v>
      </c>
      <c r="K288">
        <v>0</v>
      </c>
      <c r="L288" t="str">
        <f t="shared" si="52"/>
        <v>C287</v>
      </c>
      <c r="M288" t="str">
        <f t="shared" si="53"/>
        <v>Male</v>
      </c>
      <c r="N288" t="str">
        <f t="shared" si="54"/>
        <v>Bachelor's Type 2</v>
      </c>
      <c r="O288" t="str">
        <f t="shared" si="55"/>
        <v>Mid Level</v>
      </c>
      <c r="P288" t="str">
        <f t="shared" si="56"/>
        <v>Low</v>
      </c>
      <c r="Q288" t="str">
        <f t="shared" si="57"/>
        <v>Intermediate</v>
      </c>
      <c r="R288" t="str">
        <f t="shared" si="58"/>
        <v>Strong</v>
      </c>
      <c r="S288" t="str">
        <f t="shared" si="59"/>
        <v>Not Hired</v>
      </c>
      <c r="T288">
        <f t="shared" si="60"/>
        <v>46</v>
      </c>
      <c r="U288" t="str">
        <f t="shared" si="61"/>
        <v>Needs Improvement</v>
      </c>
      <c r="V288" t="str">
        <f t="shared" si="62"/>
        <v>Personality</v>
      </c>
      <c r="W288" t="str">
        <f t="shared" si="63"/>
        <v>Interview Preparation</v>
      </c>
      <c r="X288" t="str">
        <f t="shared" si="64"/>
        <v>Improve interview preparation and communication</v>
      </c>
    </row>
    <row r="289" spans="1:24" x14ac:dyDescent="0.3">
      <c r="A289">
        <v>41</v>
      </c>
      <c r="B289">
        <v>1</v>
      </c>
      <c r="C289">
        <v>1</v>
      </c>
      <c r="D289">
        <v>1</v>
      </c>
      <c r="E289">
        <v>3</v>
      </c>
      <c r="F289">
        <v>23.836529644292</v>
      </c>
      <c r="G289">
        <v>19</v>
      </c>
      <c r="H289">
        <v>60</v>
      </c>
      <c r="I289">
        <v>51</v>
      </c>
      <c r="J289">
        <v>1</v>
      </c>
      <c r="K289">
        <v>0</v>
      </c>
      <c r="L289" t="str">
        <f t="shared" si="52"/>
        <v>C288</v>
      </c>
      <c r="M289" t="str">
        <f t="shared" si="53"/>
        <v>Female</v>
      </c>
      <c r="N289" t="str">
        <f t="shared" si="54"/>
        <v>Bachelor's Type 1</v>
      </c>
      <c r="O289" t="str">
        <f t="shared" si="55"/>
        <v>Entry Level</v>
      </c>
      <c r="P289" t="str">
        <f t="shared" si="56"/>
        <v>Low</v>
      </c>
      <c r="Q289" t="str">
        <f t="shared" si="57"/>
        <v>Intermediate</v>
      </c>
      <c r="R289" t="str">
        <f t="shared" si="58"/>
        <v>Good</v>
      </c>
      <c r="S289" t="str">
        <f t="shared" si="59"/>
        <v>Not Hired</v>
      </c>
      <c r="T289">
        <f t="shared" si="60"/>
        <v>37</v>
      </c>
      <c r="U289" t="str">
        <f t="shared" si="61"/>
        <v>Needs Improvement</v>
      </c>
      <c r="V289" t="str">
        <f t="shared" si="62"/>
        <v>Technical Skills</v>
      </c>
      <c r="W289" t="str">
        <f t="shared" si="63"/>
        <v>Interview Preparation</v>
      </c>
      <c r="X289" t="str">
        <f t="shared" si="64"/>
        <v>Improve interview preparation and communication</v>
      </c>
    </row>
    <row r="290" spans="1:24" x14ac:dyDescent="0.3">
      <c r="A290">
        <v>42</v>
      </c>
      <c r="B290">
        <v>1</v>
      </c>
      <c r="C290">
        <v>2</v>
      </c>
      <c r="D290">
        <v>8</v>
      </c>
      <c r="E290">
        <v>3</v>
      </c>
      <c r="F290">
        <v>17.4615307670697</v>
      </c>
      <c r="G290">
        <v>81</v>
      </c>
      <c r="H290">
        <v>7</v>
      </c>
      <c r="I290">
        <v>14</v>
      </c>
      <c r="J290">
        <v>1</v>
      </c>
      <c r="K290">
        <v>1</v>
      </c>
      <c r="L290" t="str">
        <f t="shared" si="52"/>
        <v>C289</v>
      </c>
      <c r="M290" t="str">
        <f t="shared" si="53"/>
        <v>Female</v>
      </c>
      <c r="N290" t="str">
        <f t="shared" si="54"/>
        <v>Bachelor's Type 2</v>
      </c>
      <c r="O290" t="str">
        <f t="shared" si="55"/>
        <v>Senior Level</v>
      </c>
      <c r="P290" t="str">
        <f t="shared" si="56"/>
        <v>Strong</v>
      </c>
      <c r="Q290" t="str">
        <f t="shared" si="57"/>
        <v>Beginner</v>
      </c>
      <c r="R290" t="str">
        <f t="shared" si="58"/>
        <v>Needs Improvement</v>
      </c>
      <c r="S290" t="str">
        <f t="shared" si="59"/>
        <v>Hired</v>
      </c>
      <c r="T290">
        <f t="shared" si="60"/>
        <v>40</v>
      </c>
      <c r="U290" t="str">
        <f t="shared" si="61"/>
        <v>Needs Improvement</v>
      </c>
      <c r="V290" t="str">
        <f t="shared" si="62"/>
        <v>Interview</v>
      </c>
      <c r="W290" t="str">
        <f t="shared" si="63"/>
        <v>Technical Skills</v>
      </c>
      <c r="X290" t="str">
        <f t="shared" si="64"/>
        <v>Strengthen technical skills and practical knowledge</v>
      </c>
    </row>
    <row r="291" spans="1:24" x14ac:dyDescent="0.3">
      <c r="A291">
        <v>24</v>
      </c>
      <c r="B291">
        <v>1</v>
      </c>
      <c r="C291">
        <v>3</v>
      </c>
      <c r="D291">
        <v>0</v>
      </c>
      <c r="E291">
        <v>4</v>
      </c>
      <c r="F291">
        <v>3.6240855049863701</v>
      </c>
      <c r="G291">
        <v>0</v>
      </c>
      <c r="H291">
        <v>2</v>
      </c>
      <c r="I291">
        <v>45</v>
      </c>
      <c r="J291">
        <v>1</v>
      </c>
      <c r="K291">
        <v>0</v>
      </c>
      <c r="L291" t="str">
        <f t="shared" si="52"/>
        <v>C290</v>
      </c>
      <c r="M291" t="str">
        <f t="shared" si="53"/>
        <v>Female</v>
      </c>
      <c r="N291" t="str">
        <f t="shared" si="54"/>
        <v>Master's</v>
      </c>
      <c r="O291" t="str">
        <f t="shared" si="55"/>
        <v>Entry Level</v>
      </c>
      <c r="P291" t="str">
        <f t="shared" si="56"/>
        <v>Low</v>
      </c>
      <c r="Q291" t="str">
        <f t="shared" si="57"/>
        <v>Beginner</v>
      </c>
      <c r="R291" t="str">
        <f t="shared" si="58"/>
        <v>Needs Improvement</v>
      </c>
      <c r="S291" t="str">
        <f t="shared" si="59"/>
        <v>Not Hired</v>
      </c>
      <c r="T291">
        <f t="shared" si="60"/>
        <v>13</v>
      </c>
      <c r="U291" t="str">
        <f t="shared" si="61"/>
        <v>Needs Improvement</v>
      </c>
      <c r="V291" t="str">
        <f t="shared" si="62"/>
        <v>Personality</v>
      </c>
      <c r="W291" t="str">
        <f t="shared" si="63"/>
        <v>Interview Preparation</v>
      </c>
      <c r="X291" t="str">
        <f t="shared" si="64"/>
        <v>Improve interview preparation and communication</v>
      </c>
    </row>
    <row r="292" spans="1:24" x14ac:dyDescent="0.3">
      <c r="A292">
        <v>20</v>
      </c>
      <c r="B292">
        <v>0</v>
      </c>
      <c r="C292">
        <v>3</v>
      </c>
      <c r="D292">
        <v>5</v>
      </c>
      <c r="E292">
        <v>1</v>
      </c>
      <c r="F292">
        <v>23.511814333630799</v>
      </c>
      <c r="G292">
        <v>29</v>
      </c>
      <c r="H292">
        <v>24</v>
      </c>
      <c r="I292">
        <v>22</v>
      </c>
      <c r="J292">
        <v>3</v>
      </c>
      <c r="K292">
        <v>0</v>
      </c>
      <c r="L292" t="str">
        <f t="shared" si="52"/>
        <v>C291</v>
      </c>
      <c r="M292" t="str">
        <f t="shared" si="53"/>
        <v>Male</v>
      </c>
      <c r="N292" t="str">
        <f t="shared" si="54"/>
        <v>Master's</v>
      </c>
      <c r="O292" t="str">
        <f t="shared" si="55"/>
        <v>Mid Level</v>
      </c>
      <c r="P292" t="str">
        <f t="shared" si="56"/>
        <v>Low</v>
      </c>
      <c r="Q292" t="str">
        <f t="shared" si="57"/>
        <v>Beginner</v>
      </c>
      <c r="R292" t="str">
        <f t="shared" si="58"/>
        <v>Needs Improvement</v>
      </c>
      <c r="S292" t="str">
        <f t="shared" si="59"/>
        <v>Not Hired</v>
      </c>
      <c r="T292">
        <f t="shared" si="60"/>
        <v>29</v>
      </c>
      <c r="U292" t="str">
        <f t="shared" si="61"/>
        <v>Needs Improvement</v>
      </c>
      <c r="V292" t="str">
        <f t="shared" si="62"/>
        <v>Interview</v>
      </c>
      <c r="W292" t="str">
        <f t="shared" si="63"/>
        <v>Personality &amp; Communication</v>
      </c>
      <c r="X292" t="str">
        <f t="shared" si="64"/>
        <v>Work on communication and personality development</v>
      </c>
    </row>
    <row r="293" spans="1:24" x14ac:dyDescent="0.3">
      <c r="A293">
        <v>20</v>
      </c>
      <c r="B293">
        <v>1</v>
      </c>
      <c r="C293">
        <v>2</v>
      </c>
      <c r="D293">
        <v>5</v>
      </c>
      <c r="E293">
        <v>4</v>
      </c>
      <c r="F293">
        <v>13.7374353668359</v>
      </c>
      <c r="G293">
        <v>96</v>
      </c>
      <c r="H293">
        <v>68</v>
      </c>
      <c r="I293">
        <v>11</v>
      </c>
      <c r="J293">
        <v>2</v>
      </c>
      <c r="K293">
        <v>0</v>
      </c>
      <c r="L293" t="str">
        <f t="shared" si="52"/>
        <v>C292</v>
      </c>
      <c r="M293" t="str">
        <f t="shared" si="53"/>
        <v>Female</v>
      </c>
      <c r="N293" t="str">
        <f t="shared" si="54"/>
        <v>Bachelor's Type 2</v>
      </c>
      <c r="O293" t="str">
        <f t="shared" si="55"/>
        <v>Mid Level</v>
      </c>
      <c r="P293" t="str">
        <f t="shared" si="56"/>
        <v>Strong</v>
      </c>
      <c r="Q293" t="str">
        <f t="shared" si="57"/>
        <v>Intermediate</v>
      </c>
      <c r="R293" t="str">
        <f t="shared" si="58"/>
        <v>Needs Improvement</v>
      </c>
      <c r="S293" t="str">
        <f t="shared" si="59"/>
        <v>Not Hired</v>
      </c>
      <c r="T293">
        <f t="shared" si="60"/>
        <v>59</v>
      </c>
      <c r="U293" t="str">
        <f t="shared" si="61"/>
        <v>Developing</v>
      </c>
      <c r="V293" t="str">
        <f t="shared" si="62"/>
        <v>Interview</v>
      </c>
      <c r="W293" t="str">
        <f t="shared" si="63"/>
        <v>Personality &amp; Communication</v>
      </c>
      <c r="X293" t="str">
        <f t="shared" si="64"/>
        <v>Work on communication and personality development</v>
      </c>
    </row>
    <row r="294" spans="1:24" x14ac:dyDescent="0.3">
      <c r="A294">
        <v>38</v>
      </c>
      <c r="B294">
        <v>0</v>
      </c>
      <c r="C294">
        <v>4</v>
      </c>
      <c r="D294">
        <v>4</v>
      </c>
      <c r="E294">
        <v>1</v>
      </c>
      <c r="F294">
        <v>18.5942417173503</v>
      </c>
      <c r="G294">
        <v>23</v>
      </c>
      <c r="H294">
        <v>54</v>
      </c>
      <c r="I294">
        <v>92</v>
      </c>
      <c r="J294">
        <v>2</v>
      </c>
      <c r="K294">
        <v>0</v>
      </c>
      <c r="L294" t="str">
        <f t="shared" si="52"/>
        <v>C293</v>
      </c>
      <c r="M294" t="str">
        <f t="shared" si="53"/>
        <v>Male</v>
      </c>
      <c r="N294" t="str">
        <f t="shared" si="54"/>
        <v>PhD</v>
      </c>
      <c r="O294" t="str">
        <f t="shared" si="55"/>
        <v>Mid Level</v>
      </c>
      <c r="P294" t="str">
        <f t="shared" si="56"/>
        <v>Low</v>
      </c>
      <c r="Q294" t="str">
        <f t="shared" si="57"/>
        <v>Intermediate</v>
      </c>
      <c r="R294" t="str">
        <f t="shared" si="58"/>
        <v>Strong</v>
      </c>
      <c r="S294" t="str">
        <f t="shared" si="59"/>
        <v>Not Hired</v>
      </c>
      <c r="T294">
        <f t="shared" si="60"/>
        <v>51</v>
      </c>
      <c r="U294" t="str">
        <f t="shared" si="61"/>
        <v>Developing</v>
      </c>
      <c r="V294" t="str">
        <f t="shared" si="62"/>
        <v>Personality</v>
      </c>
      <c r="W294" t="str">
        <f t="shared" si="63"/>
        <v>Interview Preparation</v>
      </c>
      <c r="X294" t="str">
        <f t="shared" si="64"/>
        <v>Improve interview preparation and communication</v>
      </c>
    </row>
    <row r="295" spans="1:24" x14ac:dyDescent="0.3">
      <c r="A295">
        <v>49</v>
      </c>
      <c r="B295">
        <v>1</v>
      </c>
      <c r="C295">
        <v>2</v>
      </c>
      <c r="D295">
        <v>15</v>
      </c>
      <c r="E295">
        <v>4</v>
      </c>
      <c r="F295">
        <v>36.280765239214603</v>
      </c>
      <c r="G295">
        <v>13</v>
      </c>
      <c r="H295">
        <v>39</v>
      </c>
      <c r="I295">
        <v>43</v>
      </c>
      <c r="J295">
        <v>2</v>
      </c>
      <c r="K295">
        <v>0</v>
      </c>
      <c r="L295" t="str">
        <f t="shared" si="52"/>
        <v>C294</v>
      </c>
      <c r="M295" t="str">
        <f t="shared" si="53"/>
        <v>Female</v>
      </c>
      <c r="N295" t="str">
        <f t="shared" si="54"/>
        <v>Bachelor's Type 2</v>
      </c>
      <c r="O295" t="str">
        <f t="shared" si="55"/>
        <v>Senior Level</v>
      </c>
      <c r="P295" t="str">
        <f t="shared" si="56"/>
        <v>Low</v>
      </c>
      <c r="Q295" t="str">
        <f t="shared" si="57"/>
        <v>Beginner</v>
      </c>
      <c r="R295" t="str">
        <f t="shared" si="58"/>
        <v>Needs Improvement</v>
      </c>
      <c r="S295" t="str">
        <f t="shared" si="59"/>
        <v>Not Hired</v>
      </c>
      <c r="T295">
        <f t="shared" si="60"/>
        <v>42</v>
      </c>
      <c r="U295" t="str">
        <f t="shared" si="61"/>
        <v>Needs Improvement</v>
      </c>
      <c r="V295" t="str">
        <f t="shared" si="62"/>
        <v>Personality</v>
      </c>
      <c r="W295" t="str">
        <f t="shared" si="63"/>
        <v>Interview Preparation</v>
      </c>
      <c r="X295" t="str">
        <f t="shared" si="64"/>
        <v>Improve interview preparation and communication</v>
      </c>
    </row>
    <row r="296" spans="1:24" x14ac:dyDescent="0.3">
      <c r="A296">
        <v>21</v>
      </c>
      <c r="B296">
        <v>1</v>
      </c>
      <c r="C296">
        <v>1</v>
      </c>
      <c r="D296">
        <v>12</v>
      </c>
      <c r="E296">
        <v>2</v>
      </c>
      <c r="F296">
        <v>27.077549195548301</v>
      </c>
      <c r="G296">
        <v>35</v>
      </c>
      <c r="H296">
        <v>82</v>
      </c>
      <c r="I296">
        <v>14</v>
      </c>
      <c r="J296">
        <v>3</v>
      </c>
      <c r="K296">
        <v>0</v>
      </c>
      <c r="L296" t="str">
        <f t="shared" si="52"/>
        <v>C295</v>
      </c>
      <c r="M296" t="str">
        <f t="shared" si="53"/>
        <v>Female</v>
      </c>
      <c r="N296" t="str">
        <f t="shared" si="54"/>
        <v>Bachelor's Type 1</v>
      </c>
      <c r="O296" t="str">
        <f t="shared" si="55"/>
        <v>Senior Level</v>
      </c>
      <c r="P296" t="str">
        <f t="shared" si="56"/>
        <v>Low</v>
      </c>
      <c r="Q296" t="str">
        <f t="shared" si="57"/>
        <v>Advanced</v>
      </c>
      <c r="R296" t="str">
        <f t="shared" si="58"/>
        <v>Needs Improvement</v>
      </c>
      <c r="S296" t="str">
        <f t="shared" si="59"/>
        <v>Not Hired</v>
      </c>
      <c r="T296">
        <f t="shared" si="60"/>
        <v>52</v>
      </c>
      <c r="U296" t="str">
        <f t="shared" si="61"/>
        <v>Developing</v>
      </c>
      <c r="V296" t="str">
        <f t="shared" si="62"/>
        <v>Technical Skills</v>
      </c>
      <c r="W296" t="str">
        <f t="shared" si="63"/>
        <v>Personality &amp; Communication</v>
      </c>
      <c r="X296" t="str">
        <f t="shared" si="64"/>
        <v>Work on communication and personality development</v>
      </c>
    </row>
    <row r="297" spans="1:24" x14ac:dyDescent="0.3">
      <c r="A297">
        <v>40</v>
      </c>
      <c r="B297">
        <v>0</v>
      </c>
      <c r="C297">
        <v>2</v>
      </c>
      <c r="D297">
        <v>4</v>
      </c>
      <c r="E297">
        <v>2</v>
      </c>
      <c r="F297">
        <v>7.2323714496406604</v>
      </c>
      <c r="G297">
        <v>68</v>
      </c>
      <c r="H297">
        <v>81</v>
      </c>
      <c r="I297">
        <v>92</v>
      </c>
      <c r="J297">
        <v>3</v>
      </c>
      <c r="K297">
        <v>0</v>
      </c>
      <c r="L297" t="str">
        <f t="shared" si="52"/>
        <v>C296</v>
      </c>
      <c r="M297" t="str">
        <f t="shared" si="53"/>
        <v>Male</v>
      </c>
      <c r="N297" t="str">
        <f t="shared" si="54"/>
        <v>Bachelor's Type 2</v>
      </c>
      <c r="O297" t="str">
        <f t="shared" si="55"/>
        <v>Mid Level</v>
      </c>
      <c r="P297" t="str">
        <f t="shared" si="56"/>
        <v>Average</v>
      </c>
      <c r="Q297" t="str">
        <f t="shared" si="57"/>
        <v>Advanced</v>
      </c>
      <c r="R297" t="str">
        <f t="shared" si="58"/>
        <v>Strong</v>
      </c>
      <c r="S297" t="str">
        <f t="shared" si="59"/>
        <v>Not Hired</v>
      </c>
      <c r="T297">
        <f t="shared" si="60"/>
        <v>70</v>
      </c>
      <c r="U297" t="str">
        <f t="shared" si="61"/>
        <v>Developing</v>
      </c>
      <c r="V297" t="str">
        <f t="shared" si="62"/>
        <v>Personality</v>
      </c>
      <c r="W297" t="str">
        <f t="shared" si="63"/>
        <v>Interview Preparation</v>
      </c>
      <c r="X297" t="str">
        <f t="shared" si="64"/>
        <v>Improve interview preparation and communication</v>
      </c>
    </row>
    <row r="298" spans="1:24" x14ac:dyDescent="0.3">
      <c r="A298">
        <v>31</v>
      </c>
      <c r="B298">
        <v>1</v>
      </c>
      <c r="C298">
        <v>2</v>
      </c>
      <c r="D298">
        <v>0</v>
      </c>
      <c r="E298">
        <v>5</v>
      </c>
      <c r="F298">
        <v>49.070727021181902</v>
      </c>
      <c r="G298">
        <v>74</v>
      </c>
      <c r="H298">
        <v>49</v>
      </c>
      <c r="I298">
        <v>48</v>
      </c>
      <c r="J298">
        <v>2</v>
      </c>
      <c r="K298">
        <v>0</v>
      </c>
      <c r="L298" t="str">
        <f t="shared" si="52"/>
        <v>C297</v>
      </c>
      <c r="M298" t="str">
        <f t="shared" si="53"/>
        <v>Female</v>
      </c>
      <c r="N298" t="str">
        <f t="shared" si="54"/>
        <v>Bachelor's Type 2</v>
      </c>
      <c r="O298" t="str">
        <f t="shared" si="55"/>
        <v>Entry Level</v>
      </c>
      <c r="P298" t="str">
        <f t="shared" si="56"/>
        <v>Average</v>
      </c>
      <c r="Q298" t="str">
        <f t="shared" si="57"/>
        <v>Beginner</v>
      </c>
      <c r="R298" t="str">
        <f t="shared" si="58"/>
        <v>Needs Improvement</v>
      </c>
      <c r="S298" t="str">
        <f t="shared" si="59"/>
        <v>Not Hired</v>
      </c>
      <c r="T298">
        <f t="shared" si="60"/>
        <v>49</v>
      </c>
      <c r="U298" t="str">
        <f t="shared" si="61"/>
        <v>Needs Improvement</v>
      </c>
      <c r="V298" t="str">
        <f t="shared" si="62"/>
        <v>Interview</v>
      </c>
      <c r="W298" t="str">
        <f t="shared" si="63"/>
        <v>Personality &amp; Communication</v>
      </c>
      <c r="X298" t="str">
        <f t="shared" si="64"/>
        <v>Work on communication and personality development</v>
      </c>
    </row>
    <row r="299" spans="1:24" x14ac:dyDescent="0.3">
      <c r="A299">
        <v>45</v>
      </c>
      <c r="B299">
        <v>0</v>
      </c>
      <c r="C299">
        <v>1</v>
      </c>
      <c r="D299">
        <v>9</v>
      </c>
      <c r="E299">
        <v>4</v>
      </c>
      <c r="F299">
        <v>32.795538285486899</v>
      </c>
      <c r="G299">
        <v>23</v>
      </c>
      <c r="H299">
        <v>94</v>
      </c>
      <c r="I299">
        <v>20</v>
      </c>
      <c r="J299">
        <v>1</v>
      </c>
      <c r="K299">
        <v>1</v>
      </c>
      <c r="L299" t="str">
        <f t="shared" si="52"/>
        <v>C298</v>
      </c>
      <c r="M299" t="str">
        <f t="shared" si="53"/>
        <v>Male</v>
      </c>
      <c r="N299" t="str">
        <f t="shared" si="54"/>
        <v>Bachelor's Type 1</v>
      </c>
      <c r="O299" t="str">
        <f t="shared" si="55"/>
        <v>Senior Level</v>
      </c>
      <c r="P299" t="str">
        <f t="shared" si="56"/>
        <v>Low</v>
      </c>
      <c r="Q299" t="str">
        <f t="shared" si="57"/>
        <v>Advanced</v>
      </c>
      <c r="R299" t="str">
        <f t="shared" si="58"/>
        <v>Needs Improvement</v>
      </c>
      <c r="S299" t="str">
        <f t="shared" si="59"/>
        <v>Hired</v>
      </c>
      <c r="T299">
        <f t="shared" si="60"/>
        <v>51</v>
      </c>
      <c r="U299" t="str">
        <f t="shared" si="61"/>
        <v>Developing</v>
      </c>
      <c r="V299" t="str">
        <f t="shared" si="62"/>
        <v>Technical Skills</v>
      </c>
      <c r="W299" t="str">
        <f t="shared" si="63"/>
        <v>Personality &amp; Communication</v>
      </c>
      <c r="X299" t="str">
        <f t="shared" si="64"/>
        <v>Work on communication and personality development</v>
      </c>
    </row>
    <row r="300" spans="1:24" x14ac:dyDescent="0.3">
      <c r="A300">
        <v>25</v>
      </c>
      <c r="B300">
        <v>0</v>
      </c>
      <c r="C300">
        <v>4</v>
      </c>
      <c r="D300">
        <v>11</v>
      </c>
      <c r="E300">
        <v>3</v>
      </c>
      <c r="F300">
        <v>39.293421283126499</v>
      </c>
      <c r="G300">
        <v>59</v>
      </c>
      <c r="H300">
        <v>32</v>
      </c>
      <c r="I300">
        <v>14</v>
      </c>
      <c r="J300">
        <v>1</v>
      </c>
      <c r="K300">
        <v>1</v>
      </c>
      <c r="L300" t="str">
        <f t="shared" si="52"/>
        <v>C299</v>
      </c>
      <c r="M300" t="str">
        <f t="shared" si="53"/>
        <v>Male</v>
      </c>
      <c r="N300" t="str">
        <f t="shared" si="54"/>
        <v>PhD</v>
      </c>
      <c r="O300" t="str">
        <f t="shared" si="55"/>
        <v>Senior Level</v>
      </c>
      <c r="P300" t="str">
        <f t="shared" si="56"/>
        <v>Average</v>
      </c>
      <c r="Q300" t="str">
        <f t="shared" si="57"/>
        <v>Beginner</v>
      </c>
      <c r="R300" t="str">
        <f t="shared" si="58"/>
        <v>Needs Improvement</v>
      </c>
      <c r="S300" t="str">
        <f t="shared" si="59"/>
        <v>Hired</v>
      </c>
      <c r="T300">
        <f t="shared" si="60"/>
        <v>46</v>
      </c>
      <c r="U300" t="str">
        <f t="shared" si="61"/>
        <v>Needs Improvement</v>
      </c>
      <c r="V300" t="str">
        <f t="shared" si="62"/>
        <v>Interview</v>
      </c>
      <c r="W300" t="str">
        <f t="shared" si="63"/>
        <v>Personality &amp; Communication</v>
      </c>
      <c r="X300" t="str">
        <f t="shared" si="64"/>
        <v>Work on communication and personality development</v>
      </c>
    </row>
    <row r="301" spans="1:24" x14ac:dyDescent="0.3">
      <c r="A301">
        <v>42</v>
      </c>
      <c r="B301">
        <v>1</v>
      </c>
      <c r="C301">
        <v>2</v>
      </c>
      <c r="D301">
        <v>4</v>
      </c>
      <c r="E301">
        <v>5</v>
      </c>
      <c r="F301">
        <v>4.9606575004185398</v>
      </c>
      <c r="G301">
        <v>94</v>
      </c>
      <c r="H301">
        <v>17</v>
      </c>
      <c r="I301">
        <v>13</v>
      </c>
      <c r="J301">
        <v>3</v>
      </c>
      <c r="K301">
        <v>0</v>
      </c>
      <c r="L301" t="str">
        <f t="shared" si="52"/>
        <v>C300</v>
      </c>
      <c r="M301" t="str">
        <f t="shared" si="53"/>
        <v>Female</v>
      </c>
      <c r="N301" t="str">
        <f t="shared" si="54"/>
        <v>Bachelor's Type 2</v>
      </c>
      <c r="O301" t="str">
        <f t="shared" si="55"/>
        <v>Mid Level</v>
      </c>
      <c r="P301" t="str">
        <f t="shared" si="56"/>
        <v>Strong</v>
      </c>
      <c r="Q301" t="str">
        <f t="shared" si="57"/>
        <v>Beginner</v>
      </c>
      <c r="R301" t="str">
        <f t="shared" si="58"/>
        <v>Needs Improvement</v>
      </c>
      <c r="S301" t="str">
        <f t="shared" si="59"/>
        <v>Not Hired</v>
      </c>
      <c r="T301">
        <f t="shared" si="60"/>
        <v>42</v>
      </c>
      <c r="U301" t="str">
        <f t="shared" si="61"/>
        <v>Needs Improvement</v>
      </c>
      <c r="V301" t="str">
        <f t="shared" si="62"/>
        <v>Interview</v>
      </c>
      <c r="W301" t="str">
        <f t="shared" si="63"/>
        <v>Personality &amp; Communication</v>
      </c>
      <c r="X301" t="str">
        <f t="shared" si="64"/>
        <v>Work on communication and personality development</v>
      </c>
    </row>
    <row r="302" spans="1:24" x14ac:dyDescent="0.3">
      <c r="A302">
        <v>23</v>
      </c>
      <c r="B302">
        <v>0</v>
      </c>
      <c r="C302">
        <v>3</v>
      </c>
      <c r="D302">
        <v>1</v>
      </c>
      <c r="E302">
        <v>2</v>
      </c>
      <c r="F302">
        <v>3.3529189730009401</v>
      </c>
      <c r="G302">
        <v>54</v>
      </c>
      <c r="H302">
        <v>56</v>
      </c>
      <c r="I302">
        <v>41</v>
      </c>
      <c r="J302">
        <v>2</v>
      </c>
      <c r="K302">
        <v>0</v>
      </c>
      <c r="L302" t="str">
        <f t="shared" si="52"/>
        <v>C301</v>
      </c>
      <c r="M302" t="str">
        <f t="shared" si="53"/>
        <v>Male</v>
      </c>
      <c r="N302" t="str">
        <f t="shared" si="54"/>
        <v>Master's</v>
      </c>
      <c r="O302" t="str">
        <f t="shared" si="55"/>
        <v>Entry Level</v>
      </c>
      <c r="P302" t="str">
        <f t="shared" si="56"/>
        <v>Average</v>
      </c>
      <c r="Q302" t="str">
        <f t="shared" si="57"/>
        <v>Intermediate</v>
      </c>
      <c r="R302" t="str">
        <f t="shared" si="58"/>
        <v>Needs Improvement</v>
      </c>
      <c r="S302" t="str">
        <f t="shared" si="59"/>
        <v>Not Hired</v>
      </c>
      <c r="T302">
        <f t="shared" si="60"/>
        <v>46</v>
      </c>
      <c r="U302" t="str">
        <f t="shared" si="61"/>
        <v>Needs Improvement</v>
      </c>
      <c r="V302" t="str">
        <f t="shared" si="62"/>
        <v>Technical Skills</v>
      </c>
      <c r="W302" t="str">
        <f t="shared" si="63"/>
        <v>Personality &amp; Communication</v>
      </c>
      <c r="X302" t="str">
        <f t="shared" si="64"/>
        <v>Work on communication and personality development</v>
      </c>
    </row>
    <row r="303" spans="1:24" x14ac:dyDescent="0.3">
      <c r="A303">
        <v>42</v>
      </c>
      <c r="B303">
        <v>1</v>
      </c>
      <c r="C303">
        <v>2</v>
      </c>
      <c r="D303">
        <v>6</v>
      </c>
      <c r="E303">
        <v>4</v>
      </c>
      <c r="F303">
        <v>1.9724025184040499</v>
      </c>
      <c r="G303">
        <v>76</v>
      </c>
      <c r="H303">
        <v>15</v>
      </c>
      <c r="I303">
        <v>79</v>
      </c>
      <c r="J303">
        <v>1</v>
      </c>
      <c r="K303">
        <v>1</v>
      </c>
      <c r="L303" t="str">
        <f t="shared" si="52"/>
        <v>C302</v>
      </c>
      <c r="M303" t="str">
        <f t="shared" si="53"/>
        <v>Female</v>
      </c>
      <c r="N303" t="str">
        <f t="shared" si="54"/>
        <v>Bachelor's Type 2</v>
      </c>
      <c r="O303" t="str">
        <f t="shared" si="55"/>
        <v>Mid Level</v>
      </c>
      <c r="P303" t="str">
        <f t="shared" si="56"/>
        <v>Strong</v>
      </c>
      <c r="Q303" t="str">
        <f t="shared" si="57"/>
        <v>Beginner</v>
      </c>
      <c r="R303" t="str">
        <f t="shared" si="58"/>
        <v>Strong</v>
      </c>
      <c r="S303" t="str">
        <f t="shared" si="59"/>
        <v>Hired</v>
      </c>
      <c r="T303">
        <f t="shared" si="60"/>
        <v>52</v>
      </c>
      <c r="U303" t="str">
        <f t="shared" si="61"/>
        <v>Developing</v>
      </c>
      <c r="V303" t="str">
        <f t="shared" si="62"/>
        <v>Personality</v>
      </c>
      <c r="W303" t="str">
        <f t="shared" si="63"/>
        <v>Technical Skills</v>
      </c>
      <c r="X303" t="str">
        <f t="shared" si="64"/>
        <v>Strengthen technical skills and practical knowledge</v>
      </c>
    </row>
    <row r="304" spans="1:24" x14ac:dyDescent="0.3">
      <c r="A304">
        <v>30</v>
      </c>
      <c r="B304">
        <v>1</v>
      </c>
      <c r="C304">
        <v>1</v>
      </c>
      <c r="D304">
        <v>2</v>
      </c>
      <c r="E304">
        <v>5</v>
      </c>
      <c r="F304">
        <v>10.4397013886722</v>
      </c>
      <c r="G304">
        <v>79</v>
      </c>
      <c r="H304">
        <v>79</v>
      </c>
      <c r="I304">
        <v>14</v>
      </c>
      <c r="J304">
        <v>2</v>
      </c>
      <c r="K304">
        <v>0</v>
      </c>
      <c r="L304" t="str">
        <f t="shared" si="52"/>
        <v>C303</v>
      </c>
      <c r="M304" t="str">
        <f t="shared" si="53"/>
        <v>Female</v>
      </c>
      <c r="N304" t="str">
        <f t="shared" si="54"/>
        <v>Bachelor's Type 1</v>
      </c>
      <c r="O304" t="str">
        <f t="shared" si="55"/>
        <v>Entry Level</v>
      </c>
      <c r="P304" t="str">
        <f t="shared" si="56"/>
        <v>Strong</v>
      </c>
      <c r="Q304" t="str">
        <f t="shared" si="57"/>
        <v>Advanced</v>
      </c>
      <c r="R304" t="str">
        <f t="shared" si="58"/>
        <v>Needs Improvement</v>
      </c>
      <c r="S304" t="str">
        <f t="shared" si="59"/>
        <v>Not Hired</v>
      </c>
      <c r="T304">
        <f t="shared" si="60"/>
        <v>55</v>
      </c>
      <c r="U304" t="str">
        <f t="shared" si="61"/>
        <v>Developing</v>
      </c>
      <c r="V304" t="str">
        <f t="shared" si="62"/>
        <v>Interview</v>
      </c>
      <c r="W304" t="str">
        <f t="shared" si="63"/>
        <v>Personality &amp; Communication</v>
      </c>
      <c r="X304" t="str">
        <f t="shared" si="64"/>
        <v>Work on communication and personality development</v>
      </c>
    </row>
    <row r="305" spans="1:24" x14ac:dyDescent="0.3">
      <c r="A305">
        <v>43</v>
      </c>
      <c r="B305">
        <v>0</v>
      </c>
      <c r="C305">
        <v>2</v>
      </c>
      <c r="D305">
        <v>12</v>
      </c>
      <c r="E305">
        <v>4</v>
      </c>
      <c r="F305">
        <v>21.720419885924699</v>
      </c>
      <c r="G305">
        <v>23</v>
      </c>
      <c r="H305">
        <v>37</v>
      </c>
      <c r="I305">
        <v>62</v>
      </c>
      <c r="J305">
        <v>3</v>
      </c>
      <c r="K305">
        <v>0</v>
      </c>
      <c r="L305" t="str">
        <f t="shared" si="52"/>
        <v>C304</v>
      </c>
      <c r="M305" t="str">
        <f t="shared" si="53"/>
        <v>Male</v>
      </c>
      <c r="N305" t="str">
        <f t="shared" si="54"/>
        <v>Bachelor's Type 2</v>
      </c>
      <c r="O305" t="str">
        <f t="shared" si="55"/>
        <v>Senior Level</v>
      </c>
      <c r="P305" t="str">
        <f t="shared" si="56"/>
        <v>Low</v>
      </c>
      <c r="Q305" t="str">
        <f t="shared" si="57"/>
        <v>Beginner</v>
      </c>
      <c r="R305" t="str">
        <f t="shared" si="58"/>
        <v>Good</v>
      </c>
      <c r="S305" t="str">
        <f t="shared" si="59"/>
        <v>Not Hired</v>
      </c>
      <c r="T305">
        <f t="shared" si="60"/>
        <v>45</v>
      </c>
      <c r="U305" t="str">
        <f t="shared" si="61"/>
        <v>Needs Improvement</v>
      </c>
      <c r="V305" t="str">
        <f t="shared" si="62"/>
        <v>Personality</v>
      </c>
      <c r="W305" t="str">
        <f t="shared" si="63"/>
        <v>Interview Preparation</v>
      </c>
      <c r="X305" t="str">
        <f t="shared" si="64"/>
        <v>Improve interview preparation and communication</v>
      </c>
    </row>
    <row r="306" spans="1:24" x14ac:dyDescent="0.3">
      <c r="A306">
        <v>46</v>
      </c>
      <c r="B306">
        <v>0</v>
      </c>
      <c r="C306">
        <v>1</v>
      </c>
      <c r="D306">
        <v>14</v>
      </c>
      <c r="E306">
        <v>2</v>
      </c>
      <c r="F306">
        <v>47.791306670141097</v>
      </c>
      <c r="G306">
        <v>76</v>
      </c>
      <c r="H306">
        <v>40</v>
      </c>
      <c r="I306">
        <v>67</v>
      </c>
      <c r="J306">
        <v>2</v>
      </c>
      <c r="K306">
        <v>0</v>
      </c>
      <c r="L306" t="str">
        <f t="shared" si="52"/>
        <v>C305</v>
      </c>
      <c r="M306" t="str">
        <f t="shared" si="53"/>
        <v>Male</v>
      </c>
      <c r="N306" t="str">
        <f t="shared" si="54"/>
        <v>Bachelor's Type 1</v>
      </c>
      <c r="O306" t="str">
        <f t="shared" si="55"/>
        <v>Senior Level</v>
      </c>
      <c r="P306" t="str">
        <f t="shared" si="56"/>
        <v>Strong</v>
      </c>
      <c r="Q306" t="str">
        <f t="shared" si="57"/>
        <v>Beginner</v>
      </c>
      <c r="R306" t="str">
        <f t="shared" si="58"/>
        <v>Good</v>
      </c>
      <c r="S306" t="str">
        <f t="shared" si="59"/>
        <v>Not Hired</v>
      </c>
      <c r="T306">
        <f t="shared" si="60"/>
        <v>65</v>
      </c>
      <c r="U306" t="str">
        <f t="shared" si="61"/>
        <v>Developing</v>
      </c>
      <c r="V306" t="str">
        <f t="shared" si="62"/>
        <v>Interview</v>
      </c>
      <c r="W306" t="str">
        <f t="shared" si="63"/>
        <v>Technical Skills</v>
      </c>
      <c r="X306" t="str">
        <f t="shared" si="64"/>
        <v>Strengthen technical skills and practical knowledge</v>
      </c>
    </row>
    <row r="307" spans="1:24" x14ac:dyDescent="0.3">
      <c r="A307">
        <v>36</v>
      </c>
      <c r="B307">
        <v>0</v>
      </c>
      <c r="C307">
        <v>2</v>
      </c>
      <c r="D307">
        <v>3</v>
      </c>
      <c r="E307">
        <v>5</v>
      </c>
      <c r="F307">
        <v>23.852982963288799</v>
      </c>
      <c r="G307">
        <v>23</v>
      </c>
      <c r="H307">
        <v>6</v>
      </c>
      <c r="I307">
        <v>26</v>
      </c>
      <c r="J307">
        <v>2</v>
      </c>
      <c r="K307">
        <v>0</v>
      </c>
      <c r="L307" t="str">
        <f t="shared" si="52"/>
        <v>C306</v>
      </c>
      <c r="M307" t="str">
        <f t="shared" si="53"/>
        <v>Male</v>
      </c>
      <c r="N307" t="str">
        <f t="shared" si="54"/>
        <v>Bachelor's Type 2</v>
      </c>
      <c r="O307" t="str">
        <f t="shared" si="55"/>
        <v>Mid Level</v>
      </c>
      <c r="P307" t="str">
        <f t="shared" si="56"/>
        <v>Low</v>
      </c>
      <c r="Q307" t="str">
        <f t="shared" si="57"/>
        <v>Beginner</v>
      </c>
      <c r="R307" t="str">
        <f t="shared" si="58"/>
        <v>Needs Improvement</v>
      </c>
      <c r="S307" t="str">
        <f t="shared" si="59"/>
        <v>Not Hired</v>
      </c>
      <c r="T307">
        <f t="shared" si="60"/>
        <v>19</v>
      </c>
      <c r="U307" t="str">
        <f t="shared" si="61"/>
        <v>Needs Improvement</v>
      </c>
      <c r="V307" t="str">
        <f t="shared" si="62"/>
        <v>Personality</v>
      </c>
      <c r="W307" t="str">
        <f t="shared" si="63"/>
        <v>Technical Skills</v>
      </c>
      <c r="X307" t="str">
        <f t="shared" si="64"/>
        <v>Strengthen technical skills and practical knowledge</v>
      </c>
    </row>
    <row r="308" spans="1:24" x14ac:dyDescent="0.3">
      <c r="A308">
        <v>50</v>
      </c>
      <c r="B308">
        <v>0</v>
      </c>
      <c r="C308">
        <v>4</v>
      </c>
      <c r="D308">
        <v>2</v>
      </c>
      <c r="E308">
        <v>2</v>
      </c>
      <c r="F308">
        <v>15.5127552686264</v>
      </c>
      <c r="G308">
        <v>53</v>
      </c>
      <c r="H308">
        <v>77</v>
      </c>
      <c r="I308">
        <v>86</v>
      </c>
      <c r="J308">
        <v>3</v>
      </c>
      <c r="K308">
        <v>0</v>
      </c>
      <c r="L308" t="str">
        <f t="shared" si="52"/>
        <v>C307</v>
      </c>
      <c r="M308" t="str">
        <f t="shared" si="53"/>
        <v>Male</v>
      </c>
      <c r="N308" t="str">
        <f t="shared" si="54"/>
        <v>PhD</v>
      </c>
      <c r="O308" t="str">
        <f t="shared" si="55"/>
        <v>Entry Level</v>
      </c>
      <c r="P308" t="str">
        <f t="shared" si="56"/>
        <v>Average</v>
      </c>
      <c r="Q308" t="str">
        <f t="shared" si="57"/>
        <v>Advanced</v>
      </c>
      <c r="R308" t="str">
        <f t="shared" si="58"/>
        <v>Strong</v>
      </c>
      <c r="S308" t="str">
        <f t="shared" si="59"/>
        <v>Not Hired</v>
      </c>
      <c r="T308">
        <f t="shared" si="60"/>
        <v>63</v>
      </c>
      <c r="U308" t="str">
        <f t="shared" si="61"/>
        <v>Developing</v>
      </c>
      <c r="V308" t="str">
        <f t="shared" si="62"/>
        <v>Personality</v>
      </c>
      <c r="W308" t="str">
        <f t="shared" si="63"/>
        <v>Interview Preparation</v>
      </c>
      <c r="X308" t="str">
        <f t="shared" si="64"/>
        <v>Improve interview preparation and communication</v>
      </c>
    </row>
    <row r="309" spans="1:24" x14ac:dyDescent="0.3">
      <c r="A309">
        <v>25</v>
      </c>
      <c r="B309">
        <v>1</v>
      </c>
      <c r="C309">
        <v>2</v>
      </c>
      <c r="D309">
        <v>2</v>
      </c>
      <c r="E309">
        <v>1</v>
      </c>
      <c r="F309">
        <v>29.096762675983101</v>
      </c>
      <c r="G309">
        <v>25</v>
      </c>
      <c r="H309">
        <v>52</v>
      </c>
      <c r="I309">
        <v>92</v>
      </c>
      <c r="J309">
        <v>2</v>
      </c>
      <c r="K309">
        <v>0</v>
      </c>
      <c r="L309" t="str">
        <f t="shared" si="52"/>
        <v>C308</v>
      </c>
      <c r="M309" t="str">
        <f t="shared" si="53"/>
        <v>Female</v>
      </c>
      <c r="N309" t="str">
        <f t="shared" si="54"/>
        <v>Bachelor's Type 2</v>
      </c>
      <c r="O309" t="str">
        <f t="shared" si="55"/>
        <v>Entry Level</v>
      </c>
      <c r="P309" t="str">
        <f t="shared" si="56"/>
        <v>Low</v>
      </c>
      <c r="Q309" t="str">
        <f t="shared" si="57"/>
        <v>Intermediate</v>
      </c>
      <c r="R309" t="str">
        <f t="shared" si="58"/>
        <v>Strong</v>
      </c>
      <c r="S309" t="str">
        <f t="shared" si="59"/>
        <v>Not Hired</v>
      </c>
      <c r="T309">
        <f t="shared" si="60"/>
        <v>46</v>
      </c>
      <c r="U309" t="str">
        <f t="shared" si="61"/>
        <v>Needs Improvement</v>
      </c>
      <c r="V309" t="str">
        <f t="shared" si="62"/>
        <v>Personality</v>
      </c>
      <c r="W309" t="str">
        <f t="shared" si="63"/>
        <v>Interview Preparation</v>
      </c>
      <c r="X309" t="str">
        <f t="shared" si="64"/>
        <v>Improve interview preparation and communication</v>
      </c>
    </row>
    <row r="310" spans="1:24" x14ac:dyDescent="0.3">
      <c r="A310">
        <v>43</v>
      </c>
      <c r="B310">
        <v>1</v>
      </c>
      <c r="C310">
        <v>2</v>
      </c>
      <c r="D310">
        <v>3</v>
      </c>
      <c r="E310">
        <v>2</v>
      </c>
      <c r="F310">
        <v>6.5967289067394601</v>
      </c>
      <c r="G310">
        <v>65</v>
      </c>
      <c r="H310">
        <v>62</v>
      </c>
      <c r="I310">
        <v>52</v>
      </c>
      <c r="J310">
        <v>1</v>
      </c>
      <c r="K310">
        <v>0</v>
      </c>
      <c r="L310" t="str">
        <f t="shared" si="52"/>
        <v>C309</v>
      </c>
      <c r="M310" t="str">
        <f t="shared" si="53"/>
        <v>Female</v>
      </c>
      <c r="N310" t="str">
        <f t="shared" si="54"/>
        <v>Bachelor's Type 2</v>
      </c>
      <c r="O310" t="str">
        <f t="shared" si="55"/>
        <v>Mid Level</v>
      </c>
      <c r="P310" t="str">
        <f t="shared" si="56"/>
        <v>Average</v>
      </c>
      <c r="Q310" t="str">
        <f t="shared" si="57"/>
        <v>Intermediate</v>
      </c>
      <c r="R310" t="str">
        <f t="shared" si="58"/>
        <v>Good</v>
      </c>
      <c r="S310" t="str">
        <f t="shared" si="59"/>
        <v>Not Hired</v>
      </c>
      <c r="T310">
        <f t="shared" si="60"/>
        <v>54</v>
      </c>
      <c r="U310" t="str">
        <f t="shared" si="61"/>
        <v>Developing</v>
      </c>
      <c r="V310" t="str">
        <f t="shared" si="62"/>
        <v>Interview</v>
      </c>
      <c r="W310" t="str">
        <f t="shared" si="63"/>
        <v>Personality &amp; Communication</v>
      </c>
      <c r="X310" t="str">
        <f t="shared" si="64"/>
        <v>Work on communication and personality development</v>
      </c>
    </row>
    <row r="311" spans="1:24" x14ac:dyDescent="0.3">
      <c r="A311">
        <v>24</v>
      </c>
      <c r="B311">
        <v>0</v>
      </c>
      <c r="C311">
        <v>1</v>
      </c>
      <c r="D311">
        <v>4</v>
      </c>
      <c r="E311">
        <v>4</v>
      </c>
      <c r="F311">
        <v>31.4752945502491</v>
      </c>
      <c r="G311">
        <v>79</v>
      </c>
      <c r="H311">
        <v>88</v>
      </c>
      <c r="I311">
        <v>51</v>
      </c>
      <c r="J311">
        <v>3</v>
      </c>
      <c r="K311">
        <v>0</v>
      </c>
      <c r="L311" t="str">
        <f t="shared" si="52"/>
        <v>C310</v>
      </c>
      <c r="M311" t="str">
        <f t="shared" si="53"/>
        <v>Male</v>
      </c>
      <c r="N311" t="str">
        <f t="shared" si="54"/>
        <v>Bachelor's Type 1</v>
      </c>
      <c r="O311" t="str">
        <f t="shared" si="55"/>
        <v>Mid Level</v>
      </c>
      <c r="P311" t="str">
        <f t="shared" si="56"/>
        <v>Strong</v>
      </c>
      <c r="Q311" t="str">
        <f t="shared" si="57"/>
        <v>Advanced</v>
      </c>
      <c r="R311" t="str">
        <f t="shared" si="58"/>
        <v>Good</v>
      </c>
      <c r="S311" t="str">
        <f t="shared" si="59"/>
        <v>Not Hired</v>
      </c>
      <c r="T311">
        <f t="shared" si="60"/>
        <v>67</v>
      </c>
      <c r="U311" t="str">
        <f t="shared" si="61"/>
        <v>Developing</v>
      </c>
      <c r="V311" t="str">
        <f t="shared" si="62"/>
        <v>Technical Skills</v>
      </c>
      <c r="W311" t="str">
        <f t="shared" si="63"/>
        <v>Personality &amp; Communication</v>
      </c>
      <c r="X311" t="str">
        <f t="shared" si="64"/>
        <v>Work on communication and personality development</v>
      </c>
    </row>
    <row r="312" spans="1:24" x14ac:dyDescent="0.3">
      <c r="A312">
        <v>39</v>
      </c>
      <c r="B312">
        <v>1</v>
      </c>
      <c r="C312">
        <v>1</v>
      </c>
      <c r="D312">
        <v>0</v>
      </c>
      <c r="E312">
        <v>3</v>
      </c>
      <c r="F312">
        <v>29.421597716525099</v>
      </c>
      <c r="G312">
        <v>37</v>
      </c>
      <c r="H312">
        <v>31</v>
      </c>
      <c r="I312">
        <v>62</v>
      </c>
      <c r="J312">
        <v>3</v>
      </c>
      <c r="K312">
        <v>0</v>
      </c>
      <c r="L312" t="str">
        <f t="shared" si="52"/>
        <v>C311</v>
      </c>
      <c r="M312" t="str">
        <f t="shared" si="53"/>
        <v>Female</v>
      </c>
      <c r="N312" t="str">
        <f t="shared" si="54"/>
        <v>Bachelor's Type 1</v>
      </c>
      <c r="O312" t="str">
        <f t="shared" si="55"/>
        <v>Entry Level</v>
      </c>
      <c r="P312" t="str">
        <f t="shared" si="56"/>
        <v>Low</v>
      </c>
      <c r="Q312" t="str">
        <f t="shared" si="57"/>
        <v>Beginner</v>
      </c>
      <c r="R312" t="str">
        <f t="shared" si="58"/>
        <v>Good</v>
      </c>
      <c r="S312" t="str">
        <f t="shared" si="59"/>
        <v>Not Hired</v>
      </c>
      <c r="T312">
        <f t="shared" si="60"/>
        <v>35</v>
      </c>
      <c r="U312" t="str">
        <f t="shared" si="61"/>
        <v>Needs Improvement</v>
      </c>
      <c r="V312" t="str">
        <f t="shared" si="62"/>
        <v>Personality</v>
      </c>
      <c r="W312" t="str">
        <f t="shared" si="63"/>
        <v>Technical Skills</v>
      </c>
      <c r="X312" t="str">
        <f t="shared" si="64"/>
        <v>Strengthen technical skills and practical knowledge</v>
      </c>
    </row>
    <row r="313" spans="1:24" x14ac:dyDescent="0.3">
      <c r="A313">
        <v>21</v>
      </c>
      <c r="B313">
        <v>1</v>
      </c>
      <c r="C313">
        <v>1</v>
      </c>
      <c r="D313">
        <v>3</v>
      </c>
      <c r="E313">
        <v>2</v>
      </c>
      <c r="F313">
        <v>40.599651670285397</v>
      </c>
      <c r="G313">
        <v>64</v>
      </c>
      <c r="H313">
        <v>37</v>
      </c>
      <c r="I313">
        <v>72</v>
      </c>
      <c r="J313">
        <v>3</v>
      </c>
      <c r="K313">
        <v>0</v>
      </c>
      <c r="L313" t="str">
        <f t="shared" si="52"/>
        <v>C312</v>
      </c>
      <c r="M313" t="str">
        <f t="shared" si="53"/>
        <v>Female</v>
      </c>
      <c r="N313" t="str">
        <f t="shared" si="54"/>
        <v>Bachelor's Type 1</v>
      </c>
      <c r="O313" t="str">
        <f t="shared" si="55"/>
        <v>Mid Level</v>
      </c>
      <c r="P313" t="str">
        <f t="shared" si="56"/>
        <v>Average</v>
      </c>
      <c r="Q313" t="str">
        <f t="shared" si="57"/>
        <v>Beginner</v>
      </c>
      <c r="R313" t="str">
        <f t="shared" si="58"/>
        <v>Good</v>
      </c>
      <c r="S313" t="str">
        <f t="shared" si="59"/>
        <v>Not Hired</v>
      </c>
      <c r="T313">
        <f t="shared" si="60"/>
        <v>50</v>
      </c>
      <c r="U313" t="str">
        <f t="shared" si="61"/>
        <v>Developing</v>
      </c>
      <c r="V313" t="str">
        <f t="shared" si="62"/>
        <v>Personality</v>
      </c>
      <c r="W313" t="str">
        <f t="shared" si="63"/>
        <v>Technical Skills</v>
      </c>
      <c r="X313" t="str">
        <f t="shared" si="64"/>
        <v>Strengthen technical skills and practical knowledge</v>
      </c>
    </row>
    <row r="314" spans="1:24" x14ac:dyDescent="0.3">
      <c r="A314">
        <v>25</v>
      </c>
      <c r="B314">
        <v>1</v>
      </c>
      <c r="C314">
        <v>2</v>
      </c>
      <c r="D314">
        <v>11</v>
      </c>
      <c r="E314">
        <v>3</v>
      </c>
      <c r="F314">
        <v>50.334380580851203</v>
      </c>
      <c r="G314">
        <v>74</v>
      </c>
      <c r="H314">
        <v>21</v>
      </c>
      <c r="I314">
        <v>52</v>
      </c>
      <c r="J314">
        <v>2</v>
      </c>
      <c r="K314">
        <v>0</v>
      </c>
      <c r="L314" t="str">
        <f t="shared" si="52"/>
        <v>C313</v>
      </c>
      <c r="M314" t="str">
        <f t="shared" si="53"/>
        <v>Female</v>
      </c>
      <c r="N314" t="str">
        <f t="shared" si="54"/>
        <v>Bachelor's Type 2</v>
      </c>
      <c r="O314" t="str">
        <f t="shared" si="55"/>
        <v>Senior Level</v>
      </c>
      <c r="P314" t="str">
        <f t="shared" si="56"/>
        <v>Average</v>
      </c>
      <c r="Q314" t="str">
        <f t="shared" si="57"/>
        <v>Beginner</v>
      </c>
      <c r="R314" t="str">
        <f t="shared" si="58"/>
        <v>Good</v>
      </c>
      <c r="S314" t="str">
        <f t="shared" si="59"/>
        <v>Not Hired</v>
      </c>
      <c r="T314">
        <f t="shared" si="60"/>
        <v>52</v>
      </c>
      <c r="U314" t="str">
        <f t="shared" si="61"/>
        <v>Developing</v>
      </c>
      <c r="V314" t="str">
        <f t="shared" si="62"/>
        <v>Interview</v>
      </c>
      <c r="W314" t="str">
        <f t="shared" si="63"/>
        <v>Technical Skills</v>
      </c>
      <c r="X314" t="str">
        <f t="shared" si="64"/>
        <v>Strengthen technical skills and practical knowledge</v>
      </c>
    </row>
    <row r="315" spans="1:24" x14ac:dyDescent="0.3">
      <c r="A315">
        <v>41</v>
      </c>
      <c r="B315">
        <v>1</v>
      </c>
      <c r="C315">
        <v>1</v>
      </c>
      <c r="D315">
        <v>11</v>
      </c>
      <c r="E315">
        <v>1</v>
      </c>
      <c r="F315">
        <v>13.5436735858055</v>
      </c>
      <c r="G315">
        <v>50</v>
      </c>
      <c r="H315">
        <v>15</v>
      </c>
      <c r="I315">
        <v>56</v>
      </c>
      <c r="J315">
        <v>1</v>
      </c>
      <c r="K315">
        <v>0</v>
      </c>
      <c r="L315" t="str">
        <f t="shared" si="52"/>
        <v>C314</v>
      </c>
      <c r="M315" t="str">
        <f t="shared" si="53"/>
        <v>Female</v>
      </c>
      <c r="N315" t="str">
        <f t="shared" si="54"/>
        <v>Bachelor's Type 1</v>
      </c>
      <c r="O315" t="str">
        <f t="shared" si="55"/>
        <v>Senior Level</v>
      </c>
      <c r="P315" t="str">
        <f t="shared" si="56"/>
        <v>Average</v>
      </c>
      <c r="Q315" t="str">
        <f t="shared" si="57"/>
        <v>Beginner</v>
      </c>
      <c r="R315" t="str">
        <f t="shared" si="58"/>
        <v>Good</v>
      </c>
      <c r="S315" t="str">
        <f t="shared" si="59"/>
        <v>Not Hired</v>
      </c>
      <c r="T315">
        <f t="shared" si="60"/>
        <v>44</v>
      </c>
      <c r="U315" t="str">
        <f t="shared" si="61"/>
        <v>Needs Improvement</v>
      </c>
      <c r="V315" t="str">
        <f t="shared" si="62"/>
        <v>Personality</v>
      </c>
      <c r="W315" t="str">
        <f t="shared" si="63"/>
        <v>Technical Skills</v>
      </c>
      <c r="X315" t="str">
        <f t="shared" si="64"/>
        <v>Strengthen technical skills and practical knowledge</v>
      </c>
    </row>
    <row r="316" spans="1:24" x14ac:dyDescent="0.3">
      <c r="A316">
        <v>30</v>
      </c>
      <c r="B316">
        <v>0</v>
      </c>
      <c r="C316">
        <v>2</v>
      </c>
      <c r="D316">
        <v>10</v>
      </c>
      <c r="E316">
        <v>5</v>
      </c>
      <c r="F316">
        <v>26.482822540188</v>
      </c>
      <c r="G316">
        <v>34</v>
      </c>
      <c r="H316">
        <v>51</v>
      </c>
      <c r="I316">
        <v>51</v>
      </c>
      <c r="J316">
        <v>3</v>
      </c>
      <c r="K316">
        <v>0</v>
      </c>
      <c r="L316" t="str">
        <f t="shared" si="52"/>
        <v>C315</v>
      </c>
      <c r="M316" t="str">
        <f t="shared" si="53"/>
        <v>Male</v>
      </c>
      <c r="N316" t="str">
        <f t="shared" si="54"/>
        <v>Bachelor's Type 2</v>
      </c>
      <c r="O316" t="str">
        <f t="shared" si="55"/>
        <v>Senior Level</v>
      </c>
      <c r="P316" t="str">
        <f t="shared" si="56"/>
        <v>Low</v>
      </c>
      <c r="Q316" t="str">
        <f t="shared" si="57"/>
        <v>Intermediate</v>
      </c>
      <c r="R316" t="str">
        <f t="shared" si="58"/>
        <v>Good</v>
      </c>
      <c r="S316" t="str">
        <f t="shared" si="59"/>
        <v>Not Hired</v>
      </c>
      <c r="T316">
        <f t="shared" si="60"/>
        <v>48</v>
      </c>
      <c r="U316" t="str">
        <f t="shared" si="61"/>
        <v>Needs Improvement</v>
      </c>
      <c r="V316" t="str">
        <f t="shared" si="62"/>
        <v>Technical Skills</v>
      </c>
      <c r="W316" t="str">
        <f t="shared" si="63"/>
        <v>Interview Preparation</v>
      </c>
      <c r="X316" t="str">
        <f t="shared" si="64"/>
        <v>Improve interview preparation and communication</v>
      </c>
    </row>
    <row r="317" spans="1:24" x14ac:dyDescent="0.3">
      <c r="A317">
        <v>50</v>
      </c>
      <c r="B317">
        <v>0</v>
      </c>
      <c r="C317">
        <v>2</v>
      </c>
      <c r="D317">
        <v>7</v>
      </c>
      <c r="E317">
        <v>5</v>
      </c>
      <c r="F317">
        <v>46.443270315950102</v>
      </c>
      <c r="G317">
        <v>42</v>
      </c>
      <c r="H317">
        <v>28</v>
      </c>
      <c r="I317">
        <v>42</v>
      </c>
      <c r="J317">
        <v>1</v>
      </c>
      <c r="K317">
        <v>0</v>
      </c>
      <c r="L317" t="str">
        <f t="shared" si="52"/>
        <v>C316</v>
      </c>
      <c r="M317" t="str">
        <f t="shared" si="53"/>
        <v>Male</v>
      </c>
      <c r="N317" t="str">
        <f t="shared" si="54"/>
        <v>Bachelor's Type 2</v>
      </c>
      <c r="O317" t="str">
        <f t="shared" si="55"/>
        <v>Senior Level</v>
      </c>
      <c r="P317" t="str">
        <f t="shared" si="56"/>
        <v>Low</v>
      </c>
      <c r="Q317" t="str">
        <f t="shared" si="57"/>
        <v>Beginner</v>
      </c>
      <c r="R317" t="str">
        <f t="shared" si="58"/>
        <v>Needs Improvement</v>
      </c>
      <c r="S317" t="str">
        <f t="shared" si="59"/>
        <v>Not Hired</v>
      </c>
      <c r="T317">
        <f t="shared" si="60"/>
        <v>39</v>
      </c>
      <c r="U317" t="str">
        <f t="shared" si="61"/>
        <v>Needs Improvement</v>
      </c>
      <c r="V317" t="str">
        <f t="shared" si="62"/>
        <v>Interview</v>
      </c>
      <c r="W317" t="str">
        <f t="shared" si="63"/>
        <v>Technical Skills</v>
      </c>
      <c r="X317" t="str">
        <f t="shared" si="64"/>
        <v>Strengthen technical skills and practical knowledge</v>
      </c>
    </row>
    <row r="318" spans="1:24" x14ac:dyDescent="0.3">
      <c r="A318">
        <v>35</v>
      </c>
      <c r="B318">
        <v>1</v>
      </c>
      <c r="C318">
        <v>2</v>
      </c>
      <c r="D318">
        <v>9</v>
      </c>
      <c r="E318">
        <v>3</v>
      </c>
      <c r="F318">
        <v>40.259494221141999</v>
      </c>
      <c r="G318">
        <v>28</v>
      </c>
      <c r="H318">
        <v>15</v>
      </c>
      <c r="I318">
        <v>6</v>
      </c>
      <c r="J318">
        <v>3</v>
      </c>
      <c r="K318">
        <v>0</v>
      </c>
      <c r="L318" t="str">
        <f t="shared" si="52"/>
        <v>C317</v>
      </c>
      <c r="M318" t="str">
        <f t="shared" si="53"/>
        <v>Female</v>
      </c>
      <c r="N318" t="str">
        <f t="shared" si="54"/>
        <v>Bachelor's Type 2</v>
      </c>
      <c r="O318" t="str">
        <f t="shared" si="55"/>
        <v>Senior Level</v>
      </c>
      <c r="P318" t="str">
        <f t="shared" si="56"/>
        <v>Low</v>
      </c>
      <c r="Q318" t="str">
        <f t="shared" si="57"/>
        <v>Beginner</v>
      </c>
      <c r="R318" t="str">
        <f t="shared" si="58"/>
        <v>Needs Improvement</v>
      </c>
      <c r="S318" t="str">
        <f t="shared" si="59"/>
        <v>Not Hired</v>
      </c>
      <c r="T318">
        <f t="shared" si="60"/>
        <v>26</v>
      </c>
      <c r="U318" t="str">
        <f t="shared" si="61"/>
        <v>Needs Improvement</v>
      </c>
      <c r="V318" t="str">
        <f t="shared" si="62"/>
        <v>Interview</v>
      </c>
      <c r="W318" t="str">
        <f t="shared" si="63"/>
        <v>Personality &amp; Communication</v>
      </c>
      <c r="X318" t="str">
        <f t="shared" si="64"/>
        <v>Work on communication and personality development</v>
      </c>
    </row>
    <row r="319" spans="1:24" x14ac:dyDescent="0.3">
      <c r="A319">
        <v>35</v>
      </c>
      <c r="B319">
        <v>0</v>
      </c>
      <c r="C319">
        <v>1</v>
      </c>
      <c r="D319">
        <v>6</v>
      </c>
      <c r="E319">
        <v>5</v>
      </c>
      <c r="F319">
        <v>25.370315155040299</v>
      </c>
      <c r="G319">
        <v>36</v>
      </c>
      <c r="H319">
        <v>75</v>
      </c>
      <c r="I319">
        <v>41</v>
      </c>
      <c r="J319">
        <v>3</v>
      </c>
      <c r="K319">
        <v>0</v>
      </c>
      <c r="L319" t="str">
        <f t="shared" si="52"/>
        <v>C318</v>
      </c>
      <c r="M319" t="str">
        <f t="shared" si="53"/>
        <v>Male</v>
      </c>
      <c r="N319" t="str">
        <f t="shared" si="54"/>
        <v>Bachelor's Type 1</v>
      </c>
      <c r="O319" t="str">
        <f t="shared" si="55"/>
        <v>Mid Level</v>
      </c>
      <c r="P319" t="str">
        <f t="shared" si="56"/>
        <v>Low</v>
      </c>
      <c r="Q319" t="str">
        <f t="shared" si="57"/>
        <v>Advanced</v>
      </c>
      <c r="R319" t="str">
        <f t="shared" si="58"/>
        <v>Needs Improvement</v>
      </c>
      <c r="S319" t="str">
        <f t="shared" si="59"/>
        <v>Not Hired</v>
      </c>
      <c r="T319">
        <f t="shared" si="60"/>
        <v>50</v>
      </c>
      <c r="U319" t="str">
        <f t="shared" si="61"/>
        <v>Developing</v>
      </c>
      <c r="V319" t="str">
        <f t="shared" si="62"/>
        <v>Technical Skills</v>
      </c>
      <c r="W319" t="str">
        <f t="shared" si="63"/>
        <v>Interview Preparation</v>
      </c>
      <c r="X319" t="str">
        <f t="shared" si="64"/>
        <v>Improve interview preparation and communication</v>
      </c>
    </row>
    <row r="320" spans="1:24" x14ac:dyDescent="0.3">
      <c r="A320">
        <v>20</v>
      </c>
      <c r="B320">
        <v>0</v>
      </c>
      <c r="C320">
        <v>2</v>
      </c>
      <c r="D320">
        <v>8</v>
      </c>
      <c r="E320">
        <v>2</v>
      </c>
      <c r="F320">
        <v>48.2685824807388</v>
      </c>
      <c r="G320">
        <v>80</v>
      </c>
      <c r="H320">
        <v>16</v>
      </c>
      <c r="I320">
        <v>3</v>
      </c>
      <c r="J320">
        <v>2</v>
      </c>
      <c r="K320">
        <v>0</v>
      </c>
      <c r="L320" t="str">
        <f t="shared" si="52"/>
        <v>C319</v>
      </c>
      <c r="M320" t="str">
        <f t="shared" si="53"/>
        <v>Male</v>
      </c>
      <c r="N320" t="str">
        <f t="shared" si="54"/>
        <v>Bachelor's Type 2</v>
      </c>
      <c r="O320" t="str">
        <f t="shared" si="55"/>
        <v>Senior Level</v>
      </c>
      <c r="P320" t="str">
        <f t="shared" si="56"/>
        <v>Strong</v>
      </c>
      <c r="Q320" t="str">
        <f t="shared" si="57"/>
        <v>Beginner</v>
      </c>
      <c r="R320" t="str">
        <f t="shared" si="58"/>
        <v>Needs Improvement</v>
      </c>
      <c r="S320" t="str">
        <f t="shared" si="59"/>
        <v>Not Hired</v>
      </c>
      <c r="T320">
        <f t="shared" si="60"/>
        <v>40</v>
      </c>
      <c r="U320" t="str">
        <f t="shared" si="61"/>
        <v>Needs Improvement</v>
      </c>
      <c r="V320" t="str">
        <f t="shared" si="62"/>
        <v>Interview</v>
      </c>
      <c r="W320" t="str">
        <f t="shared" si="63"/>
        <v>Personality &amp; Communication</v>
      </c>
      <c r="X320" t="str">
        <f t="shared" si="64"/>
        <v>Work on communication and personality development</v>
      </c>
    </row>
    <row r="321" spans="1:24" x14ac:dyDescent="0.3">
      <c r="A321">
        <v>28</v>
      </c>
      <c r="B321">
        <v>0</v>
      </c>
      <c r="C321">
        <v>4</v>
      </c>
      <c r="D321">
        <v>4</v>
      </c>
      <c r="E321">
        <v>3</v>
      </c>
      <c r="F321">
        <v>3.86183467584046</v>
      </c>
      <c r="G321">
        <v>57</v>
      </c>
      <c r="H321">
        <v>100</v>
      </c>
      <c r="I321">
        <v>68</v>
      </c>
      <c r="J321">
        <v>3</v>
      </c>
      <c r="K321">
        <v>0</v>
      </c>
      <c r="L321" t="str">
        <f t="shared" si="52"/>
        <v>C320</v>
      </c>
      <c r="M321" t="str">
        <f t="shared" si="53"/>
        <v>Male</v>
      </c>
      <c r="N321" t="str">
        <f t="shared" si="54"/>
        <v>PhD</v>
      </c>
      <c r="O321" t="str">
        <f t="shared" si="55"/>
        <v>Mid Level</v>
      </c>
      <c r="P321" t="str">
        <f t="shared" si="56"/>
        <v>Average</v>
      </c>
      <c r="Q321" t="str">
        <f t="shared" si="57"/>
        <v>Advanced</v>
      </c>
      <c r="R321" t="str">
        <f t="shared" si="58"/>
        <v>Good</v>
      </c>
      <c r="S321" t="str">
        <f t="shared" si="59"/>
        <v>Not Hired</v>
      </c>
      <c r="T321">
        <f t="shared" si="60"/>
        <v>70</v>
      </c>
      <c r="U321" t="str">
        <f t="shared" si="61"/>
        <v>Developing</v>
      </c>
      <c r="V321" t="str">
        <f t="shared" si="62"/>
        <v>Technical Skills</v>
      </c>
      <c r="W321" t="str">
        <f t="shared" si="63"/>
        <v>Interview Preparation</v>
      </c>
      <c r="X321" t="str">
        <f t="shared" si="64"/>
        <v>Improve interview preparation and communication</v>
      </c>
    </row>
    <row r="322" spans="1:24" x14ac:dyDescent="0.3">
      <c r="A322">
        <v>47</v>
      </c>
      <c r="B322">
        <v>1</v>
      </c>
      <c r="C322">
        <v>2</v>
      </c>
      <c r="D322">
        <v>12</v>
      </c>
      <c r="E322">
        <v>4</v>
      </c>
      <c r="F322">
        <v>47.549930985629203</v>
      </c>
      <c r="G322">
        <v>53</v>
      </c>
      <c r="H322">
        <v>63</v>
      </c>
      <c r="I322">
        <v>4</v>
      </c>
      <c r="J322">
        <v>2</v>
      </c>
      <c r="K322">
        <v>0</v>
      </c>
      <c r="L322" t="str">
        <f t="shared" si="52"/>
        <v>C321</v>
      </c>
      <c r="M322" t="str">
        <f t="shared" si="53"/>
        <v>Female</v>
      </c>
      <c r="N322" t="str">
        <f t="shared" si="54"/>
        <v>Bachelor's Type 2</v>
      </c>
      <c r="O322" t="str">
        <f t="shared" si="55"/>
        <v>Senior Level</v>
      </c>
      <c r="P322" t="str">
        <f t="shared" si="56"/>
        <v>Average</v>
      </c>
      <c r="Q322" t="str">
        <f t="shared" si="57"/>
        <v>Intermediate</v>
      </c>
      <c r="R322" t="str">
        <f t="shared" si="58"/>
        <v>Needs Improvement</v>
      </c>
      <c r="S322" t="str">
        <f t="shared" si="59"/>
        <v>Not Hired</v>
      </c>
      <c r="T322">
        <f t="shared" si="60"/>
        <v>50</v>
      </c>
      <c r="U322" t="str">
        <f t="shared" si="61"/>
        <v>Developing</v>
      </c>
      <c r="V322" t="str">
        <f t="shared" si="62"/>
        <v>Technical Skills</v>
      </c>
      <c r="W322" t="str">
        <f t="shared" si="63"/>
        <v>Personality &amp; Communication</v>
      </c>
      <c r="X322" t="str">
        <f t="shared" si="64"/>
        <v>Work on communication and personality development</v>
      </c>
    </row>
    <row r="323" spans="1:24" x14ac:dyDescent="0.3">
      <c r="A323">
        <v>46</v>
      </c>
      <c r="B323">
        <v>1</v>
      </c>
      <c r="C323">
        <v>2</v>
      </c>
      <c r="D323">
        <v>14</v>
      </c>
      <c r="E323">
        <v>2</v>
      </c>
      <c r="F323">
        <v>3.5253696191403199</v>
      </c>
      <c r="G323">
        <v>38</v>
      </c>
      <c r="H323">
        <v>90</v>
      </c>
      <c r="I323">
        <v>74</v>
      </c>
      <c r="J323">
        <v>1</v>
      </c>
      <c r="K323">
        <v>1</v>
      </c>
      <c r="L323" t="str">
        <f t="shared" ref="L323:L386" si="65">"C"&amp;TEXT(ROW()-1,"000")</f>
        <v>C322</v>
      </c>
      <c r="M323" t="str">
        <f t="shared" ref="M323:M386" si="66">IF(B323=0,"Male","Female")</f>
        <v>Female</v>
      </c>
      <c r="N323" t="str">
        <f t="shared" ref="N323:N386" si="67">IF(C323=1,"Bachelor's Type 1",IF(C323=2,"Bachelor's Type 2",IF(C323=3,"Master's","PhD")))</f>
        <v>Bachelor's Type 2</v>
      </c>
      <c r="O323" t="str">
        <f t="shared" ref="O323:O386" si="68">IF(D323&lt;=2,"Entry Level",IF(D323&lt;=6,"Mid Level","Senior Level"))</f>
        <v>Senior Level</v>
      </c>
      <c r="P323" t="str">
        <f t="shared" ref="P323:P386" si="69">IF(G323&lt;50,"Low",IF(G323&lt;75,"Average","Strong"))</f>
        <v>Low</v>
      </c>
      <c r="Q323" t="str">
        <f t="shared" ref="Q323:Q386" si="70">IF(H323&lt;50,"Beginner",IF(H323&lt;75,"Intermediate","Advanced"))</f>
        <v>Advanced</v>
      </c>
      <c r="R323" t="str">
        <f t="shared" ref="R323:R386" si="71">IF(I323&lt;50,"Needs Improvement",IF(I323&lt;75,"Good","Strong"))</f>
        <v>Good</v>
      </c>
      <c r="S323" t="str">
        <f t="shared" ref="S323:S386" si="72">IF(K323=1,"Hired","Not Hired")</f>
        <v>Hired</v>
      </c>
      <c r="T323">
        <f t="shared" ref="T323:T386" si="73">ROUND((G323*30%)+(H323*30%)+(I323*20%)+((D323/15)*100*15%)+(IF(C323&lt;=2,50,IF(C323=3,75,100))*5%),0)</f>
        <v>70</v>
      </c>
      <c r="U323" t="str">
        <f t="shared" ref="U323:U386" si="74">IF(T323&lt;50,"Needs Improvement",IF(T323&lt;75,"Developing","Job Ready"))</f>
        <v>Developing</v>
      </c>
      <c r="V323" t="str">
        <f t="shared" ref="V323:V386" si="75">IF(AND(G323&gt;=H323,G323&gt;=I323),"Interview",IF(H323&gt;=I323,"Technical Skills","Personality"))</f>
        <v>Technical Skills</v>
      </c>
      <c r="W323" t="str">
        <f t="shared" ref="W323:W386" si="76">IF(AND(G323&lt;=H323,G323&lt;=I323),"Interview Preparation",IF(H323&lt;=I323,"Technical Skills","Personality &amp; Communication"))</f>
        <v>Interview Preparation</v>
      </c>
      <c r="X323" t="str">
        <f t="shared" ref="X323:X386" si="77">IF(W323="Interview Preparation","Improve interview preparation and communication",IF(W323="Technical Skills","Strengthen technical skills and practical knowledge","Work on communication and personality development"))</f>
        <v>Improve interview preparation and communication</v>
      </c>
    </row>
    <row r="324" spans="1:24" x14ac:dyDescent="0.3">
      <c r="A324">
        <v>25</v>
      </c>
      <c r="B324">
        <v>1</v>
      </c>
      <c r="C324">
        <v>1</v>
      </c>
      <c r="D324">
        <v>9</v>
      </c>
      <c r="E324">
        <v>2</v>
      </c>
      <c r="F324">
        <v>28.3652372057342</v>
      </c>
      <c r="G324">
        <v>41</v>
      </c>
      <c r="H324">
        <v>88</v>
      </c>
      <c r="I324">
        <v>91</v>
      </c>
      <c r="J324">
        <v>2</v>
      </c>
      <c r="K324">
        <v>0</v>
      </c>
      <c r="L324" t="str">
        <f t="shared" si="65"/>
        <v>C323</v>
      </c>
      <c r="M324" t="str">
        <f t="shared" si="66"/>
        <v>Female</v>
      </c>
      <c r="N324" t="str">
        <f t="shared" si="67"/>
        <v>Bachelor's Type 1</v>
      </c>
      <c r="O324" t="str">
        <f t="shared" si="68"/>
        <v>Senior Level</v>
      </c>
      <c r="P324" t="str">
        <f t="shared" si="69"/>
        <v>Low</v>
      </c>
      <c r="Q324" t="str">
        <f t="shared" si="70"/>
        <v>Advanced</v>
      </c>
      <c r="R324" t="str">
        <f t="shared" si="71"/>
        <v>Strong</v>
      </c>
      <c r="S324" t="str">
        <f t="shared" si="72"/>
        <v>Not Hired</v>
      </c>
      <c r="T324">
        <f t="shared" si="73"/>
        <v>68</v>
      </c>
      <c r="U324" t="str">
        <f t="shared" si="74"/>
        <v>Developing</v>
      </c>
      <c r="V324" t="str">
        <f t="shared" si="75"/>
        <v>Personality</v>
      </c>
      <c r="W324" t="str">
        <f t="shared" si="76"/>
        <v>Interview Preparation</v>
      </c>
      <c r="X324" t="str">
        <f t="shared" si="77"/>
        <v>Improve interview preparation and communication</v>
      </c>
    </row>
    <row r="325" spans="1:24" x14ac:dyDescent="0.3">
      <c r="A325">
        <v>35</v>
      </c>
      <c r="B325">
        <v>0</v>
      </c>
      <c r="C325">
        <v>4</v>
      </c>
      <c r="D325">
        <v>3</v>
      </c>
      <c r="E325">
        <v>2</v>
      </c>
      <c r="F325">
        <v>45.522047400054198</v>
      </c>
      <c r="G325">
        <v>27</v>
      </c>
      <c r="H325">
        <v>12</v>
      </c>
      <c r="I325">
        <v>79</v>
      </c>
      <c r="J325">
        <v>1</v>
      </c>
      <c r="K325">
        <v>1</v>
      </c>
      <c r="L325" t="str">
        <f t="shared" si="65"/>
        <v>C324</v>
      </c>
      <c r="M325" t="str">
        <f t="shared" si="66"/>
        <v>Male</v>
      </c>
      <c r="N325" t="str">
        <f t="shared" si="67"/>
        <v>PhD</v>
      </c>
      <c r="O325" t="str">
        <f t="shared" si="68"/>
        <v>Mid Level</v>
      </c>
      <c r="P325" t="str">
        <f t="shared" si="69"/>
        <v>Low</v>
      </c>
      <c r="Q325" t="str">
        <f t="shared" si="70"/>
        <v>Beginner</v>
      </c>
      <c r="R325" t="str">
        <f t="shared" si="71"/>
        <v>Strong</v>
      </c>
      <c r="S325" t="str">
        <f t="shared" si="72"/>
        <v>Hired</v>
      </c>
      <c r="T325">
        <f t="shared" si="73"/>
        <v>36</v>
      </c>
      <c r="U325" t="str">
        <f t="shared" si="74"/>
        <v>Needs Improvement</v>
      </c>
      <c r="V325" t="str">
        <f t="shared" si="75"/>
        <v>Personality</v>
      </c>
      <c r="W325" t="str">
        <f t="shared" si="76"/>
        <v>Technical Skills</v>
      </c>
      <c r="X325" t="str">
        <f t="shared" si="77"/>
        <v>Strengthen technical skills and practical knowledge</v>
      </c>
    </row>
    <row r="326" spans="1:24" x14ac:dyDescent="0.3">
      <c r="A326">
        <v>48</v>
      </c>
      <c r="B326">
        <v>1</v>
      </c>
      <c r="C326">
        <v>2</v>
      </c>
      <c r="D326">
        <v>7</v>
      </c>
      <c r="E326">
        <v>4</v>
      </c>
      <c r="F326">
        <v>14.1360471780651</v>
      </c>
      <c r="G326">
        <v>28</v>
      </c>
      <c r="H326">
        <v>71</v>
      </c>
      <c r="I326">
        <v>40</v>
      </c>
      <c r="J326">
        <v>2</v>
      </c>
      <c r="K326">
        <v>0</v>
      </c>
      <c r="L326" t="str">
        <f t="shared" si="65"/>
        <v>C325</v>
      </c>
      <c r="M326" t="str">
        <f t="shared" si="66"/>
        <v>Female</v>
      </c>
      <c r="N326" t="str">
        <f t="shared" si="67"/>
        <v>Bachelor's Type 2</v>
      </c>
      <c r="O326" t="str">
        <f t="shared" si="68"/>
        <v>Senior Level</v>
      </c>
      <c r="P326" t="str">
        <f t="shared" si="69"/>
        <v>Low</v>
      </c>
      <c r="Q326" t="str">
        <f t="shared" si="70"/>
        <v>Intermediate</v>
      </c>
      <c r="R326" t="str">
        <f t="shared" si="71"/>
        <v>Needs Improvement</v>
      </c>
      <c r="S326" t="str">
        <f t="shared" si="72"/>
        <v>Not Hired</v>
      </c>
      <c r="T326">
        <f t="shared" si="73"/>
        <v>47</v>
      </c>
      <c r="U326" t="str">
        <f t="shared" si="74"/>
        <v>Needs Improvement</v>
      </c>
      <c r="V326" t="str">
        <f t="shared" si="75"/>
        <v>Technical Skills</v>
      </c>
      <c r="W326" t="str">
        <f t="shared" si="76"/>
        <v>Interview Preparation</v>
      </c>
      <c r="X326" t="str">
        <f t="shared" si="77"/>
        <v>Improve interview preparation and communication</v>
      </c>
    </row>
    <row r="327" spans="1:24" x14ac:dyDescent="0.3">
      <c r="A327">
        <v>22</v>
      </c>
      <c r="B327">
        <v>1</v>
      </c>
      <c r="C327">
        <v>2</v>
      </c>
      <c r="D327">
        <v>8</v>
      </c>
      <c r="E327">
        <v>1</v>
      </c>
      <c r="F327">
        <v>24.6124249472579</v>
      </c>
      <c r="G327">
        <v>42</v>
      </c>
      <c r="H327">
        <v>55</v>
      </c>
      <c r="I327">
        <v>93</v>
      </c>
      <c r="J327">
        <v>1</v>
      </c>
      <c r="K327">
        <v>1</v>
      </c>
      <c r="L327" t="str">
        <f t="shared" si="65"/>
        <v>C326</v>
      </c>
      <c r="M327" t="str">
        <f t="shared" si="66"/>
        <v>Female</v>
      </c>
      <c r="N327" t="str">
        <f t="shared" si="67"/>
        <v>Bachelor's Type 2</v>
      </c>
      <c r="O327" t="str">
        <f t="shared" si="68"/>
        <v>Senior Level</v>
      </c>
      <c r="P327" t="str">
        <f t="shared" si="69"/>
        <v>Low</v>
      </c>
      <c r="Q327" t="str">
        <f t="shared" si="70"/>
        <v>Intermediate</v>
      </c>
      <c r="R327" t="str">
        <f t="shared" si="71"/>
        <v>Strong</v>
      </c>
      <c r="S327" t="str">
        <f t="shared" si="72"/>
        <v>Hired</v>
      </c>
      <c r="T327">
        <f t="shared" si="73"/>
        <v>58</v>
      </c>
      <c r="U327" t="str">
        <f t="shared" si="74"/>
        <v>Developing</v>
      </c>
      <c r="V327" t="str">
        <f t="shared" si="75"/>
        <v>Personality</v>
      </c>
      <c r="W327" t="str">
        <f t="shared" si="76"/>
        <v>Interview Preparation</v>
      </c>
      <c r="X327" t="str">
        <f t="shared" si="77"/>
        <v>Improve interview preparation and communication</v>
      </c>
    </row>
    <row r="328" spans="1:24" x14ac:dyDescent="0.3">
      <c r="A328">
        <v>39</v>
      </c>
      <c r="B328">
        <v>0</v>
      </c>
      <c r="C328">
        <v>3</v>
      </c>
      <c r="D328">
        <v>12</v>
      </c>
      <c r="E328">
        <v>5</v>
      </c>
      <c r="F328">
        <v>17.216443956848298</v>
      </c>
      <c r="G328">
        <v>2</v>
      </c>
      <c r="H328">
        <v>4</v>
      </c>
      <c r="I328">
        <v>3</v>
      </c>
      <c r="J328">
        <v>2</v>
      </c>
      <c r="K328">
        <v>0</v>
      </c>
      <c r="L328" t="str">
        <f t="shared" si="65"/>
        <v>C327</v>
      </c>
      <c r="M328" t="str">
        <f t="shared" si="66"/>
        <v>Male</v>
      </c>
      <c r="N328" t="str">
        <f t="shared" si="67"/>
        <v>Master's</v>
      </c>
      <c r="O328" t="str">
        <f t="shared" si="68"/>
        <v>Senior Level</v>
      </c>
      <c r="P328" t="str">
        <f t="shared" si="69"/>
        <v>Low</v>
      </c>
      <c r="Q328" t="str">
        <f t="shared" si="70"/>
        <v>Beginner</v>
      </c>
      <c r="R328" t="str">
        <f t="shared" si="71"/>
        <v>Needs Improvement</v>
      </c>
      <c r="S328" t="str">
        <f t="shared" si="72"/>
        <v>Not Hired</v>
      </c>
      <c r="T328">
        <f t="shared" si="73"/>
        <v>18</v>
      </c>
      <c r="U328" t="str">
        <f t="shared" si="74"/>
        <v>Needs Improvement</v>
      </c>
      <c r="V328" t="str">
        <f t="shared" si="75"/>
        <v>Technical Skills</v>
      </c>
      <c r="W328" t="str">
        <f t="shared" si="76"/>
        <v>Interview Preparation</v>
      </c>
      <c r="X328" t="str">
        <f t="shared" si="77"/>
        <v>Improve interview preparation and communication</v>
      </c>
    </row>
    <row r="329" spans="1:24" x14ac:dyDescent="0.3">
      <c r="A329">
        <v>47</v>
      </c>
      <c r="B329">
        <v>1</v>
      </c>
      <c r="C329">
        <v>2</v>
      </c>
      <c r="D329">
        <v>6</v>
      </c>
      <c r="E329">
        <v>3</v>
      </c>
      <c r="F329">
        <v>48.607195853817501</v>
      </c>
      <c r="G329">
        <v>9</v>
      </c>
      <c r="H329">
        <v>11</v>
      </c>
      <c r="I329">
        <v>1</v>
      </c>
      <c r="J329">
        <v>3</v>
      </c>
      <c r="K329">
        <v>0</v>
      </c>
      <c r="L329" t="str">
        <f t="shared" si="65"/>
        <v>C328</v>
      </c>
      <c r="M329" t="str">
        <f t="shared" si="66"/>
        <v>Female</v>
      </c>
      <c r="N329" t="str">
        <f t="shared" si="67"/>
        <v>Bachelor's Type 2</v>
      </c>
      <c r="O329" t="str">
        <f t="shared" si="68"/>
        <v>Mid Level</v>
      </c>
      <c r="P329" t="str">
        <f t="shared" si="69"/>
        <v>Low</v>
      </c>
      <c r="Q329" t="str">
        <f t="shared" si="70"/>
        <v>Beginner</v>
      </c>
      <c r="R329" t="str">
        <f t="shared" si="71"/>
        <v>Needs Improvement</v>
      </c>
      <c r="S329" t="str">
        <f t="shared" si="72"/>
        <v>Not Hired</v>
      </c>
      <c r="T329">
        <f t="shared" si="73"/>
        <v>15</v>
      </c>
      <c r="U329" t="str">
        <f t="shared" si="74"/>
        <v>Needs Improvement</v>
      </c>
      <c r="V329" t="str">
        <f t="shared" si="75"/>
        <v>Technical Skills</v>
      </c>
      <c r="W329" t="str">
        <f t="shared" si="76"/>
        <v>Personality &amp; Communication</v>
      </c>
      <c r="X329" t="str">
        <f t="shared" si="77"/>
        <v>Work on communication and personality development</v>
      </c>
    </row>
    <row r="330" spans="1:24" x14ac:dyDescent="0.3">
      <c r="A330">
        <v>46</v>
      </c>
      <c r="B330">
        <v>1</v>
      </c>
      <c r="C330">
        <v>2</v>
      </c>
      <c r="D330">
        <v>13</v>
      </c>
      <c r="E330">
        <v>1</v>
      </c>
      <c r="F330">
        <v>42.182279737654497</v>
      </c>
      <c r="G330">
        <v>58</v>
      </c>
      <c r="H330">
        <v>40</v>
      </c>
      <c r="I330">
        <v>66</v>
      </c>
      <c r="J330">
        <v>3</v>
      </c>
      <c r="K330">
        <v>0</v>
      </c>
      <c r="L330" t="str">
        <f t="shared" si="65"/>
        <v>C329</v>
      </c>
      <c r="M330" t="str">
        <f t="shared" si="66"/>
        <v>Female</v>
      </c>
      <c r="N330" t="str">
        <f t="shared" si="67"/>
        <v>Bachelor's Type 2</v>
      </c>
      <c r="O330" t="str">
        <f t="shared" si="68"/>
        <v>Senior Level</v>
      </c>
      <c r="P330" t="str">
        <f t="shared" si="69"/>
        <v>Average</v>
      </c>
      <c r="Q330" t="str">
        <f t="shared" si="70"/>
        <v>Beginner</v>
      </c>
      <c r="R330" t="str">
        <f t="shared" si="71"/>
        <v>Good</v>
      </c>
      <c r="S330" t="str">
        <f t="shared" si="72"/>
        <v>Not Hired</v>
      </c>
      <c r="T330">
        <f t="shared" si="73"/>
        <v>58</v>
      </c>
      <c r="U330" t="str">
        <f t="shared" si="74"/>
        <v>Developing</v>
      </c>
      <c r="V330" t="str">
        <f t="shared" si="75"/>
        <v>Personality</v>
      </c>
      <c r="W330" t="str">
        <f t="shared" si="76"/>
        <v>Technical Skills</v>
      </c>
      <c r="X330" t="str">
        <f t="shared" si="77"/>
        <v>Strengthen technical skills and practical knowledge</v>
      </c>
    </row>
    <row r="331" spans="1:24" x14ac:dyDescent="0.3">
      <c r="A331">
        <v>23</v>
      </c>
      <c r="B331">
        <v>0</v>
      </c>
      <c r="C331">
        <v>2</v>
      </c>
      <c r="D331">
        <v>15</v>
      </c>
      <c r="E331">
        <v>3</v>
      </c>
      <c r="F331">
        <v>36.450075566318901</v>
      </c>
      <c r="G331">
        <v>13</v>
      </c>
      <c r="H331">
        <v>2</v>
      </c>
      <c r="I331">
        <v>20</v>
      </c>
      <c r="J331">
        <v>2</v>
      </c>
      <c r="K331">
        <v>0</v>
      </c>
      <c r="L331" t="str">
        <f t="shared" si="65"/>
        <v>C330</v>
      </c>
      <c r="M331" t="str">
        <f t="shared" si="66"/>
        <v>Male</v>
      </c>
      <c r="N331" t="str">
        <f t="shared" si="67"/>
        <v>Bachelor's Type 2</v>
      </c>
      <c r="O331" t="str">
        <f t="shared" si="68"/>
        <v>Senior Level</v>
      </c>
      <c r="P331" t="str">
        <f t="shared" si="69"/>
        <v>Low</v>
      </c>
      <c r="Q331" t="str">
        <f t="shared" si="70"/>
        <v>Beginner</v>
      </c>
      <c r="R331" t="str">
        <f t="shared" si="71"/>
        <v>Needs Improvement</v>
      </c>
      <c r="S331" t="str">
        <f t="shared" si="72"/>
        <v>Not Hired</v>
      </c>
      <c r="T331">
        <f t="shared" si="73"/>
        <v>26</v>
      </c>
      <c r="U331" t="str">
        <f t="shared" si="74"/>
        <v>Needs Improvement</v>
      </c>
      <c r="V331" t="str">
        <f t="shared" si="75"/>
        <v>Personality</v>
      </c>
      <c r="W331" t="str">
        <f t="shared" si="76"/>
        <v>Technical Skills</v>
      </c>
      <c r="X331" t="str">
        <f t="shared" si="77"/>
        <v>Strengthen technical skills and practical knowledge</v>
      </c>
    </row>
    <row r="332" spans="1:24" x14ac:dyDescent="0.3">
      <c r="A332">
        <v>38</v>
      </c>
      <c r="B332">
        <v>0</v>
      </c>
      <c r="C332">
        <v>2</v>
      </c>
      <c r="D332">
        <v>6</v>
      </c>
      <c r="E332">
        <v>5</v>
      </c>
      <c r="F332">
        <v>30.381349330755398</v>
      </c>
      <c r="G332">
        <v>75</v>
      </c>
      <c r="H332">
        <v>98</v>
      </c>
      <c r="I332">
        <v>69</v>
      </c>
      <c r="J332">
        <v>2</v>
      </c>
      <c r="K332">
        <v>1</v>
      </c>
      <c r="L332" t="str">
        <f t="shared" si="65"/>
        <v>C331</v>
      </c>
      <c r="M332" t="str">
        <f t="shared" si="66"/>
        <v>Male</v>
      </c>
      <c r="N332" t="str">
        <f t="shared" si="67"/>
        <v>Bachelor's Type 2</v>
      </c>
      <c r="O332" t="str">
        <f t="shared" si="68"/>
        <v>Mid Level</v>
      </c>
      <c r="P332" t="str">
        <f t="shared" si="69"/>
        <v>Strong</v>
      </c>
      <c r="Q332" t="str">
        <f t="shared" si="70"/>
        <v>Advanced</v>
      </c>
      <c r="R332" t="str">
        <f t="shared" si="71"/>
        <v>Good</v>
      </c>
      <c r="S332" t="str">
        <f t="shared" si="72"/>
        <v>Hired</v>
      </c>
      <c r="T332">
        <f t="shared" si="73"/>
        <v>74</v>
      </c>
      <c r="U332" t="str">
        <f t="shared" si="74"/>
        <v>Developing</v>
      </c>
      <c r="V332" t="str">
        <f t="shared" si="75"/>
        <v>Technical Skills</v>
      </c>
      <c r="W332" t="str">
        <f t="shared" si="76"/>
        <v>Personality &amp; Communication</v>
      </c>
      <c r="X332" t="str">
        <f t="shared" si="77"/>
        <v>Work on communication and personality development</v>
      </c>
    </row>
    <row r="333" spans="1:24" x14ac:dyDescent="0.3">
      <c r="A333">
        <v>45</v>
      </c>
      <c r="B333">
        <v>0</v>
      </c>
      <c r="C333">
        <v>4</v>
      </c>
      <c r="D333">
        <v>15</v>
      </c>
      <c r="E333">
        <v>4</v>
      </c>
      <c r="F333">
        <v>42.029589466207398</v>
      </c>
      <c r="G333">
        <v>46</v>
      </c>
      <c r="H333">
        <v>32</v>
      </c>
      <c r="I333">
        <v>42</v>
      </c>
      <c r="J333">
        <v>2</v>
      </c>
      <c r="K333">
        <v>0</v>
      </c>
      <c r="L333" t="str">
        <f t="shared" si="65"/>
        <v>C332</v>
      </c>
      <c r="M333" t="str">
        <f t="shared" si="66"/>
        <v>Male</v>
      </c>
      <c r="N333" t="str">
        <f t="shared" si="67"/>
        <v>PhD</v>
      </c>
      <c r="O333" t="str">
        <f t="shared" si="68"/>
        <v>Senior Level</v>
      </c>
      <c r="P333" t="str">
        <f t="shared" si="69"/>
        <v>Low</v>
      </c>
      <c r="Q333" t="str">
        <f t="shared" si="70"/>
        <v>Beginner</v>
      </c>
      <c r="R333" t="str">
        <f t="shared" si="71"/>
        <v>Needs Improvement</v>
      </c>
      <c r="S333" t="str">
        <f t="shared" si="72"/>
        <v>Not Hired</v>
      </c>
      <c r="T333">
        <f t="shared" si="73"/>
        <v>52</v>
      </c>
      <c r="U333" t="str">
        <f t="shared" si="74"/>
        <v>Developing</v>
      </c>
      <c r="V333" t="str">
        <f t="shared" si="75"/>
        <v>Interview</v>
      </c>
      <c r="W333" t="str">
        <f t="shared" si="76"/>
        <v>Technical Skills</v>
      </c>
      <c r="X333" t="str">
        <f t="shared" si="77"/>
        <v>Strengthen technical skills and practical knowledge</v>
      </c>
    </row>
    <row r="334" spans="1:24" x14ac:dyDescent="0.3">
      <c r="A334">
        <v>22</v>
      </c>
      <c r="B334">
        <v>1</v>
      </c>
      <c r="C334">
        <v>3</v>
      </c>
      <c r="D334">
        <v>4</v>
      </c>
      <c r="E334">
        <v>2</v>
      </c>
      <c r="F334">
        <v>20.6133520761773</v>
      </c>
      <c r="G334">
        <v>41</v>
      </c>
      <c r="H334">
        <v>85</v>
      </c>
      <c r="I334">
        <v>81</v>
      </c>
      <c r="J334">
        <v>3</v>
      </c>
      <c r="K334">
        <v>0</v>
      </c>
      <c r="L334" t="str">
        <f t="shared" si="65"/>
        <v>C333</v>
      </c>
      <c r="M334" t="str">
        <f t="shared" si="66"/>
        <v>Female</v>
      </c>
      <c r="N334" t="str">
        <f t="shared" si="67"/>
        <v>Master's</v>
      </c>
      <c r="O334" t="str">
        <f t="shared" si="68"/>
        <v>Mid Level</v>
      </c>
      <c r="P334" t="str">
        <f t="shared" si="69"/>
        <v>Low</v>
      </c>
      <c r="Q334" t="str">
        <f t="shared" si="70"/>
        <v>Advanced</v>
      </c>
      <c r="R334" t="str">
        <f t="shared" si="71"/>
        <v>Strong</v>
      </c>
      <c r="S334" t="str">
        <f t="shared" si="72"/>
        <v>Not Hired</v>
      </c>
      <c r="T334">
        <f t="shared" si="73"/>
        <v>62</v>
      </c>
      <c r="U334" t="str">
        <f t="shared" si="74"/>
        <v>Developing</v>
      </c>
      <c r="V334" t="str">
        <f t="shared" si="75"/>
        <v>Technical Skills</v>
      </c>
      <c r="W334" t="str">
        <f t="shared" si="76"/>
        <v>Interview Preparation</v>
      </c>
      <c r="X334" t="str">
        <f t="shared" si="77"/>
        <v>Improve interview preparation and communication</v>
      </c>
    </row>
    <row r="335" spans="1:24" x14ac:dyDescent="0.3">
      <c r="A335">
        <v>50</v>
      </c>
      <c r="B335">
        <v>1</v>
      </c>
      <c r="C335">
        <v>2</v>
      </c>
      <c r="D335">
        <v>3</v>
      </c>
      <c r="E335">
        <v>2</v>
      </c>
      <c r="F335">
        <v>23.377592755302999</v>
      </c>
      <c r="G335">
        <v>93</v>
      </c>
      <c r="H335">
        <v>49</v>
      </c>
      <c r="I335">
        <v>68</v>
      </c>
      <c r="J335">
        <v>2</v>
      </c>
      <c r="K335">
        <v>0</v>
      </c>
      <c r="L335" t="str">
        <f t="shared" si="65"/>
        <v>C334</v>
      </c>
      <c r="M335" t="str">
        <f t="shared" si="66"/>
        <v>Female</v>
      </c>
      <c r="N335" t="str">
        <f t="shared" si="67"/>
        <v>Bachelor's Type 2</v>
      </c>
      <c r="O335" t="str">
        <f t="shared" si="68"/>
        <v>Mid Level</v>
      </c>
      <c r="P335" t="str">
        <f t="shared" si="69"/>
        <v>Strong</v>
      </c>
      <c r="Q335" t="str">
        <f t="shared" si="70"/>
        <v>Beginner</v>
      </c>
      <c r="R335" t="str">
        <f t="shared" si="71"/>
        <v>Good</v>
      </c>
      <c r="S335" t="str">
        <f t="shared" si="72"/>
        <v>Not Hired</v>
      </c>
      <c r="T335">
        <f t="shared" si="73"/>
        <v>62</v>
      </c>
      <c r="U335" t="str">
        <f t="shared" si="74"/>
        <v>Developing</v>
      </c>
      <c r="V335" t="str">
        <f t="shared" si="75"/>
        <v>Interview</v>
      </c>
      <c r="W335" t="str">
        <f t="shared" si="76"/>
        <v>Technical Skills</v>
      </c>
      <c r="X335" t="str">
        <f t="shared" si="77"/>
        <v>Strengthen technical skills and practical knowledge</v>
      </c>
    </row>
    <row r="336" spans="1:24" x14ac:dyDescent="0.3">
      <c r="A336">
        <v>38</v>
      </c>
      <c r="B336">
        <v>1</v>
      </c>
      <c r="C336">
        <v>1</v>
      </c>
      <c r="D336">
        <v>13</v>
      </c>
      <c r="E336">
        <v>4</v>
      </c>
      <c r="F336">
        <v>37.500086054043003</v>
      </c>
      <c r="G336">
        <v>31</v>
      </c>
      <c r="H336">
        <v>55</v>
      </c>
      <c r="I336">
        <v>8</v>
      </c>
      <c r="J336">
        <v>2</v>
      </c>
      <c r="K336">
        <v>0</v>
      </c>
      <c r="L336" t="str">
        <f t="shared" si="65"/>
        <v>C335</v>
      </c>
      <c r="M336" t="str">
        <f t="shared" si="66"/>
        <v>Female</v>
      </c>
      <c r="N336" t="str">
        <f t="shared" si="67"/>
        <v>Bachelor's Type 1</v>
      </c>
      <c r="O336" t="str">
        <f t="shared" si="68"/>
        <v>Senior Level</v>
      </c>
      <c r="P336" t="str">
        <f t="shared" si="69"/>
        <v>Low</v>
      </c>
      <c r="Q336" t="str">
        <f t="shared" si="70"/>
        <v>Intermediate</v>
      </c>
      <c r="R336" t="str">
        <f t="shared" si="71"/>
        <v>Needs Improvement</v>
      </c>
      <c r="S336" t="str">
        <f t="shared" si="72"/>
        <v>Not Hired</v>
      </c>
      <c r="T336">
        <f t="shared" si="73"/>
        <v>43</v>
      </c>
      <c r="U336" t="str">
        <f t="shared" si="74"/>
        <v>Needs Improvement</v>
      </c>
      <c r="V336" t="str">
        <f t="shared" si="75"/>
        <v>Technical Skills</v>
      </c>
      <c r="W336" t="str">
        <f t="shared" si="76"/>
        <v>Personality &amp; Communication</v>
      </c>
      <c r="X336" t="str">
        <f t="shared" si="77"/>
        <v>Work on communication and personality development</v>
      </c>
    </row>
    <row r="337" spans="1:24" x14ac:dyDescent="0.3">
      <c r="A337">
        <v>39</v>
      </c>
      <c r="B337">
        <v>0</v>
      </c>
      <c r="C337">
        <v>1</v>
      </c>
      <c r="D337">
        <v>9</v>
      </c>
      <c r="E337">
        <v>1</v>
      </c>
      <c r="F337">
        <v>18.8877381646857</v>
      </c>
      <c r="G337">
        <v>31</v>
      </c>
      <c r="H337">
        <v>8</v>
      </c>
      <c r="I337">
        <v>83</v>
      </c>
      <c r="J337">
        <v>3</v>
      </c>
      <c r="K337">
        <v>0</v>
      </c>
      <c r="L337" t="str">
        <f t="shared" si="65"/>
        <v>C336</v>
      </c>
      <c r="M337" t="str">
        <f t="shared" si="66"/>
        <v>Male</v>
      </c>
      <c r="N337" t="str">
        <f t="shared" si="67"/>
        <v>Bachelor's Type 1</v>
      </c>
      <c r="O337" t="str">
        <f t="shared" si="68"/>
        <v>Senior Level</v>
      </c>
      <c r="P337" t="str">
        <f t="shared" si="69"/>
        <v>Low</v>
      </c>
      <c r="Q337" t="str">
        <f t="shared" si="70"/>
        <v>Beginner</v>
      </c>
      <c r="R337" t="str">
        <f t="shared" si="71"/>
        <v>Strong</v>
      </c>
      <c r="S337" t="str">
        <f t="shared" si="72"/>
        <v>Not Hired</v>
      </c>
      <c r="T337">
        <f t="shared" si="73"/>
        <v>40</v>
      </c>
      <c r="U337" t="str">
        <f t="shared" si="74"/>
        <v>Needs Improvement</v>
      </c>
      <c r="V337" t="str">
        <f t="shared" si="75"/>
        <v>Personality</v>
      </c>
      <c r="W337" t="str">
        <f t="shared" si="76"/>
        <v>Technical Skills</v>
      </c>
      <c r="X337" t="str">
        <f t="shared" si="77"/>
        <v>Strengthen technical skills and practical knowledge</v>
      </c>
    </row>
    <row r="338" spans="1:24" x14ac:dyDescent="0.3">
      <c r="A338">
        <v>26</v>
      </c>
      <c r="B338">
        <v>0</v>
      </c>
      <c r="C338">
        <v>2</v>
      </c>
      <c r="D338">
        <v>0</v>
      </c>
      <c r="E338">
        <v>1</v>
      </c>
      <c r="F338">
        <v>4.1950471024186902</v>
      </c>
      <c r="G338">
        <v>41</v>
      </c>
      <c r="H338">
        <v>81</v>
      </c>
      <c r="I338">
        <v>27</v>
      </c>
      <c r="J338">
        <v>2</v>
      </c>
      <c r="K338">
        <v>0</v>
      </c>
      <c r="L338" t="str">
        <f t="shared" si="65"/>
        <v>C337</v>
      </c>
      <c r="M338" t="str">
        <f t="shared" si="66"/>
        <v>Male</v>
      </c>
      <c r="N338" t="str">
        <f t="shared" si="67"/>
        <v>Bachelor's Type 2</v>
      </c>
      <c r="O338" t="str">
        <f t="shared" si="68"/>
        <v>Entry Level</v>
      </c>
      <c r="P338" t="str">
        <f t="shared" si="69"/>
        <v>Low</v>
      </c>
      <c r="Q338" t="str">
        <f t="shared" si="70"/>
        <v>Advanced</v>
      </c>
      <c r="R338" t="str">
        <f t="shared" si="71"/>
        <v>Needs Improvement</v>
      </c>
      <c r="S338" t="str">
        <f t="shared" si="72"/>
        <v>Not Hired</v>
      </c>
      <c r="T338">
        <f t="shared" si="73"/>
        <v>45</v>
      </c>
      <c r="U338" t="str">
        <f t="shared" si="74"/>
        <v>Needs Improvement</v>
      </c>
      <c r="V338" t="str">
        <f t="shared" si="75"/>
        <v>Technical Skills</v>
      </c>
      <c r="W338" t="str">
        <f t="shared" si="76"/>
        <v>Personality &amp; Communication</v>
      </c>
      <c r="X338" t="str">
        <f t="shared" si="77"/>
        <v>Work on communication and personality development</v>
      </c>
    </row>
    <row r="339" spans="1:24" x14ac:dyDescent="0.3">
      <c r="A339">
        <v>39</v>
      </c>
      <c r="B339">
        <v>1</v>
      </c>
      <c r="C339">
        <v>3</v>
      </c>
      <c r="D339">
        <v>9</v>
      </c>
      <c r="E339">
        <v>3</v>
      </c>
      <c r="F339">
        <v>4.71673044430357</v>
      </c>
      <c r="G339">
        <v>31</v>
      </c>
      <c r="H339">
        <v>49</v>
      </c>
      <c r="I339">
        <v>25</v>
      </c>
      <c r="J339">
        <v>3</v>
      </c>
      <c r="K339">
        <v>0</v>
      </c>
      <c r="L339" t="str">
        <f t="shared" si="65"/>
        <v>C338</v>
      </c>
      <c r="M339" t="str">
        <f t="shared" si="66"/>
        <v>Female</v>
      </c>
      <c r="N339" t="str">
        <f t="shared" si="67"/>
        <v>Master's</v>
      </c>
      <c r="O339" t="str">
        <f t="shared" si="68"/>
        <v>Senior Level</v>
      </c>
      <c r="P339" t="str">
        <f t="shared" si="69"/>
        <v>Low</v>
      </c>
      <c r="Q339" t="str">
        <f t="shared" si="70"/>
        <v>Beginner</v>
      </c>
      <c r="R339" t="str">
        <f t="shared" si="71"/>
        <v>Needs Improvement</v>
      </c>
      <c r="S339" t="str">
        <f t="shared" si="72"/>
        <v>Not Hired</v>
      </c>
      <c r="T339">
        <f t="shared" si="73"/>
        <v>42</v>
      </c>
      <c r="U339" t="str">
        <f t="shared" si="74"/>
        <v>Needs Improvement</v>
      </c>
      <c r="V339" t="str">
        <f t="shared" si="75"/>
        <v>Technical Skills</v>
      </c>
      <c r="W339" t="str">
        <f t="shared" si="76"/>
        <v>Personality &amp; Communication</v>
      </c>
      <c r="X339" t="str">
        <f t="shared" si="77"/>
        <v>Work on communication and personality development</v>
      </c>
    </row>
    <row r="340" spans="1:24" x14ac:dyDescent="0.3">
      <c r="A340">
        <v>28</v>
      </c>
      <c r="B340">
        <v>1</v>
      </c>
      <c r="C340">
        <v>2</v>
      </c>
      <c r="D340">
        <v>9</v>
      </c>
      <c r="E340">
        <v>4</v>
      </c>
      <c r="F340">
        <v>6.7681400652851904</v>
      </c>
      <c r="G340">
        <v>25</v>
      </c>
      <c r="H340">
        <v>28</v>
      </c>
      <c r="I340">
        <v>81</v>
      </c>
      <c r="J340">
        <v>3</v>
      </c>
      <c r="K340">
        <v>0</v>
      </c>
      <c r="L340" t="str">
        <f t="shared" si="65"/>
        <v>C339</v>
      </c>
      <c r="M340" t="str">
        <f t="shared" si="66"/>
        <v>Female</v>
      </c>
      <c r="N340" t="str">
        <f t="shared" si="67"/>
        <v>Bachelor's Type 2</v>
      </c>
      <c r="O340" t="str">
        <f t="shared" si="68"/>
        <v>Senior Level</v>
      </c>
      <c r="P340" t="str">
        <f t="shared" si="69"/>
        <v>Low</v>
      </c>
      <c r="Q340" t="str">
        <f t="shared" si="70"/>
        <v>Beginner</v>
      </c>
      <c r="R340" t="str">
        <f t="shared" si="71"/>
        <v>Strong</v>
      </c>
      <c r="S340" t="str">
        <f t="shared" si="72"/>
        <v>Not Hired</v>
      </c>
      <c r="T340">
        <f t="shared" si="73"/>
        <v>44</v>
      </c>
      <c r="U340" t="str">
        <f t="shared" si="74"/>
        <v>Needs Improvement</v>
      </c>
      <c r="V340" t="str">
        <f t="shared" si="75"/>
        <v>Personality</v>
      </c>
      <c r="W340" t="str">
        <f t="shared" si="76"/>
        <v>Interview Preparation</v>
      </c>
      <c r="X340" t="str">
        <f t="shared" si="77"/>
        <v>Improve interview preparation and communication</v>
      </c>
    </row>
    <row r="341" spans="1:24" x14ac:dyDescent="0.3">
      <c r="A341">
        <v>20</v>
      </c>
      <c r="B341">
        <v>0</v>
      </c>
      <c r="C341">
        <v>2</v>
      </c>
      <c r="D341">
        <v>6</v>
      </c>
      <c r="E341">
        <v>1</v>
      </c>
      <c r="F341">
        <v>44.484066167183101</v>
      </c>
      <c r="G341">
        <v>0</v>
      </c>
      <c r="H341">
        <v>38</v>
      </c>
      <c r="I341">
        <v>82</v>
      </c>
      <c r="J341">
        <v>3</v>
      </c>
      <c r="K341">
        <v>0</v>
      </c>
      <c r="L341" t="str">
        <f t="shared" si="65"/>
        <v>C340</v>
      </c>
      <c r="M341" t="str">
        <f t="shared" si="66"/>
        <v>Male</v>
      </c>
      <c r="N341" t="str">
        <f t="shared" si="67"/>
        <v>Bachelor's Type 2</v>
      </c>
      <c r="O341" t="str">
        <f t="shared" si="68"/>
        <v>Mid Level</v>
      </c>
      <c r="P341" t="str">
        <f t="shared" si="69"/>
        <v>Low</v>
      </c>
      <c r="Q341" t="str">
        <f t="shared" si="70"/>
        <v>Beginner</v>
      </c>
      <c r="R341" t="str">
        <f t="shared" si="71"/>
        <v>Strong</v>
      </c>
      <c r="S341" t="str">
        <f t="shared" si="72"/>
        <v>Not Hired</v>
      </c>
      <c r="T341">
        <f t="shared" si="73"/>
        <v>36</v>
      </c>
      <c r="U341" t="str">
        <f t="shared" si="74"/>
        <v>Needs Improvement</v>
      </c>
      <c r="V341" t="str">
        <f t="shared" si="75"/>
        <v>Personality</v>
      </c>
      <c r="W341" t="str">
        <f t="shared" si="76"/>
        <v>Interview Preparation</v>
      </c>
      <c r="X341" t="str">
        <f t="shared" si="77"/>
        <v>Improve interview preparation and communication</v>
      </c>
    </row>
    <row r="342" spans="1:24" x14ac:dyDescent="0.3">
      <c r="A342">
        <v>27</v>
      </c>
      <c r="B342">
        <v>0</v>
      </c>
      <c r="C342">
        <v>3</v>
      </c>
      <c r="D342">
        <v>15</v>
      </c>
      <c r="E342">
        <v>4</v>
      </c>
      <c r="F342">
        <v>24.611321287810199</v>
      </c>
      <c r="G342">
        <v>55</v>
      </c>
      <c r="H342">
        <v>90</v>
      </c>
      <c r="I342">
        <v>2</v>
      </c>
      <c r="J342">
        <v>1</v>
      </c>
      <c r="K342">
        <v>1</v>
      </c>
      <c r="L342" t="str">
        <f t="shared" si="65"/>
        <v>C341</v>
      </c>
      <c r="M342" t="str">
        <f t="shared" si="66"/>
        <v>Male</v>
      </c>
      <c r="N342" t="str">
        <f t="shared" si="67"/>
        <v>Master's</v>
      </c>
      <c r="O342" t="str">
        <f t="shared" si="68"/>
        <v>Senior Level</v>
      </c>
      <c r="P342" t="str">
        <f t="shared" si="69"/>
        <v>Average</v>
      </c>
      <c r="Q342" t="str">
        <f t="shared" si="70"/>
        <v>Advanced</v>
      </c>
      <c r="R342" t="str">
        <f t="shared" si="71"/>
        <v>Needs Improvement</v>
      </c>
      <c r="S342" t="str">
        <f t="shared" si="72"/>
        <v>Hired</v>
      </c>
      <c r="T342">
        <f t="shared" si="73"/>
        <v>63</v>
      </c>
      <c r="U342" t="str">
        <f t="shared" si="74"/>
        <v>Developing</v>
      </c>
      <c r="V342" t="str">
        <f t="shared" si="75"/>
        <v>Technical Skills</v>
      </c>
      <c r="W342" t="str">
        <f t="shared" si="76"/>
        <v>Personality &amp; Communication</v>
      </c>
      <c r="X342" t="str">
        <f t="shared" si="77"/>
        <v>Work on communication and personality development</v>
      </c>
    </row>
    <row r="343" spans="1:24" x14ac:dyDescent="0.3">
      <c r="A343">
        <v>26</v>
      </c>
      <c r="B343">
        <v>0</v>
      </c>
      <c r="C343">
        <v>1</v>
      </c>
      <c r="D343">
        <v>0</v>
      </c>
      <c r="E343">
        <v>5</v>
      </c>
      <c r="F343">
        <v>36.644118467236801</v>
      </c>
      <c r="G343">
        <v>1</v>
      </c>
      <c r="H343">
        <v>99</v>
      </c>
      <c r="I343">
        <v>72</v>
      </c>
      <c r="J343">
        <v>2</v>
      </c>
      <c r="K343">
        <v>0</v>
      </c>
      <c r="L343" t="str">
        <f t="shared" si="65"/>
        <v>C342</v>
      </c>
      <c r="M343" t="str">
        <f t="shared" si="66"/>
        <v>Male</v>
      </c>
      <c r="N343" t="str">
        <f t="shared" si="67"/>
        <v>Bachelor's Type 1</v>
      </c>
      <c r="O343" t="str">
        <f t="shared" si="68"/>
        <v>Entry Level</v>
      </c>
      <c r="P343" t="str">
        <f t="shared" si="69"/>
        <v>Low</v>
      </c>
      <c r="Q343" t="str">
        <f t="shared" si="70"/>
        <v>Advanced</v>
      </c>
      <c r="R343" t="str">
        <f t="shared" si="71"/>
        <v>Good</v>
      </c>
      <c r="S343" t="str">
        <f t="shared" si="72"/>
        <v>Not Hired</v>
      </c>
      <c r="T343">
        <f t="shared" si="73"/>
        <v>47</v>
      </c>
      <c r="U343" t="str">
        <f t="shared" si="74"/>
        <v>Needs Improvement</v>
      </c>
      <c r="V343" t="str">
        <f t="shared" si="75"/>
        <v>Technical Skills</v>
      </c>
      <c r="W343" t="str">
        <f t="shared" si="76"/>
        <v>Interview Preparation</v>
      </c>
      <c r="X343" t="str">
        <f t="shared" si="77"/>
        <v>Improve interview preparation and communication</v>
      </c>
    </row>
    <row r="344" spans="1:24" x14ac:dyDescent="0.3">
      <c r="A344">
        <v>37</v>
      </c>
      <c r="B344">
        <v>0</v>
      </c>
      <c r="C344">
        <v>2</v>
      </c>
      <c r="D344">
        <v>0</v>
      </c>
      <c r="E344">
        <v>2</v>
      </c>
      <c r="F344">
        <v>20.6454667802446</v>
      </c>
      <c r="G344">
        <v>80</v>
      </c>
      <c r="H344">
        <v>44</v>
      </c>
      <c r="I344">
        <v>99</v>
      </c>
      <c r="J344">
        <v>3</v>
      </c>
      <c r="K344">
        <v>0</v>
      </c>
      <c r="L344" t="str">
        <f t="shared" si="65"/>
        <v>C343</v>
      </c>
      <c r="M344" t="str">
        <f t="shared" si="66"/>
        <v>Male</v>
      </c>
      <c r="N344" t="str">
        <f t="shared" si="67"/>
        <v>Bachelor's Type 2</v>
      </c>
      <c r="O344" t="str">
        <f t="shared" si="68"/>
        <v>Entry Level</v>
      </c>
      <c r="P344" t="str">
        <f t="shared" si="69"/>
        <v>Strong</v>
      </c>
      <c r="Q344" t="str">
        <f t="shared" si="70"/>
        <v>Beginner</v>
      </c>
      <c r="R344" t="str">
        <f t="shared" si="71"/>
        <v>Strong</v>
      </c>
      <c r="S344" t="str">
        <f t="shared" si="72"/>
        <v>Not Hired</v>
      </c>
      <c r="T344">
        <f t="shared" si="73"/>
        <v>60</v>
      </c>
      <c r="U344" t="str">
        <f t="shared" si="74"/>
        <v>Developing</v>
      </c>
      <c r="V344" t="str">
        <f t="shared" si="75"/>
        <v>Personality</v>
      </c>
      <c r="W344" t="str">
        <f t="shared" si="76"/>
        <v>Technical Skills</v>
      </c>
      <c r="X344" t="str">
        <f t="shared" si="77"/>
        <v>Strengthen technical skills and practical knowledge</v>
      </c>
    </row>
    <row r="345" spans="1:24" x14ac:dyDescent="0.3">
      <c r="A345">
        <v>27</v>
      </c>
      <c r="B345">
        <v>1</v>
      </c>
      <c r="C345">
        <v>1</v>
      </c>
      <c r="D345">
        <v>4</v>
      </c>
      <c r="E345">
        <v>2</v>
      </c>
      <c r="F345">
        <v>13.9355473707817</v>
      </c>
      <c r="G345">
        <v>29</v>
      </c>
      <c r="H345">
        <v>16</v>
      </c>
      <c r="I345">
        <v>94</v>
      </c>
      <c r="J345">
        <v>2</v>
      </c>
      <c r="K345">
        <v>0</v>
      </c>
      <c r="L345" t="str">
        <f t="shared" si="65"/>
        <v>C344</v>
      </c>
      <c r="M345" t="str">
        <f t="shared" si="66"/>
        <v>Female</v>
      </c>
      <c r="N345" t="str">
        <f t="shared" si="67"/>
        <v>Bachelor's Type 1</v>
      </c>
      <c r="O345" t="str">
        <f t="shared" si="68"/>
        <v>Mid Level</v>
      </c>
      <c r="P345" t="str">
        <f t="shared" si="69"/>
        <v>Low</v>
      </c>
      <c r="Q345" t="str">
        <f t="shared" si="70"/>
        <v>Beginner</v>
      </c>
      <c r="R345" t="str">
        <f t="shared" si="71"/>
        <v>Strong</v>
      </c>
      <c r="S345" t="str">
        <f t="shared" si="72"/>
        <v>Not Hired</v>
      </c>
      <c r="T345">
        <f t="shared" si="73"/>
        <v>39</v>
      </c>
      <c r="U345" t="str">
        <f t="shared" si="74"/>
        <v>Needs Improvement</v>
      </c>
      <c r="V345" t="str">
        <f t="shared" si="75"/>
        <v>Personality</v>
      </c>
      <c r="W345" t="str">
        <f t="shared" si="76"/>
        <v>Technical Skills</v>
      </c>
      <c r="X345" t="str">
        <f t="shared" si="77"/>
        <v>Strengthen technical skills and practical knowledge</v>
      </c>
    </row>
    <row r="346" spans="1:24" x14ac:dyDescent="0.3">
      <c r="A346">
        <v>20</v>
      </c>
      <c r="B346">
        <v>0</v>
      </c>
      <c r="C346">
        <v>4</v>
      </c>
      <c r="D346">
        <v>12</v>
      </c>
      <c r="E346">
        <v>2</v>
      </c>
      <c r="F346">
        <v>18.359608378110501</v>
      </c>
      <c r="G346">
        <v>70</v>
      </c>
      <c r="H346">
        <v>55</v>
      </c>
      <c r="I346">
        <v>48</v>
      </c>
      <c r="J346">
        <v>2</v>
      </c>
      <c r="K346">
        <v>0</v>
      </c>
      <c r="L346" t="str">
        <f t="shared" si="65"/>
        <v>C345</v>
      </c>
      <c r="M346" t="str">
        <f t="shared" si="66"/>
        <v>Male</v>
      </c>
      <c r="N346" t="str">
        <f t="shared" si="67"/>
        <v>PhD</v>
      </c>
      <c r="O346" t="str">
        <f t="shared" si="68"/>
        <v>Senior Level</v>
      </c>
      <c r="P346" t="str">
        <f t="shared" si="69"/>
        <v>Average</v>
      </c>
      <c r="Q346" t="str">
        <f t="shared" si="70"/>
        <v>Intermediate</v>
      </c>
      <c r="R346" t="str">
        <f t="shared" si="71"/>
        <v>Needs Improvement</v>
      </c>
      <c r="S346" t="str">
        <f t="shared" si="72"/>
        <v>Not Hired</v>
      </c>
      <c r="T346">
        <f t="shared" si="73"/>
        <v>64</v>
      </c>
      <c r="U346" t="str">
        <f t="shared" si="74"/>
        <v>Developing</v>
      </c>
      <c r="V346" t="str">
        <f t="shared" si="75"/>
        <v>Interview</v>
      </c>
      <c r="W346" t="str">
        <f t="shared" si="76"/>
        <v>Personality &amp; Communication</v>
      </c>
      <c r="X346" t="str">
        <f t="shared" si="77"/>
        <v>Work on communication and personality development</v>
      </c>
    </row>
    <row r="347" spans="1:24" x14ac:dyDescent="0.3">
      <c r="A347">
        <v>30</v>
      </c>
      <c r="B347">
        <v>1</v>
      </c>
      <c r="C347">
        <v>2</v>
      </c>
      <c r="D347">
        <v>8</v>
      </c>
      <c r="E347">
        <v>4</v>
      </c>
      <c r="F347">
        <v>40.709117265859099</v>
      </c>
      <c r="G347">
        <v>51</v>
      </c>
      <c r="H347">
        <v>97</v>
      </c>
      <c r="I347">
        <v>16</v>
      </c>
      <c r="J347">
        <v>1</v>
      </c>
      <c r="K347">
        <v>1</v>
      </c>
      <c r="L347" t="str">
        <f t="shared" si="65"/>
        <v>C346</v>
      </c>
      <c r="M347" t="str">
        <f t="shared" si="66"/>
        <v>Female</v>
      </c>
      <c r="N347" t="str">
        <f t="shared" si="67"/>
        <v>Bachelor's Type 2</v>
      </c>
      <c r="O347" t="str">
        <f t="shared" si="68"/>
        <v>Senior Level</v>
      </c>
      <c r="P347" t="str">
        <f t="shared" si="69"/>
        <v>Average</v>
      </c>
      <c r="Q347" t="str">
        <f t="shared" si="70"/>
        <v>Advanced</v>
      </c>
      <c r="R347" t="str">
        <f t="shared" si="71"/>
        <v>Needs Improvement</v>
      </c>
      <c r="S347" t="str">
        <f t="shared" si="72"/>
        <v>Hired</v>
      </c>
      <c r="T347">
        <f t="shared" si="73"/>
        <v>58</v>
      </c>
      <c r="U347" t="str">
        <f t="shared" si="74"/>
        <v>Developing</v>
      </c>
      <c r="V347" t="str">
        <f t="shared" si="75"/>
        <v>Technical Skills</v>
      </c>
      <c r="W347" t="str">
        <f t="shared" si="76"/>
        <v>Personality &amp; Communication</v>
      </c>
      <c r="X347" t="str">
        <f t="shared" si="77"/>
        <v>Work on communication and personality development</v>
      </c>
    </row>
    <row r="348" spans="1:24" x14ac:dyDescent="0.3">
      <c r="A348">
        <v>47</v>
      </c>
      <c r="B348">
        <v>1</v>
      </c>
      <c r="C348">
        <v>1</v>
      </c>
      <c r="D348">
        <v>5</v>
      </c>
      <c r="E348">
        <v>4</v>
      </c>
      <c r="F348">
        <v>32.2608062515719</v>
      </c>
      <c r="G348">
        <v>90</v>
      </c>
      <c r="H348">
        <v>45</v>
      </c>
      <c r="I348">
        <v>62</v>
      </c>
      <c r="J348">
        <v>1</v>
      </c>
      <c r="K348">
        <v>1</v>
      </c>
      <c r="L348" t="str">
        <f t="shared" si="65"/>
        <v>C347</v>
      </c>
      <c r="M348" t="str">
        <f t="shared" si="66"/>
        <v>Female</v>
      </c>
      <c r="N348" t="str">
        <f t="shared" si="67"/>
        <v>Bachelor's Type 1</v>
      </c>
      <c r="O348" t="str">
        <f t="shared" si="68"/>
        <v>Mid Level</v>
      </c>
      <c r="P348" t="str">
        <f t="shared" si="69"/>
        <v>Strong</v>
      </c>
      <c r="Q348" t="str">
        <f t="shared" si="70"/>
        <v>Beginner</v>
      </c>
      <c r="R348" t="str">
        <f t="shared" si="71"/>
        <v>Good</v>
      </c>
      <c r="S348" t="str">
        <f t="shared" si="72"/>
        <v>Hired</v>
      </c>
      <c r="T348">
        <f t="shared" si="73"/>
        <v>60</v>
      </c>
      <c r="U348" t="str">
        <f t="shared" si="74"/>
        <v>Developing</v>
      </c>
      <c r="V348" t="str">
        <f t="shared" si="75"/>
        <v>Interview</v>
      </c>
      <c r="W348" t="str">
        <f t="shared" si="76"/>
        <v>Technical Skills</v>
      </c>
      <c r="X348" t="str">
        <f t="shared" si="77"/>
        <v>Strengthen technical skills and practical knowledge</v>
      </c>
    </row>
    <row r="349" spans="1:24" x14ac:dyDescent="0.3">
      <c r="A349">
        <v>44</v>
      </c>
      <c r="B349">
        <v>1</v>
      </c>
      <c r="C349">
        <v>2</v>
      </c>
      <c r="D349">
        <v>2</v>
      </c>
      <c r="E349">
        <v>3</v>
      </c>
      <c r="F349">
        <v>47.8819889978951</v>
      </c>
      <c r="G349">
        <v>8</v>
      </c>
      <c r="H349">
        <v>66</v>
      </c>
      <c r="I349">
        <v>54</v>
      </c>
      <c r="J349">
        <v>2</v>
      </c>
      <c r="K349">
        <v>0</v>
      </c>
      <c r="L349" t="str">
        <f t="shared" si="65"/>
        <v>C348</v>
      </c>
      <c r="M349" t="str">
        <f t="shared" si="66"/>
        <v>Female</v>
      </c>
      <c r="N349" t="str">
        <f t="shared" si="67"/>
        <v>Bachelor's Type 2</v>
      </c>
      <c r="O349" t="str">
        <f t="shared" si="68"/>
        <v>Entry Level</v>
      </c>
      <c r="P349" t="str">
        <f t="shared" si="69"/>
        <v>Low</v>
      </c>
      <c r="Q349" t="str">
        <f t="shared" si="70"/>
        <v>Intermediate</v>
      </c>
      <c r="R349" t="str">
        <f t="shared" si="71"/>
        <v>Good</v>
      </c>
      <c r="S349" t="str">
        <f t="shared" si="72"/>
        <v>Not Hired</v>
      </c>
      <c r="T349">
        <f t="shared" si="73"/>
        <v>38</v>
      </c>
      <c r="U349" t="str">
        <f t="shared" si="74"/>
        <v>Needs Improvement</v>
      </c>
      <c r="V349" t="str">
        <f t="shared" si="75"/>
        <v>Technical Skills</v>
      </c>
      <c r="W349" t="str">
        <f t="shared" si="76"/>
        <v>Interview Preparation</v>
      </c>
      <c r="X349" t="str">
        <f t="shared" si="77"/>
        <v>Improve interview preparation and communication</v>
      </c>
    </row>
    <row r="350" spans="1:24" x14ac:dyDescent="0.3">
      <c r="A350">
        <v>44</v>
      </c>
      <c r="B350">
        <v>0</v>
      </c>
      <c r="C350">
        <v>2</v>
      </c>
      <c r="D350">
        <v>12</v>
      </c>
      <c r="E350">
        <v>2</v>
      </c>
      <c r="F350">
        <v>34.985238928841603</v>
      </c>
      <c r="G350">
        <v>21</v>
      </c>
      <c r="H350">
        <v>68</v>
      </c>
      <c r="I350">
        <v>22</v>
      </c>
      <c r="J350">
        <v>2</v>
      </c>
      <c r="K350">
        <v>0</v>
      </c>
      <c r="L350" t="str">
        <f t="shared" si="65"/>
        <v>C349</v>
      </c>
      <c r="M350" t="str">
        <f t="shared" si="66"/>
        <v>Male</v>
      </c>
      <c r="N350" t="str">
        <f t="shared" si="67"/>
        <v>Bachelor's Type 2</v>
      </c>
      <c r="O350" t="str">
        <f t="shared" si="68"/>
        <v>Senior Level</v>
      </c>
      <c r="P350" t="str">
        <f t="shared" si="69"/>
        <v>Low</v>
      </c>
      <c r="Q350" t="str">
        <f t="shared" si="70"/>
        <v>Intermediate</v>
      </c>
      <c r="R350" t="str">
        <f t="shared" si="71"/>
        <v>Needs Improvement</v>
      </c>
      <c r="S350" t="str">
        <f t="shared" si="72"/>
        <v>Not Hired</v>
      </c>
      <c r="T350">
        <f t="shared" si="73"/>
        <v>46</v>
      </c>
      <c r="U350" t="str">
        <f t="shared" si="74"/>
        <v>Needs Improvement</v>
      </c>
      <c r="V350" t="str">
        <f t="shared" si="75"/>
        <v>Technical Skills</v>
      </c>
      <c r="W350" t="str">
        <f t="shared" si="76"/>
        <v>Interview Preparation</v>
      </c>
      <c r="X350" t="str">
        <f t="shared" si="77"/>
        <v>Improve interview preparation and communication</v>
      </c>
    </row>
    <row r="351" spans="1:24" x14ac:dyDescent="0.3">
      <c r="A351">
        <v>37</v>
      </c>
      <c r="B351">
        <v>0</v>
      </c>
      <c r="C351">
        <v>3</v>
      </c>
      <c r="D351">
        <v>2</v>
      </c>
      <c r="E351">
        <v>3</v>
      </c>
      <c r="F351">
        <v>29.509081587734698</v>
      </c>
      <c r="G351">
        <v>33</v>
      </c>
      <c r="H351">
        <v>13</v>
      </c>
      <c r="I351">
        <v>33</v>
      </c>
      <c r="J351">
        <v>2</v>
      </c>
      <c r="K351">
        <v>0</v>
      </c>
      <c r="L351" t="str">
        <f t="shared" si="65"/>
        <v>C350</v>
      </c>
      <c r="M351" t="str">
        <f t="shared" si="66"/>
        <v>Male</v>
      </c>
      <c r="N351" t="str">
        <f t="shared" si="67"/>
        <v>Master's</v>
      </c>
      <c r="O351" t="str">
        <f t="shared" si="68"/>
        <v>Entry Level</v>
      </c>
      <c r="P351" t="str">
        <f t="shared" si="69"/>
        <v>Low</v>
      </c>
      <c r="Q351" t="str">
        <f t="shared" si="70"/>
        <v>Beginner</v>
      </c>
      <c r="R351" t="str">
        <f t="shared" si="71"/>
        <v>Needs Improvement</v>
      </c>
      <c r="S351" t="str">
        <f t="shared" si="72"/>
        <v>Not Hired</v>
      </c>
      <c r="T351">
        <f t="shared" si="73"/>
        <v>26</v>
      </c>
      <c r="U351" t="str">
        <f t="shared" si="74"/>
        <v>Needs Improvement</v>
      </c>
      <c r="V351" t="str">
        <f t="shared" si="75"/>
        <v>Interview</v>
      </c>
      <c r="W351" t="str">
        <f t="shared" si="76"/>
        <v>Technical Skills</v>
      </c>
      <c r="X351" t="str">
        <f t="shared" si="77"/>
        <v>Strengthen technical skills and practical knowledge</v>
      </c>
    </row>
    <row r="352" spans="1:24" x14ac:dyDescent="0.3">
      <c r="A352">
        <v>42</v>
      </c>
      <c r="B352">
        <v>0</v>
      </c>
      <c r="C352">
        <v>3</v>
      </c>
      <c r="D352">
        <v>6</v>
      </c>
      <c r="E352">
        <v>2</v>
      </c>
      <c r="F352">
        <v>31.509800449291699</v>
      </c>
      <c r="G352">
        <v>48</v>
      </c>
      <c r="H352">
        <v>66</v>
      </c>
      <c r="I352">
        <v>68</v>
      </c>
      <c r="J352">
        <v>2</v>
      </c>
      <c r="K352">
        <v>1</v>
      </c>
      <c r="L352" t="str">
        <f t="shared" si="65"/>
        <v>C351</v>
      </c>
      <c r="M352" t="str">
        <f t="shared" si="66"/>
        <v>Male</v>
      </c>
      <c r="N352" t="str">
        <f t="shared" si="67"/>
        <v>Master's</v>
      </c>
      <c r="O352" t="str">
        <f t="shared" si="68"/>
        <v>Mid Level</v>
      </c>
      <c r="P352" t="str">
        <f t="shared" si="69"/>
        <v>Low</v>
      </c>
      <c r="Q352" t="str">
        <f t="shared" si="70"/>
        <v>Intermediate</v>
      </c>
      <c r="R352" t="str">
        <f t="shared" si="71"/>
        <v>Good</v>
      </c>
      <c r="S352" t="str">
        <f t="shared" si="72"/>
        <v>Hired</v>
      </c>
      <c r="T352">
        <f t="shared" si="73"/>
        <v>58</v>
      </c>
      <c r="U352" t="str">
        <f t="shared" si="74"/>
        <v>Developing</v>
      </c>
      <c r="V352" t="str">
        <f t="shared" si="75"/>
        <v>Personality</v>
      </c>
      <c r="W352" t="str">
        <f t="shared" si="76"/>
        <v>Interview Preparation</v>
      </c>
      <c r="X352" t="str">
        <f t="shared" si="77"/>
        <v>Improve interview preparation and communication</v>
      </c>
    </row>
    <row r="353" spans="1:24" x14ac:dyDescent="0.3">
      <c r="A353">
        <v>50</v>
      </c>
      <c r="B353">
        <v>0</v>
      </c>
      <c r="C353">
        <v>2</v>
      </c>
      <c r="D353">
        <v>5</v>
      </c>
      <c r="E353">
        <v>3</v>
      </c>
      <c r="F353">
        <v>48.1185719734207</v>
      </c>
      <c r="G353">
        <v>0</v>
      </c>
      <c r="H353">
        <v>22</v>
      </c>
      <c r="I353">
        <v>14</v>
      </c>
      <c r="J353">
        <v>2</v>
      </c>
      <c r="K353">
        <v>0</v>
      </c>
      <c r="L353" t="str">
        <f t="shared" si="65"/>
        <v>C352</v>
      </c>
      <c r="M353" t="str">
        <f t="shared" si="66"/>
        <v>Male</v>
      </c>
      <c r="N353" t="str">
        <f t="shared" si="67"/>
        <v>Bachelor's Type 2</v>
      </c>
      <c r="O353" t="str">
        <f t="shared" si="68"/>
        <v>Mid Level</v>
      </c>
      <c r="P353" t="str">
        <f t="shared" si="69"/>
        <v>Low</v>
      </c>
      <c r="Q353" t="str">
        <f t="shared" si="70"/>
        <v>Beginner</v>
      </c>
      <c r="R353" t="str">
        <f t="shared" si="71"/>
        <v>Needs Improvement</v>
      </c>
      <c r="S353" t="str">
        <f t="shared" si="72"/>
        <v>Not Hired</v>
      </c>
      <c r="T353">
        <f t="shared" si="73"/>
        <v>17</v>
      </c>
      <c r="U353" t="str">
        <f t="shared" si="74"/>
        <v>Needs Improvement</v>
      </c>
      <c r="V353" t="str">
        <f t="shared" si="75"/>
        <v>Technical Skills</v>
      </c>
      <c r="W353" t="str">
        <f t="shared" si="76"/>
        <v>Interview Preparation</v>
      </c>
      <c r="X353" t="str">
        <f t="shared" si="77"/>
        <v>Improve interview preparation and communication</v>
      </c>
    </row>
    <row r="354" spans="1:24" x14ac:dyDescent="0.3">
      <c r="A354">
        <v>49</v>
      </c>
      <c r="B354">
        <v>1</v>
      </c>
      <c r="C354">
        <v>1</v>
      </c>
      <c r="D354">
        <v>8</v>
      </c>
      <c r="E354">
        <v>3</v>
      </c>
      <c r="F354">
        <v>40.410046493335301</v>
      </c>
      <c r="G354">
        <v>72</v>
      </c>
      <c r="H354">
        <v>93</v>
      </c>
      <c r="I354">
        <v>46</v>
      </c>
      <c r="J354">
        <v>2</v>
      </c>
      <c r="K354">
        <v>0</v>
      </c>
      <c r="L354" t="str">
        <f t="shared" si="65"/>
        <v>C353</v>
      </c>
      <c r="M354" t="str">
        <f t="shared" si="66"/>
        <v>Female</v>
      </c>
      <c r="N354" t="str">
        <f t="shared" si="67"/>
        <v>Bachelor's Type 1</v>
      </c>
      <c r="O354" t="str">
        <f t="shared" si="68"/>
        <v>Senior Level</v>
      </c>
      <c r="P354" t="str">
        <f t="shared" si="69"/>
        <v>Average</v>
      </c>
      <c r="Q354" t="str">
        <f t="shared" si="70"/>
        <v>Advanced</v>
      </c>
      <c r="R354" t="str">
        <f t="shared" si="71"/>
        <v>Needs Improvement</v>
      </c>
      <c r="S354" t="str">
        <f t="shared" si="72"/>
        <v>Not Hired</v>
      </c>
      <c r="T354">
        <f t="shared" si="73"/>
        <v>69</v>
      </c>
      <c r="U354" t="str">
        <f t="shared" si="74"/>
        <v>Developing</v>
      </c>
      <c r="V354" t="str">
        <f t="shared" si="75"/>
        <v>Technical Skills</v>
      </c>
      <c r="W354" t="str">
        <f t="shared" si="76"/>
        <v>Personality &amp; Communication</v>
      </c>
      <c r="X354" t="str">
        <f t="shared" si="77"/>
        <v>Work on communication and personality development</v>
      </c>
    </row>
    <row r="355" spans="1:24" x14ac:dyDescent="0.3">
      <c r="A355">
        <v>29</v>
      </c>
      <c r="B355">
        <v>0</v>
      </c>
      <c r="C355">
        <v>1</v>
      </c>
      <c r="D355">
        <v>5</v>
      </c>
      <c r="E355">
        <v>5</v>
      </c>
      <c r="F355">
        <v>2.20206186832189</v>
      </c>
      <c r="G355">
        <v>83</v>
      </c>
      <c r="H355">
        <v>60</v>
      </c>
      <c r="I355">
        <v>2</v>
      </c>
      <c r="J355">
        <v>2</v>
      </c>
      <c r="K355">
        <v>0</v>
      </c>
      <c r="L355" t="str">
        <f t="shared" si="65"/>
        <v>C354</v>
      </c>
      <c r="M355" t="str">
        <f t="shared" si="66"/>
        <v>Male</v>
      </c>
      <c r="N355" t="str">
        <f t="shared" si="67"/>
        <v>Bachelor's Type 1</v>
      </c>
      <c r="O355" t="str">
        <f t="shared" si="68"/>
        <v>Mid Level</v>
      </c>
      <c r="P355" t="str">
        <f t="shared" si="69"/>
        <v>Strong</v>
      </c>
      <c r="Q355" t="str">
        <f t="shared" si="70"/>
        <v>Intermediate</v>
      </c>
      <c r="R355" t="str">
        <f t="shared" si="71"/>
        <v>Needs Improvement</v>
      </c>
      <c r="S355" t="str">
        <f t="shared" si="72"/>
        <v>Not Hired</v>
      </c>
      <c r="T355">
        <f t="shared" si="73"/>
        <v>51</v>
      </c>
      <c r="U355" t="str">
        <f t="shared" si="74"/>
        <v>Developing</v>
      </c>
      <c r="V355" t="str">
        <f t="shared" si="75"/>
        <v>Interview</v>
      </c>
      <c r="W355" t="str">
        <f t="shared" si="76"/>
        <v>Personality &amp; Communication</v>
      </c>
      <c r="X355" t="str">
        <f t="shared" si="77"/>
        <v>Work on communication and personality development</v>
      </c>
    </row>
    <row r="356" spans="1:24" x14ac:dyDescent="0.3">
      <c r="A356">
        <v>22</v>
      </c>
      <c r="B356">
        <v>0</v>
      </c>
      <c r="C356">
        <v>1</v>
      </c>
      <c r="D356">
        <v>4</v>
      </c>
      <c r="E356">
        <v>3</v>
      </c>
      <c r="F356">
        <v>27.706984806784799</v>
      </c>
      <c r="G356">
        <v>52</v>
      </c>
      <c r="H356">
        <v>22</v>
      </c>
      <c r="I356">
        <v>82</v>
      </c>
      <c r="J356">
        <v>2</v>
      </c>
      <c r="K356">
        <v>0</v>
      </c>
      <c r="L356" t="str">
        <f t="shared" si="65"/>
        <v>C355</v>
      </c>
      <c r="M356" t="str">
        <f t="shared" si="66"/>
        <v>Male</v>
      </c>
      <c r="N356" t="str">
        <f t="shared" si="67"/>
        <v>Bachelor's Type 1</v>
      </c>
      <c r="O356" t="str">
        <f t="shared" si="68"/>
        <v>Mid Level</v>
      </c>
      <c r="P356" t="str">
        <f t="shared" si="69"/>
        <v>Average</v>
      </c>
      <c r="Q356" t="str">
        <f t="shared" si="70"/>
        <v>Beginner</v>
      </c>
      <c r="R356" t="str">
        <f t="shared" si="71"/>
        <v>Strong</v>
      </c>
      <c r="S356" t="str">
        <f t="shared" si="72"/>
        <v>Not Hired</v>
      </c>
      <c r="T356">
        <f t="shared" si="73"/>
        <v>45</v>
      </c>
      <c r="U356" t="str">
        <f t="shared" si="74"/>
        <v>Needs Improvement</v>
      </c>
      <c r="V356" t="str">
        <f t="shared" si="75"/>
        <v>Personality</v>
      </c>
      <c r="W356" t="str">
        <f t="shared" si="76"/>
        <v>Technical Skills</v>
      </c>
      <c r="X356" t="str">
        <f t="shared" si="77"/>
        <v>Strengthen technical skills and practical knowledge</v>
      </c>
    </row>
    <row r="357" spans="1:24" x14ac:dyDescent="0.3">
      <c r="A357">
        <v>26</v>
      </c>
      <c r="B357">
        <v>1</v>
      </c>
      <c r="C357">
        <v>2</v>
      </c>
      <c r="D357">
        <v>9</v>
      </c>
      <c r="E357">
        <v>4</v>
      </c>
      <c r="F357">
        <v>35.416920577328199</v>
      </c>
      <c r="G357">
        <v>82</v>
      </c>
      <c r="H357">
        <v>26</v>
      </c>
      <c r="I357">
        <v>27</v>
      </c>
      <c r="J357">
        <v>2</v>
      </c>
      <c r="K357">
        <v>0</v>
      </c>
      <c r="L357" t="str">
        <f t="shared" si="65"/>
        <v>C356</v>
      </c>
      <c r="M357" t="str">
        <f t="shared" si="66"/>
        <v>Female</v>
      </c>
      <c r="N357" t="str">
        <f t="shared" si="67"/>
        <v>Bachelor's Type 2</v>
      </c>
      <c r="O357" t="str">
        <f t="shared" si="68"/>
        <v>Senior Level</v>
      </c>
      <c r="P357" t="str">
        <f t="shared" si="69"/>
        <v>Strong</v>
      </c>
      <c r="Q357" t="str">
        <f t="shared" si="70"/>
        <v>Beginner</v>
      </c>
      <c r="R357" t="str">
        <f t="shared" si="71"/>
        <v>Needs Improvement</v>
      </c>
      <c r="S357" t="str">
        <f t="shared" si="72"/>
        <v>Not Hired</v>
      </c>
      <c r="T357">
        <f t="shared" si="73"/>
        <v>49</v>
      </c>
      <c r="U357" t="str">
        <f t="shared" si="74"/>
        <v>Needs Improvement</v>
      </c>
      <c r="V357" t="str">
        <f t="shared" si="75"/>
        <v>Interview</v>
      </c>
      <c r="W357" t="str">
        <f t="shared" si="76"/>
        <v>Technical Skills</v>
      </c>
      <c r="X357" t="str">
        <f t="shared" si="77"/>
        <v>Strengthen technical skills and practical knowledge</v>
      </c>
    </row>
    <row r="358" spans="1:24" x14ac:dyDescent="0.3">
      <c r="A358">
        <v>47</v>
      </c>
      <c r="B358">
        <v>0</v>
      </c>
      <c r="C358">
        <v>3</v>
      </c>
      <c r="D358">
        <v>6</v>
      </c>
      <c r="E358">
        <v>3</v>
      </c>
      <c r="F358">
        <v>38.434923921957697</v>
      </c>
      <c r="G358">
        <v>99</v>
      </c>
      <c r="H358">
        <v>53</v>
      </c>
      <c r="I358">
        <v>2</v>
      </c>
      <c r="J358">
        <v>1</v>
      </c>
      <c r="K358">
        <v>1</v>
      </c>
      <c r="L358" t="str">
        <f t="shared" si="65"/>
        <v>C357</v>
      </c>
      <c r="M358" t="str">
        <f t="shared" si="66"/>
        <v>Male</v>
      </c>
      <c r="N358" t="str">
        <f t="shared" si="67"/>
        <v>Master's</v>
      </c>
      <c r="O358" t="str">
        <f t="shared" si="68"/>
        <v>Mid Level</v>
      </c>
      <c r="P358" t="str">
        <f t="shared" si="69"/>
        <v>Strong</v>
      </c>
      <c r="Q358" t="str">
        <f t="shared" si="70"/>
        <v>Intermediate</v>
      </c>
      <c r="R358" t="str">
        <f t="shared" si="71"/>
        <v>Needs Improvement</v>
      </c>
      <c r="S358" t="str">
        <f t="shared" si="72"/>
        <v>Hired</v>
      </c>
      <c r="T358">
        <f t="shared" si="73"/>
        <v>56</v>
      </c>
      <c r="U358" t="str">
        <f t="shared" si="74"/>
        <v>Developing</v>
      </c>
      <c r="V358" t="str">
        <f t="shared" si="75"/>
        <v>Interview</v>
      </c>
      <c r="W358" t="str">
        <f t="shared" si="76"/>
        <v>Personality &amp; Communication</v>
      </c>
      <c r="X358" t="str">
        <f t="shared" si="77"/>
        <v>Work on communication and personality development</v>
      </c>
    </row>
    <row r="359" spans="1:24" x14ac:dyDescent="0.3">
      <c r="A359">
        <v>35</v>
      </c>
      <c r="B359">
        <v>1</v>
      </c>
      <c r="C359">
        <v>2</v>
      </c>
      <c r="D359">
        <v>0</v>
      </c>
      <c r="E359">
        <v>2</v>
      </c>
      <c r="F359">
        <v>11.6571059656968</v>
      </c>
      <c r="G359">
        <v>39</v>
      </c>
      <c r="H359">
        <v>9</v>
      </c>
      <c r="I359">
        <v>3</v>
      </c>
      <c r="J359">
        <v>2</v>
      </c>
      <c r="K359">
        <v>0</v>
      </c>
      <c r="L359" t="str">
        <f t="shared" si="65"/>
        <v>C358</v>
      </c>
      <c r="M359" t="str">
        <f t="shared" si="66"/>
        <v>Female</v>
      </c>
      <c r="N359" t="str">
        <f t="shared" si="67"/>
        <v>Bachelor's Type 2</v>
      </c>
      <c r="O359" t="str">
        <f t="shared" si="68"/>
        <v>Entry Level</v>
      </c>
      <c r="P359" t="str">
        <f t="shared" si="69"/>
        <v>Low</v>
      </c>
      <c r="Q359" t="str">
        <f t="shared" si="70"/>
        <v>Beginner</v>
      </c>
      <c r="R359" t="str">
        <f t="shared" si="71"/>
        <v>Needs Improvement</v>
      </c>
      <c r="S359" t="str">
        <f t="shared" si="72"/>
        <v>Not Hired</v>
      </c>
      <c r="T359">
        <f t="shared" si="73"/>
        <v>18</v>
      </c>
      <c r="U359" t="str">
        <f t="shared" si="74"/>
        <v>Needs Improvement</v>
      </c>
      <c r="V359" t="str">
        <f t="shared" si="75"/>
        <v>Interview</v>
      </c>
      <c r="W359" t="str">
        <f t="shared" si="76"/>
        <v>Personality &amp; Communication</v>
      </c>
      <c r="X359" t="str">
        <f t="shared" si="77"/>
        <v>Work on communication and personality development</v>
      </c>
    </row>
    <row r="360" spans="1:24" x14ac:dyDescent="0.3">
      <c r="A360">
        <v>45</v>
      </c>
      <c r="B360">
        <v>1</v>
      </c>
      <c r="C360">
        <v>1</v>
      </c>
      <c r="D360">
        <v>11</v>
      </c>
      <c r="E360">
        <v>3</v>
      </c>
      <c r="F360">
        <v>44.358867722567602</v>
      </c>
      <c r="G360">
        <v>44</v>
      </c>
      <c r="H360">
        <v>88</v>
      </c>
      <c r="I360">
        <v>87</v>
      </c>
      <c r="J360">
        <v>2</v>
      </c>
      <c r="K360">
        <v>0</v>
      </c>
      <c r="L360" t="str">
        <f t="shared" si="65"/>
        <v>C359</v>
      </c>
      <c r="M360" t="str">
        <f t="shared" si="66"/>
        <v>Female</v>
      </c>
      <c r="N360" t="str">
        <f t="shared" si="67"/>
        <v>Bachelor's Type 1</v>
      </c>
      <c r="O360" t="str">
        <f t="shared" si="68"/>
        <v>Senior Level</v>
      </c>
      <c r="P360" t="str">
        <f t="shared" si="69"/>
        <v>Low</v>
      </c>
      <c r="Q360" t="str">
        <f t="shared" si="70"/>
        <v>Advanced</v>
      </c>
      <c r="R360" t="str">
        <f t="shared" si="71"/>
        <v>Strong</v>
      </c>
      <c r="S360" t="str">
        <f t="shared" si="72"/>
        <v>Not Hired</v>
      </c>
      <c r="T360">
        <f t="shared" si="73"/>
        <v>71</v>
      </c>
      <c r="U360" t="str">
        <f t="shared" si="74"/>
        <v>Developing</v>
      </c>
      <c r="V360" t="str">
        <f t="shared" si="75"/>
        <v>Technical Skills</v>
      </c>
      <c r="W360" t="str">
        <f t="shared" si="76"/>
        <v>Interview Preparation</v>
      </c>
      <c r="X360" t="str">
        <f t="shared" si="77"/>
        <v>Improve interview preparation and communication</v>
      </c>
    </row>
    <row r="361" spans="1:24" x14ac:dyDescent="0.3">
      <c r="A361">
        <v>35</v>
      </c>
      <c r="B361">
        <v>1</v>
      </c>
      <c r="C361">
        <v>2</v>
      </c>
      <c r="D361">
        <v>6</v>
      </c>
      <c r="E361">
        <v>1</v>
      </c>
      <c r="F361">
        <v>48.792157358758097</v>
      </c>
      <c r="G361">
        <v>67</v>
      </c>
      <c r="H361">
        <v>76</v>
      </c>
      <c r="I361">
        <v>30</v>
      </c>
      <c r="J361">
        <v>2</v>
      </c>
      <c r="K361">
        <v>0</v>
      </c>
      <c r="L361" t="str">
        <f t="shared" si="65"/>
        <v>C360</v>
      </c>
      <c r="M361" t="str">
        <f t="shared" si="66"/>
        <v>Female</v>
      </c>
      <c r="N361" t="str">
        <f t="shared" si="67"/>
        <v>Bachelor's Type 2</v>
      </c>
      <c r="O361" t="str">
        <f t="shared" si="68"/>
        <v>Mid Level</v>
      </c>
      <c r="P361" t="str">
        <f t="shared" si="69"/>
        <v>Average</v>
      </c>
      <c r="Q361" t="str">
        <f t="shared" si="70"/>
        <v>Advanced</v>
      </c>
      <c r="R361" t="str">
        <f t="shared" si="71"/>
        <v>Needs Improvement</v>
      </c>
      <c r="S361" t="str">
        <f t="shared" si="72"/>
        <v>Not Hired</v>
      </c>
      <c r="T361">
        <f t="shared" si="73"/>
        <v>57</v>
      </c>
      <c r="U361" t="str">
        <f t="shared" si="74"/>
        <v>Developing</v>
      </c>
      <c r="V361" t="str">
        <f t="shared" si="75"/>
        <v>Technical Skills</v>
      </c>
      <c r="W361" t="str">
        <f t="shared" si="76"/>
        <v>Personality &amp; Communication</v>
      </c>
      <c r="X361" t="str">
        <f t="shared" si="77"/>
        <v>Work on communication and personality development</v>
      </c>
    </row>
    <row r="362" spans="1:24" x14ac:dyDescent="0.3">
      <c r="A362">
        <v>44</v>
      </c>
      <c r="B362">
        <v>1</v>
      </c>
      <c r="C362">
        <v>3</v>
      </c>
      <c r="D362">
        <v>15</v>
      </c>
      <c r="E362">
        <v>2</v>
      </c>
      <c r="F362">
        <v>12.8357652922434</v>
      </c>
      <c r="G362">
        <v>8</v>
      </c>
      <c r="H362">
        <v>15</v>
      </c>
      <c r="I362">
        <v>44</v>
      </c>
      <c r="J362">
        <v>2</v>
      </c>
      <c r="K362">
        <v>0</v>
      </c>
      <c r="L362" t="str">
        <f t="shared" si="65"/>
        <v>C361</v>
      </c>
      <c r="M362" t="str">
        <f t="shared" si="66"/>
        <v>Female</v>
      </c>
      <c r="N362" t="str">
        <f t="shared" si="67"/>
        <v>Master's</v>
      </c>
      <c r="O362" t="str">
        <f t="shared" si="68"/>
        <v>Senior Level</v>
      </c>
      <c r="P362" t="str">
        <f t="shared" si="69"/>
        <v>Low</v>
      </c>
      <c r="Q362" t="str">
        <f t="shared" si="70"/>
        <v>Beginner</v>
      </c>
      <c r="R362" t="str">
        <f t="shared" si="71"/>
        <v>Needs Improvement</v>
      </c>
      <c r="S362" t="str">
        <f t="shared" si="72"/>
        <v>Not Hired</v>
      </c>
      <c r="T362">
        <f t="shared" si="73"/>
        <v>34</v>
      </c>
      <c r="U362" t="str">
        <f t="shared" si="74"/>
        <v>Needs Improvement</v>
      </c>
      <c r="V362" t="str">
        <f t="shared" si="75"/>
        <v>Personality</v>
      </c>
      <c r="W362" t="str">
        <f t="shared" si="76"/>
        <v>Interview Preparation</v>
      </c>
      <c r="X362" t="str">
        <f t="shared" si="77"/>
        <v>Improve interview preparation and communication</v>
      </c>
    </row>
    <row r="363" spans="1:24" x14ac:dyDescent="0.3">
      <c r="A363">
        <v>39</v>
      </c>
      <c r="B363">
        <v>1</v>
      </c>
      <c r="C363">
        <v>3</v>
      </c>
      <c r="D363">
        <v>2</v>
      </c>
      <c r="E363">
        <v>1</v>
      </c>
      <c r="F363">
        <v>45.130772875862199</v>
      </c>
      <c r="G363">
        <v>21</v>
      </c>
      <c r="H363">
        <v>40</v>
      </c>
      <c r="I363">
        <v>58</v>
      </c>
      <c r="J363">
        <v>2</v>
      </c>
      <c r="K363">
        <v>0</v>
      </c>
      <c r="L363" t="str">
        <f t="shared" si="65"/>
        <v>C362</v>
      </c>
      <c r="M363" t="str">
        <f t="shared" si="66"/>
        <v>Female</v>
      </c>
      <c r="N363" t="str">
        <f t="shared" si="67"/>
        <v>Master's</v>
      </c>
      <c r="O363" t="str">
        <f t="shared" si="68"/>
        <v>Entry Level</v>
      </c>
      <c r="P363" t="str">
        <f t="shared" si="69"/>
        <v>Low</v>
      </c>
      <c r="Q363" t="str">
        <f t="shared" si="70"/>
        <v>Beginner</v>
      </c>
      <c r="R363" t="str">
        <f t="shared" si="71"/>
        <v>Good</v>
      </c>
      <c r="S363" t="str">
        <f t="shared" si="72"/>
        <v>Not Hired</v>
      </c>
      <c r="T363">
        <f t="shared" si="73"/>
        <v>36</v>
      </c>
      <c r="U363" t="str">
        <f t="shared" si="74"/>
        <v>Needs Improvement</v>
      </c>
      <c r="V363" t="str">
        <f t="shared" si="75"/>
        <v>Personality</v>
      </c>
      <c r="W363" t="str">
        <f t="shared" si="76"/>
        <v>Interview Preparation</v>
      </c>
      <c r="X363" t="str">
        <f t="shared" si="77"/>
        <v>Improve interview preparation and communication</v>
      </c>
    </row>
    <row r="364" spans="1:24" x14ac:dyDescent="0.3">
      <c r="A364">
        <v>47</v>
      </c>
      <c r="B364">
        <v>1</v>
      </c>
      <c r="C364">
        <v>3</v>
      </c>
      <c r="D364">
        <v>13</v>
      </c>
      <c r="E364">
        <v>2</v>
      </c>
      <c r="F364">
        <v>5.8489381258047697</v>
      </c>
      <c r="G364">
        <v>17</v>
      </c>
      <c r="H364">
        <v>97</v>
      </c>
      <c r="I364">
        <v>44</v>
      </c>
      <c r="J364">
        <v>1</v>
      </c>
      <c r="K364">
        <v>1</v>
      </c>
      <c r="L364" t="str">
        <f t="shared" si="65"/>
        <v>C363</v>
      </c>
      <c r="M364" t="str">
        <f t="shared" si="66"/>
        <v>Female</v>
      </c>
      <c r="N364" t="str">
        <f t="shared" si="67"/>
        <v>Master's</v>
      </c>
      <c r="O364" t="str">
        <f t="shared" si="68"/>
        <v>Senior Level</v>
      </c>
      <c r="P364" t="str">
        <f t="shared" si="69"/>
        <v>Low</v>
      </c>
      <c r="Q364" t="str">
        <f t="shared" si="70"/>
        <v>Advanced</v>
      </c>
      <c r="R364" t="str">
        <f t="shared" si="71"/>
        <v>Needs Improvement</v>
      </c>
      <c r="S364" t="str">
        <f t="shared" si="72"/>
        <v>Hired</v>
      </c>
      <c r="T364">
        <f t="shared" si="73"/>
        <v>60</v>
      </c>
      <c r="U364" t="str">
        <f t="shared" si="74"/>
        <v>Developing</v>
      </c>
      <c r="V364" t="str">
        <f t="shared" si="75"/>
        <v>Technical Skills</v>
      </c>
      <c r="W364" t="str">
        <f t="shared" si="76"/>
        <v>Interview Preparation</v>
      </c>
      <c r="X364" t="str">
        <f t="shared" si="77"/>
        <v>Improve interview preparation and communication</v>
      </c>
    </row>
    <row r="365" spans="1:24" x14ac:dyDescent="0.3">
      <c r="A365">
        <v>36</v>
      </c>
      <c r="B365">
        <v>1</v>
      </c>
      <c r="C365">
        <v>2</v>
      </c>
      <c r="D365">
        <v>8</v>
      </c>
      <c r="E365">
        <v>4</v>
      </c>
      <c r="F365">
        <v>3.7853418057622501</v>
      </c>
      <c r="G365">
        <v>75</v>
      </c>
      <c r="H365">
        <v>54</v>
      </c>
      <c r="I365">
        <v>74</v>
      </c>
      <c r="J365">
        <v>3</v>
      </c>
      <c r="K365">
        <v>1</v>
      </c>
      <c r="L365" t="str">
        <f t="shared" si="65"/>
        <v>C364</v>
      </c>
      <c r="M365" t="str">
        <f t="shared" si="66"/>
        <v>Female</v>
      </c>
      <c r="N365" t="str">
        <f t="shared" si="67"/>
        <v>Bachelor's Type 2</v>
      </c>
      <c r="O365" t="str">
        <f t="shared" si="68"/>
        <v>Senior Level</v>
      </c>
      <c r="P365" t="str">
        <f t="shared" si="69"/>
        <v>Strong</v>
      </c>
      <c r="Q365" t="str">
        <f t="shared" si="70"/>
        <v>Intermediate</v>
      </c>
      <c r="R365" t="str">
        <f t="shared" si="71"/>
        <v>Good</v>
      </c>
      <c r="S365" t="str">
        <f t="shared" si="72"/>
        <v>Hired</v>
      </c>
      <c r="T365">
        <f t="shared" si="73"/>
        <v>64</v>
      </c>
      <c r="U365" t="str">
        <f t="shared" si="74"/>
        <v>Developing</v>
      </c>
      <c r="V365" t="str">
        <f t="shared" si="75"/>
        <v>Interview</v>
      </c>
      <c r="W365" t="str">
        <f t="shared" si="76"/>
        <v>Technical Skills</v>
      </c>
      <c r="X365" t="str">
        <f t="shared" si="77"/>
        <v>Strengthen technical skills and practical knowledge</v>
      </c>
    </row>
    <row r="366" spans="1:24" x14ac:dyDescent="0.3">
      <c r="A366">
        <v>21</v>
      </c>
      <c r="B366">
        <v>1</v>
      </c>
      <c r="C366">
        <v>1</v>
      </c>
      <c r="D366">
        <v>14</v>
      </c>
      <c r="E366">
        <v>4</v>
      </c>
      <c r="F366">
        <v>7.4611900051374596</v>
      </c>
      <c r="G366">
        <v>42</v>
      </c>
      <c r="H366">
        <v>100</v>
      </c>
      <c r="I366">
        <v>36</v>
      </c>
      <c r="J366">
        <v>1</v>
      </c>
      <c r="K366">
        <v>1</v>
      </c>
      <c r="L366" t="str">
        <f t="shared" si="65"/>
        <v>C365</v>
      </c>
      <c r="M366" t="str">
        <f t="shared" si="66"/>
        <v>Female</v>
      </c>
      <c r="N366" t="str">
        <f t="shared" si="67"/>
        <v>Bachelor's Type 1</v>
      </c>
      <c r="O366" t="str">
        <f t="shared" si="68"/>
        <v>Senior Level</v>
      </c>
      <c r="P366" t="str">
        <f t="shared" si="69"/>
        <v>Low</v>
      </c>
      <c r="Q366" t="str">
        <f t="shared" si="70"/>
        <v>Advanced</v>
      </c>
      <c r="R366" t="str">
        <f t="shared" si="71"/>
        <v>Needs Improvement</v>
      </c>
      <c r="S366" t="str">
        <f t="shared" si="72"/>
        <v>Hired</v>
      </c>
      <c r="T366">
        <f t="shared" si="73"/>
        <v>66</v>
      </c>
      <c r="U366" t="str">
        <f t="shared" si="74"/>
        <v>Developing</v>
      </c>
      <c r="V366" t="str">
        <f t="shared" si="75"/>
        <v>Technical Skills</v>
      </c>
      <c r="W366" t="str">
        <f t="shared" si="76"/>
        <v>Personality &amp; Communication</v>
      </c>
      <c r="X366" t="str">
        <f t="shared" si="77"/>
        <v>Work on communication and personality development</v>
      </c>
    </row>
    <row r="367" spans="1:24" x14ac:dyDescent="0.3">
      <c r="A367">
        <v>20</v>
      </c>
      <c r="B367">
        <v>0</v>
      </c>
      <c r="C367">
        <v>3</v>
      </c>
      <c r="D367">
        <v>5</v>
      </c>
      <c r="E367">
        <v>4</v>
      </c>
      <c r="F367">
        <v>3.8870539733517999</v>
      </c>
      <c r="G367">
        <v>38</v>
      </c>
      <c r="H367">
        <v>60</v>
      </c>
      <c r="I367">
        <v>64</v>
      </c>
      <c r="J367">
        <v>3</v>
      </c>
      <c r="K367">
        <v>0</v>
      </c>
      <c r="L367" t="str">
        <f t="shared" si="65"/>
        <v>C366</v>
      </c>
      <c r="M367" t="str">
        <f t="shared" si="66"/>
        <v>Male</v>
      </c>
      <c r="N367" t="str">
        <f t="shared" si="67"/>
        <v>Master's</v>
      </c>
      <c r="O367" t="str">
        <f t="shared" si="68"/>
        <v>Mid Level</v>
      </c>
      <c r="P367" t="str">
        <f t="shared" si="69"/>
        <v>Low</v>
      </c>
      <c r="Q367" t="str">
        <f t="shared" si="70"/>
        <v>Intermediate</v>
      </c>
      <c r="R367" t="str">
        <f t="shared" si="71"/>
        <v>Good</v>
      </c>
      <c r="S367" t="str">
        <f t="shared" si="72"/>
        <v>Not Hired</v>
      </c>
      <c r="T367">
        <f t="shared" si="73"/>
        <v>51</v>
      </c>
      <c r="U367" t="str">
        <f t="shared" si="74"/>
        <v>Developing</v>
      </c>
      <c r="V367" t="str">
        <f t="shared" si="75"/>
        <v>Personality</v>
      </c>
      <c r="W367" t="str">
        <f t="shared" si="76"/>
        <v>Interview Preparation</v>
      </c>
      <c r="X367" t="str">
        <f t="shared" si="77"/>
        <v>Improve interview preparation and communication</v>
      </c>
    </row>
    <row r="368" spans="1:24" x14ac:dyDescent="0.3">
      <c r="A368">
        <v>35</v>
      </c>
      <c r="B368">
        <v>0</v>
      </c>
      <c r="C368">
        <v>2</v>
      </c>
      <c r="D368">
        <v>8</v>
      </c>
      <c r="E368">
        <v>1</v>
      </c>
      <c r="F368">
        <v>43.250611857788797</v>
      </c>
      <c r="G368">
        <v>72</v>
      </c>
      <c r="H368">
        <v>85</v>
      </c>
      <c r="I368">
        <v>8</v>
      </c>
      <c r="J368">
        <v>2</v>
      </c>
      <c r="K368">
        <v>0</v>
      </c>
      <c r="L368" t="str">
        <f t="shared" si="65"/>
        <v>C367</v>
      </c>
      <c r="M368" t="str">
        <f t="shared" si="66"/>
        <v>Male</v>
      </c>
      <c r="N368" t="str">
        <f t="shared" si="67"/>
        <v>Bachelor's Type 2</v>
      </c>
      <c r="O368" t="str">
        <f t="shared" si="68"/>
        <v>Senior Level</v>
      </c>
      <c r="P368" t="str">
        <f t="shared" si="69"/>
        <v>Average</v>
      </c>
      <c r="Q368" t="str">
        <f t="shared" si="70"/>
        <v>Advanced</v>
      </c>
      <c r="R368" t="str">
        <f t="shared" si="71"/>
        <v>Needs Improvement</v>
      </c>
      <c r="S368" t="str">
        <f t="shared" si="72"/>
        <v>Not Hired</v>
      </c>
      <c r="T368">
        <f t="shared" si="73"/>
        <v>59</v>
      </c>
      <c r="U368" t="str">
        <f t="shared" si="74"/>
        <v>Developing</v>
      </c>
      <c r="V368" t="str">
        <f t="shared" si="75"/>
        <v>Technical Skills</v>
      </c>
      <c r="W368" t="str">
        <f t="shared" si="76"/>
        <v>Personality &amp; Communication</v>
      </c>
      <c r="X368" t="str">
        <f t="shared" si="77"/>
        <v>Work on communication and personality development</v>
      </c>
    </row>
    <row r="369" spans="1:24" x14ac:dyDescent="0.3">
      <c r="A369">
        <v>49</v>
      </c>
      <c r="B369">
        <v>0</v>
      </c>
      <c r="C369">
        <v>2</v>
      </c>
      <c r="D369">
        <v>12</v>
      </c>
      <c r="E369">
        <v>5</v>
      </c>
      <c r="F369">
        <v>3.95250722291359</v>
      </c>
      <c r="G369">
        <v>5</v>
      </c>
      <c r="H369">
        <v>80</v>
      </c>
      <c r="I369">
        <v>16</v>
      </c>
      <c r="J369">
        <v>2</v>
      </c>
      <c r="K369">
        <v>0</v>
      </c>
      <c r="L369" t="str">
        <f t="shared" si="65"/>
        <v>C368</v>
      </c>
      <c r="M369" t="str">
        <f t="shared" si="66"/>
        <v>Male</v>
      </c>
      <c r="N369" t="str">
        <f t="shared" si="67"/>
        <v>Bachelor's Type 2</v>
      </c>
      <c r="O369" t="str">
        <f t="shared" si="68"/>
        <v>Senior Level</v>
      </c>
      <c r="P369" t="str">
        <f t="shared" si="69"/>
        <v>Low</v>
      </c>
      <c r="Q369" t="str">
        <f t="shared" si="70"/>
        <v>Advanced</v>
      </c>
      <c r="R369" t="str">
        <f t="shared" si="71"/>
        <v>Needs Improvement</v>
      </c>
      <c r="S369" t="str">
        <f t="shared" si="72"/>
        <v>Not Hired</v>
      </c>
      <c r="T369">
        <f t="shared" si="73"/>
        <v>43</v>
      </c>
      <c r="U369" t="str">
        <f t="shared" si="74"/>
        <v>Needs Improvement</v>
      </c>
      <c r="V369" t="str">
        <f t="shared" si="75"/>
        <v>Technical Skills</v>
      </c>
      <c r="W369" t="str">
        <f t="shared" si="76"/>
        <v>Interview Preparation</v>
      </c>
      <c r="X369" t="str">
        <f t="shared" si="77"/>
        <v>Improve interview preparation and communication</v>
      </c>
    </row>
    <row r="370" spans="1:24" x14ac:dyDescent="0.3">
      <c r="A370">
        <v>31</v>
      </c>
      <c r="B370">
        <v>0</v>
      </c>
      <c r="C370">
        <v>3</v>
      </c>
      <c r="D370">
        <v>14</v>
      </c>
      <c r="E370">
        <v>2</v>
      </c>
      <c r="F370">
        <v>14.583209568182699</v>
      </c>
      <c r="G370">
        <v>82</v>
      </c>
      <c r="H370">
        <v>86</v>
      </c>
      <c r="I370">
        <v>64</v>
      </c>
      <c r="J370">
        <v>1</v>
      </c>
      <c r="K370">
        <v>1</v>
      </c>
      <c r="L370" t="str">
        <f t="shared" si="65"/>
        <v>C369</v>
      </c>
      <c r="M370" t="str">
        <f t="shared" si="66"/>
        <v>Male</v>
      </c>
      <c r="N370" t="str">
        <f t="shared" si="67"/>
        <v>Master's</v>
      </c>
      <c r="O370" t="str">
        <f t="shared" si="68"/>
        <v>Senior Level</v>
      </c>
      <c r="P370" t="str">
        <f t="shared" si="69"/>
        <v>Strong</v>
      </c>
      <c r="Q370" t="str">
        <f t="shared" si="70"/>
        <v>Advanced</v>
      </c>
      <c r="R370" t="str">
        <f t="shared" si="71"/>
        <v>Good</v>
      </c>
      <c r="S370" t="str">
        <f t="shared" si="72"/>
        <v>Hired</v>
      </c>
      <c r="T370">
        <f t="shared" si="73"/>
        <v>81</v>
      </c>
      <c r="U370" t="str">
        <f t="shared" si="74"/>
        <v>Job Ready</v>
      </c>
      <c r="V370" t="str">
        <f t="shared" si="75"/>
        <v>Technical Skills</v>
      </c>
      <c r="W370" t="str">
        <f t="shared" si="76"/>
        <v>Personality &amp; Communication</v>
      </c>
      <c r="X370" t="str">
        <f t="shared" si="77"/>
        <v>Work on communication and personality development</v>
      </c>
    </row>
    <row r="371" spans="1:24" x14ac:dyDescent="0.3">
      <c r="A371">
        <v>24</v>
      </c>
      <c r="B371">
        <v>1</v>
      </c>
      <c r="C371">
        <v>3</v>
      </c>
      <c r="D371">
        <v>4</v>
      </c>
      <c r="E371">
        <v>4</v>
      </c>
      <c r="F371">
        <v>6.1878171767928096</v>
      </c>
      <c r="G371">
        <v>47</v>
      </c>
      <c r="H371">
        <v>99</v>
      </c>
      <c r="I371">
        <v>2</v>
      </c>
      <c r="J371">
        <v>1</v>
      </c>
      <c r="K371">
        <v>1</v>
      </c>
      <c r="L371" t="str">
        <f t="shared" si="65"/>
        <v>C370</v>
      </c>
      <c r="M371" t="str">
        <f t="shared" si="66"/>
        <v>Female</v>
      </c>
      <c r="N371" t="str">
        <f t="shared" si="67"/>
        <v>Master's</v>
      </c>
      <c r="O371" t="str">
        <f t="shared" si="68"/>
        <v>Mid Level</v>
      </c>
      <c r="P371" t="str">
        <f t="shared" si="69"/>
        <v>Low</v>
      </c>
      <c r="Q371" t="str">
        <f t="shared" si="70"/>
        <v>Advanced</v>
      </c>
      <c r="R371" t="str">
        <f t="shared" si="71"/>
        <v>Needs Improvement</v>
      </c>
      <c r="S371" t="str">
        <f t="shared" si="72"/>
        <v>Hired</v>
      </c>
      <c r="T371">
        <f t="shared" si="73"/>
        <v>52</v>
      </c>
      <c r="U371" t="str">
        <f t="shared" si="74"/>
        <v>Developing</v>
      </c>
      <c r="V371" t="str">
        <f t="shared" si="75"/>
        <v>Technical Skills</v>
      </c>
      <c r="W371" t="str">
        <f t="shared" si="76"/>
        <v>Personality &amp; Communication</v>
      </c>
      <c r="X371" t="str">
        <f t="shared" si="77"/>
        <v>Work on communication and personality development</v>
      </c>
    </row>
    <row r="372" spans="1:24" x14ac:dyDescent="0.3">
      <c r="A372">
        <v>24</v>
      </c>
      <c r="B372">
        <v>0</v>
      </c>
      <c r="C372">
        <v>2</v>
      </c>
      <c r="D372">
        <v>6</v>
      </c>
      <c r="E372">
        <v>2</v>
      </c>
      <c r="F372">
        <v>15.771101815688199</v>
      </c>
      <c r="G372">
        <v>6</v>
      </c>
      <c r="H372">
        <v>48</v>
      </c>
      <c r="I372">
        <v>25</v>
      </c>
      <c r="J372">
        <v>1</v>
      </c>
      <c r="K372">
        <v>0</v>
      </c>
      <c r="L372" t="str">
        <f t="shared" si="65"/>
        <v>C371</v>
      </c>
      <c r="M372" t="str">
        <f t="shared" si="66"/>
        <v>Male</v>
      </c>
      <c r="N372" t="str">
        <f t="shared" si="67"/>
        <v>Bachelor's Type 2</v>
      </c>
      <c r="O372" t="str">
        <f t="shared" si="68"/>
        <v>Mid Level</v>
      </c>
      <c r="P372" t="str">
        <f t="shared" si="69"/>
        <v>Low</v>
      </c>
      <c r="Q372" t="str">
        <f t="shared" si="70"/>
        <v>Beginner</v>
      </c>
      <c r="R372" t="str">
        <f t="shared" si="71"/>
        <v>Needs Improvement</v>
      </c>
      <c r="S372" t="str">
        <f t="shared" si="72"/>
        <v>Not Hired</v>
      </c>
      <c r="T372">
        <f t="shared" si="73"/>
        <v>30</v>
      </c>
      <c r="U372" t="str">
        <f t="shared" si="74"/>
        <v>Needs Improvement</v>
      </c>
      <c r="V372" t="str">
        <f t="shared" si="75"/>
        <v>Technical Skills</v>
      </c>
      <c r="W372" t="str">
        <f t="shared" si="76"/>
        <v>Interview Preparation</v>
      </c>
      <c r="X372" t="str">
        <f t="shared" si="77"/>
        <v>Improve interview preparation and communication</v>
      </c>
    </row>
    <row r="373" spans="1:24" x14ac:dyDescent="0.3">
      <c r="A373">
        <v>46</v>
      </c>
      <c r="B373">
        <v>1</v>
      </c>
      <c r="C373">
        <v>2</v>
      </c>
      <c r="D373">
        <v>12</v>
      </c>
      <c r="E373">
        <v>1</v>
      </c>
      <c r="F373">
        <v>5.5279733800460198</v>
      </c>
      <c r="G373">
        <v>79</v>
      </c>
      <c r="H373">
        <v>72</v>
      </c>
      <c r="I373">
        <v>52</v>
      </c>
      <c r="J373">
        <v>1</v>
      </c>
      <c r="K373">
        <v>1</v>
      </c>
      <c r="L373" t="str">
        <f t="shared" si="65"/>
        <v>C372</v>
      </c>
      <c r="M373" t="str">
        <f t="shared" si="66"/>
        <v>Female</v>
      </c>
      <c r="N373" t="str">
        <f t="shared" si="67"/>
        <v>Bachelor's Type 2</v>
      </c>
      <c r="O373" t="str">
        <f t="shared" si="68"/>
        <v>Senior Level</v>
      </c>
      <c r="P373" t="str">
        <f t="shared" si="69"/>
        <v>Strong</v>
      </c>
      <c r="Q373" t="str">
        <f t="shared" si="70"/>
        <v>Intermediate</v>
      </c>
      <c r="R373" t="str">
        <f t="shared" si="71"/>
        <v>Good</v>
      </c>
      <c r="S373" t="str">
        <f t="shared" si="72"/>
        <v>Hired</v>
      </c>
      <c r="T373">
        <f t="shared" si="73"/>
        <v>70</v>
      </c>
      <c r="U373" t="str">
        <f t="shared" si="74"/>
        <v>Developing</v>
      </c>
      <c r="V373" t="str">
        <f t="shared" si="75"/>
        <v>Interview</v>
      </c>
      <c r="W373" t="str">
        <f t="shared" si="76"/>
        <v>Personality &amp; Communication</v>
      </c>
      <c r="X373" t="str">
        <f t="shared" si="77"/>
        <v>Work on communication and personality development</v>
      </c>
    </row>
    <row r="374" spans="1:24" x14ac:dyDescent="0.3">
      <c r="A374">
        <v>42</v>
      </c>
      <c r="B374">
        <v>0</v>
      </c>
      <c r="C374">
        <v>2</v>
      </c>
      <c r="D374">
        <v>15</v>
      </c>
      <c r="E374">
        <v>5</v>
      </c>
      <c r="F374">
        <v>34.400162537150699</v>
      </c>
      <c r="G374">
        <v>68</v>
      </c>
      <c r="H374">
        <v>51</v>
      </c>
      <c r="I374">
        <v>30</v>
      </c>
      <c r="J374">
        <v>2</v>
      </c>
      <c r="K374">
        <v>0</v>
      </c>
      <c r="L374" t="str">
        <f t="shared" si="65"/>
        <v>C373</v>
      </c>
      <c r="M374" t="str">
        <f t="shared" si="66"/>
        <v>Male</v>
      </c>
      <c r="N374" t="str">
        <f t="shared" si="67"/>
        <v>Bachelor's Type 2</v>
      </c>
      <c r="O374" t="str">
        <f t="shared" si="68"/>
        <v>Senior Level</v>
      </c>
      <c r="P374" t="str">
        <f t="shared" si="69"/>
        <v>Average</v>
      </c>
      <c r="Q374" t="str">
        <f t="shared" si="70"/>
        <v>Intermediate</v>
      </c>
      <c r="R374" t="str">
        <f t="shared" si="71"/>
        <v>Needs Improvement</v>
      </c>
      <c r="S374" t="str">
        <f t="shared" si="72"/>
        <v>Not Hired</v>
      </c>
      <c r="T374">
        <f t="shared" si="73"/>
        <v>59</v>
      </c>
      <c r="U374" t="str">
        <f t="shared" si="74"/>
        <v>Developing</v>
      </c>
      <c r="V374" t="str">
        <f t="shared" si="75"/>
        <v>Interview</v>
      </c>
      <c r="W374" t="str">
        <f t="shared" si="76"/>
        <v>Personality &amp; Communication</v>
      </c>
      <c r="X374" t="str">
        <f t="shared" si="77"/>
        <v>Work on communication and personality development</v>
      </c>
    </row>
    <row r="375" spans="1:24" x14ac:dyDescent="0.3">
      <c r="A375">
        <v>28</v>
      </c>
      <c r="B375">
        <v>0</v>
      </c>
      <c r="C375">
        <v>2</v>
      </c>
      <c r="D375">
        <v>13</v>
      </c>
      <c r="E375">
        <v>1</v>
      </c>
      <c r="F375">
        <v>7.6663408171287504</v>
      </c>
      <c r="G375">
        <v>15</v>
      </c>
      <c r="H375">
        <v>1</v>
      </c>
      <c r="I375">
        <v>25</v>
      </c>
      <c r="J375">
        <v>2</v>
      </c>
      <c r="K375">
        <v>0</v>
      </c>
      <c r="L375" t="str">
        <f t="shared" si="65"/>
        <v>C374</v>
      </c>
      <c r="M375" t="str">
        <f t="shared" si="66"/>
        <v>Male</v>
      </c>
      <c r="N375" t="str">
        <f t="shared" si="67"/>
        <v>Bachelor's Type 2</v>
      </c>
      <c r="O375" t="str">
        <f t="shared" si="68"/>
        <v>Senior Level</v>
      </c>
      <c r="P375" t="str">
        <f t="shared" si="69"/>
        <v>Low</v>
      </c>
      <c r="Q375" t="str">
        <f t="shared" si="70"/>
        <v>Beginner</v>
      </c>
      <c r="R375" t="str">
        <f t="shared" si="71"/>
        <v>Needs Improvement</v>
      </c>
      <c r="S375" t="str">
        <f t="shared" si="72"/>
        <v>Not Hired</v>
      </c>
      <c r="T375">
        <f t="shared" si="73"/>
        <v>25</v>
      </c>
      <c r="U375" t="str">
        <f t="shared" si="74"/>
        <v>Needs Improvement</v>
      </c>
      <c r="V375" t="str">
        <f t="shared" si="75"/>
        <v>Personality</v>
      </c>
      <c r="W375" t="str">
        <f t="shared" si="76"/>
        <v>Technical Skills</v>
      </c>
      <c r="X375" t="str">
        <f t="shared" si="77"/>
        <v>Strengthen technical skills and practical knowledge</v>
      </c>
    </row>
    <row r="376" spans="1:24" x14ac:dyDescent="0.3">
      <c r="A376">
        <v>28</v>
      </c>
      <c r="B376">
        <v>0</v>
      </c>
      <c r="C376">
        <v>2</v>
      </c>
      <c r="D376">
        <v>3</v>
      </c>
      <c r="E376">
        <v>2</v>
      </c>
      <c r="F376">
        <v>43.592296291944301</v>
      </c>
      <c r="G376">
        <v>0</v>
      </c>
      <c r="H376">
        <v>95</v>
      </c>
      <c r="I376">
        <v>22</v>
      </c>
      <c r="J376">
        <v>2</v>
      </c>
      <c r="K376">
        <v>0</v>
      </c>
      <c r="L376" t="str">
        <f t="shared" si="65"/>
        <v>C375</v>
      </c>
      <c r="M376" t="str">
        <f t="shared" si="66"/>
        <v>Male</v>
      </c>
      <c r="N376" t="str">
        <f t="shared" si="67"/>
        <v>Bachelor's Type 2</v>
      </c>
      <c r="O376" t="str">
        <f t="shared" si="68"/>
        <v>Mid Level</v>
      </c>
      <c r="P376" t="str">
        <f t="shared" si="69"/>
        <v>Low</v>
      </c>
      <c r="Q376" t="str">
        <f t="shared" si="70"/>
        <v>Advanced</v>
      </c>
      <c r="R376" t="str">
        <f t="shared" si="71"/>
        <v>Needs Improvement</v>
      </c>
      <c r="S376" t="str">
        <f t="shared" si="72"/>
        <v>Not Hired</v>
      </c>
      <c r="T376">
        <f t="shared" si="73"/>
        <v>38</v>
      </c>
      <c r="U376" t="str">
        <f t="shared" si="74"/>
        <v>Needs Improvement</v>
      </c>
      <c r="V376" t="str">
        <f t="shared" si="75"/>
        <v>Technical Skills</v>
      </c>
      <c r="W376" t="str">
        <f t="shared" si="76"/>
        <v>Interview Preparation</v>
      </c>
      <c r="X376" t="str">
        <f t="shared" si="77"/>
        <v>Improve interview preparation and communication</v>
      </c>
    </row>
    <row r="377" spans="1:24" x14ac:dyDescent="0.3">
      <c r="A377">
        <v>22</v>
      </c>
      <c r="B377">
        <v>1</v>
      </c>
      <c r="C377">
        <v>3</v>
      </c>
      <c r="D377">
        <v>14</v>
      </c>
      <c r="E377">
        <v>5</v>
      </c>
      <c r="F377">
        <v>41.859552536331996</v>
      </c>
      <c r="G377">
        <v>36</v>
      </c>
      <c r="H377">
        <v>49</v>
      </c>
      <c r="I377">
        <v>29</v>
      </c>
      <c r="J377">
        <v>1</v>
      </c>
      <c r="K377">
        <v>1</v>
      </c>
      <c r="L377" t="str">
        <f t="shared" si="65"/>
        <v>C376</v>
      </c>
      <c r="M377" t="str">
        <f t="shared" si="66"/>
        <v>Female</v>
      </c>
      <c r="N377" t="str">
        <f t="shared" si="67"/>
        <v>Master's</v>
      </c>
      <c r="O377" t="str">
        <f t="shared" si="68"/>
        <v>Senior Level</v>
      </c>
      <c r="P377" t="str">
        <f t="shared" si="69"/>
        <v>Low</v>
      </c>
      <c r="Q377" t="str">
        <f t="shared" si="70"/>
        <v>Beginner</v>
      </c>
      <c r="R377" t="str">
        <f t="shared" si="71"/>
        <v>Needs Improvement</v>
      </c>
      <c r="S377" t="str">
        <f t="shared" si="72"/>
        <v>Hired</v>
      </c>
      <c r="T377">
        <f t="shared" si="73"/>
        <v>49</v>
      </c>
      <c r="U377" t="str">
        <f t="shared" si="74"/>
        <v>Needs Improvement</v>
      </c>
      <c r="V377" t="str">
        <f t="shared" si="75"/>
        <v>Technical Skills</v>
      </c>
      <c r="W377" t="str">
        <f t="shared" si="76"/>
        <v>Personality &amp; Communication</v>
      </c>
      <c r="X377" t="str">
        <f t="shared" si="77"/>
        <v>Work on communication and personality development</v>
      </c>
    </row>
    <row r="378" spans="1:24" x14ac:dyDescent="0.3">
      <c r="A378">
        <v>38</v>
      </c>
      <c r="B378">
        <v>0</v>
      </c>
      <c r="C378">
        <v>3</v>
      </c>
      <c r="D378">
        <v>15</v>
      </c>
      <c r="E378">
        <v>5</v>
      </c>
      <c r="F378">
        <v>1.6830842735304701</v>
      </c>
      <c r="G378">
        <v>82</v>
      </c>
      <c r="H378">
        <v>85</v>
      </c>
      <c r="I378">
        <v>9</v>
      </c>
      <c r="J378">
        <v>3</v>
      </c>
      <c r="K378">
        <v>1</v>
      </c>
      <c r="L378" t="str">
        <f t="shared" si="65"/>
        <v>C377</v>
      </c>
      <c r="M378" t="str">
        <f t="shared" si="66"/>
        <v>Male</v>
      </c>
      <c r="N378" t="str">
        <f t="shared" si="67"/>
        <v>Master's</v>
      </c>
      <c r="O378" t="str">
        <f t="shared" si="68"/>
        <v>Senior Level</v>
      </c>
      <c r="P378" t="str">
        <f t="shared" si="69"/>
        <v>Strong</v>
      </c>
      <c r="Q378" t="str">
        <f t="shared" si="70"/>
        <v>Advanced</v>
      </c>
      <c r="R378" t="str">
        <f t="shared" si="71"/>
        <v>Needs Improvement</v>
      </c>
      <c r="S378" t="str">
        <f t="shared" si="72"/>
        <v>Hired</v>
      </c>
      <c r="T378">
        <f t="shared" si="73"/>
        <v>71</v>
      </c>
      <c r="U378" t="str">
        <f t="shared" si="74"/>
        <v>Developing</v>
      </c>
      <c r="V378" t="str">
        <f t="shared" si="75"/>
        <v>Technical Skills</v>
      </c>
      <c r="W378" t="str">
        <f t="shared" si="76"/>
        <v>Personality &amp; Communication</v>
      </c>
      <c r="X378" t="str">
        <f t="shared" si="77"/>
        <v>Work on communication and personality development</v>
      </c>
    </row>
    <row r="379" spans="1:24" x14ac:dyDescent="0.3">
      <c r="A379">
        <v>35</v>
      </c>
      <c r="B379">
        <v>1</v>
      </c>
      <c r="C379">
        <v>3</v>
      </c>
      <c r="D379">
        <v>6</v>
      </c>
      <c r="E379">
        <v>1</v>
      </c>
      <c r="F379">
        <v>45.786317775755698</v>
      </c>
      <c r="G379">
        <v>36</v>
      </c>
      <c r="H379">
        <v>42</v>
      </c>
      <c r="I379">
        <v>71</v>
      </c>
      <c r="J379">
        <v>2</v>
      </c>
      <c r="K379">
        <v>0</v>
      </c>
      <c r="L379" t="str">
        <f t="shared" si="65"/>
        <v>C378</v>
      </c>
      <c r="M379" t="str">
        <f t="shared" si="66"/>
        <v>Female</v>
      </c>
      <c r="N379" t="str">
        <f t="shared" si="67"/>
        <v>Master's</v>
      </c>
      <c r="O379" t="str">
        <f t="shared" si="68"/>
        <v>Mid Level</v>
      </c>
      <c r="P379" t="str">
        <f t="shared" si="69"/>
        <v>Low</v>
      </c>
      <c r="Q379" t="str">
        <f t="shared" si="70"/>
        <v>Beginner</v>
      </c>
      <c r="R379" t="str">
        <f t="shared" si="71"/>
        <v>Good</v>
      </c>
      <c r="S379" t="str">
        <f t="shared" si="72"/>
        <v>Not Hired</v>
      </c>
      <c r="T379">
        <f t="shared" si="73"/>
        <v>47</v>
      </c>
      <c r="U379" t="str">
        <f t="shared" si="74"/>
        <v>Needs Improvement</v>
      </c>
      <c r="V379" t="str">
        <f t="shared" si="75"/>
        <v>Personality</v>
      </c>
      <c r="W379" t="str">
        <f t="shared" si="76"/>
        <v>Interview Preparation</v>
      </c>
      <c r="X379" t="str">
        <f t="shared" si="77"/>
        <v>Improve interview preparation and communication</v>
      </c>
    </row>
    <row r="380" spans="1:24" x14ac:dyDescent="0.3">
      <c r="A380">
        <v>35</v>
      </c>
      <c r="B380">
        <v>1</v>
      </c>
      <c r="C380">
        <v>1</v>
      </c>
      <c r="D380">
        <v>12</v>
      </c>
      <c r="E380">
        <v>4</v>
      </c>
      <c r="F380">
        <v>2.4472158371683501</v>
      </c>
      <c r="G380">
        <v>80</v>
      </c>
      <c r="H380">
        <v>76</v>
      </c>
      <c r="I380">
        <v>88</v>
      </c>
      <c r="J380">
        <v>1</v>
      </c>
      <c r="K380">
        <v>1</v>
      </c>
      <c r="L380" t="str">
        <f t="shared" si="65"/>
        <v>C379</v>
      </c>
      <c r="M380" t="str">
        <f t="shared" si="66"/>
        <v>Female</v>
      </c>
      <c r="N380" t="str">
        <f t="shared" si="67"/>
        <v>Bachelor's Type 1</v>
      </c>
      <c r="O380" t="str">
        <f t="shared" si="68"/>
        <v>Senior Level</v>
      </c>
      <c r="P380" t="str">
        <f t="shared" si="69"/>
        <v>Strong</v>
      </c>
      <c r="Q380" t="str">
        <f t="shared" si="70"/>
        <v>Advanced</v>
      </c>
      <c r="R380" t="str">
        <f t="shared" si="71"/>
        <v>Strong</v>
      </c>
      <c r="S380" t="str">
        <f t="shared" si="72"/>
        <v>Hired</v>
      </c>
      <c r="T380">
        <f t="shared" si="73"/>
        <v>79</v>
      </c>
      <c r="U380" t="str">
        <f t="shared" si="74"/>
        <v>Job Ready</v>
      </c>
      <c r="V380" t="str">
        <f t="shared" si="75"/>
        <v>Personality</v>
      </c>
      <c r="W380" t="str">
        <f t="shared" si="76"/>
        <v>Technical Skills</v>
      </c>
      <c r="X380" t="str">
        <f t="shared" si="77"/>
        <v>Strengthen technical skills and practical knowledge</v>
      </c>
    </row>
    <row r="381" spans="1:24" x14ac:dyDescent="0.3">
      <c r="A381">
        <v>22</v>
      </c>
      <c r="B381">
        <v>0</v>
      </c>
      <c r="C381">
        <v>3</v>
      </c>
      <c r="D381">
        <v>0</v>
      </c>
      <c r="E381">
        <v>2</v>
      </c>
      <c r="F381">
        <v>12.9822892478778</v>
      </c>
      <c r="G381">
        <v>63</v>
      </c>
      <c r="H381">
        <v>7</v>
      </c>
      <c r="I381">
        <v>63</v>
      </c>
      <c r="J381">
        <v>2</v>
      </c>
      <c r="K381">
        <v>0</v>
      </c>
      <c r="L381" t="str">
        <f t="shared" si="65"/>
        <v>C380</v>
      </c>
      <c r="M381" t="str">
        <f t="shared" si="66"/>
        <v>Male</v>
      </c>
      <c r="N381" t="str">
        <f t="shared" si="67"/>
        <v>Master's</v>
      </c>
      <c r="O381" t="str">
        <f t="shared" si="68"/>
        <v>Entry Level</v>
      </c>
      <c r="P381" t="str">
        <f t="shared" si="69"/>
        <v>Average</v>
      </c>
      <c r="Q381" t="str">
        <f t="shared" si="70"/>
        <v>Beginner</v>
      </c>
      <c r="R381" t="str">
        <f t="shared" si="71"/>
        <v>Good</v>
      </c>
      <c r="S381" t="str">
        <f t="shared" si="72"/>
        <v>Not Hired</v>
      </c>
      <c r="T381">
        <f t="shared" si="73"/>
        <v>37</v>
      </c>
      <c r="U381" t="str">
        <f t="shared" si="74"/>
        <v>Needs Improvement</v>
      </c>
      <c r="V381" t="str">
        <f t="shared" si="75"/>
        <v>Interview</v>
      </c>
      <c r="W381" t="str">
        <f t="shared" si="76"/>
        <v>Technical Skills</v>
      </c>
      <c r="X381" t="str">
        <f t="shared" si="77"/>
        <v>Strengthen technical skills and practical knowledge</v>
      </c>
    </row>
    <row r="382" spans="1:24" x14ac:dyDescent="0.3">
      <c r="A382">
        <v>39</v>
      </c>
      <c r="B382">
        <v>0</v>
      </c>
      <c r="C382">
        <v>3</v>
      </c>
      <c r="D382">
        <v>6</v>
      </c>
      <c r="E382">
        <v>3</v>
      </c>
      <c r="F382">
        <v>2.6194568887997498</v>
      </c>
      <c r="G382">
        <v>89</v>
      </c>
      <c r="H382">
        <v>58</v>
      </c>
      <c r="I382">
        <v>21</v>
      </c>
      <c r="J382">
        <v>1</v>
      </c>
      <c r="K382">
        <v>1</v>
      </c>
      <c r="L382" t="str">
        <f t="shared" si="65"/>
        <v>C381</v>
      </c>
      <c r="M382" t="str">
        <f t="shared" si="66"/>
        <v>Male</v>
      </c>
      <c r="N382" t="str">
        <f t="shared" si="67"/>
        <v>Master's</v>
      </c>
      <c r="O382" t="str">
        <f t="shared" si="68"/>
        <v>Mid Level</v>
      </c>
      <c r="P382" t="str">
        <f t="shared" si="69"/>
        <v>Strong</v>
      </c>
      <c r="Q382" t="str">
        <f t="shared" si="70"/>
        <v>Intermediate</v>
      </c>
      <c r="R382" t="str">
        <f t="shared" si="71"/>
        <v>Needs Improvement</v>
      </c>
      <c r="S382" t="str">
        <f t="shared" si="72"/>
        <v>Hired</v>
      </c>
      <c r="T382">
        <f t="shared" si="73"/>
        <v>58</v>
      </c>
      <c r="U382" t="str">
        <f t="shared" si="74"/>
        <v>Developing</v>
      </c>
      <c r="V382" t="str">
        <f t="shared" si="75"/>
        <v>Interview</v>
      </c>
      <c r="W382" t="str">
        <f t="shared" si="76"/>
        <v>Personality &amp; Communication</v>
      </c>
      <c r="X382" t="str">
        <f t="shared" si="77"/>
        <v>Work on communication and personality development</v>
      </c>
    </row>
    <row r="383" spans="1:24" x14ac:dyDescent="0.3">
      <c r="A383">
        <v>43</v>
      </c>
      <c r="B383">
        <v>0</v>
      </c>
      <c r="C383">
        <v>2</v>
      </c>
      <c r="D383">
        <v>7</v>
      </c>
      <c r="E383">
        <v>3</v>
      </c>
      <c r="F383">
        <v>17.792174351965699</v>
      </c>
      <c r="G383">
        <v>85</v>
      </c>
      <c r="H383">
        <v>64</v>
      </c>
      <c r="I383">
        <v>14</v>
      </c>
      <c r="J383">
        <v>1</v>
      </c>
      <c r="K383">
        <v>1</v>
      </c>
      <c r="L383" t="str">
        <f t="shared" si="65"/>
        <v>C382</v>
      </c>
      <c r="M383" t="str">
        <f t="shared" si="66"/>
        <v>Male</v>
      </c>
      <c r="N383" t="str">
        <f t="shared" si="67"/>
        <v>Bachelor's Type 2</v>
      </c>
      <c r="O383" t="str">
        <f t="shared" si="68"/>
        <v>Senior Level</v>
      </c>
      <c r="P383" t="str">
        <f t="shared" si="69"/>
        <v>Strong</v>
      </c>
      <c r="Q383" t="str">
        <f t="shared" si="70"/>
        <v>Intermediate</v>
      </c>
      <c r="R383" t="str">
        <f t="shared" si="71"/>
        <v>Needs Improvement</v>
      </c>
      <c r="S383" t="str">
        <f t="shared" si="72"/>
        <v>Hired</v>
      </c>
      <c r="T383">
        <f t="shared" si="73"/>
        <v>57</v>
      </c>
      <c r="U383" t="str">
        <f t="shared" si="74"/>
        <v>Developing</v>
      </c>
      <c r="V383" t="str">
        <f t="shared" si="75"/>
        <v>Interview</v>
      </c>
      <c r="W383" t="str">
        <f t="shared" si="76"/>
        <v>Personality &amp; Communication</v>
      </c>
      <c r="X383" t="str">
        <f t="shared" si="77"/>
        <v>Work on communication and personality development</v>
      </c>
    </row>
    <row r="384" spans="1:24" x14ac:dyDescent="0.3">
      <c r="A384">
        <v>41</v>
      </c>
      <c r="B384">
        <v>1</v>
      </c>
      <c r="C384">
        <v>3</v>
      </c>
      <c r="D384">
        <v>4</v>
      </c>
      <c r="E384">
        <v>1</v>
      </c>
      <c r="F384">
        <v>26.693326285663499</v>
      </c>
      <c r="G384">
        <v>61</v>
      </c>
      <c r="H384">
        <v>80</v>
      </c>
      <c r="I384">
        <v>55</v>
      </c>
      <c r="J384">
        <v>2</v>
      </c>
      <c r="K384">
        <v>0</v>
      </c>
      <c r="L384" t="str">
        <f t="shared" si="65"/>
        <v>C383</v>
      </c>
      <c r="M384" t="str">
        <f t="shared" si="66"/>
        <v>Female</v>
      </c>
      <c r="N384" t="str">
        <f t="shared" si="67"/>
        <v>Master's</v>
      </c>
      <c r="O384" t="str">
        <f t="shared" si="68"/>
        <v>Mid Level</v>
      </c>
      <c r="P384" t="str">
        <f t="shared" si="69"/>
        <v>Average</v>
      </c>
      <c r="Q384" t="str">
        <f t="shared" si="70"/>
        <v>Advanced</v>
      </c>
      <c r="R384" t="str">
        <f t="shared" si="71"/>
        <v>Good</v>
      </c>
      <c r="S384" t="str">
        <f t="shared" si="72"/>
        <v>Not Hired</v>
      </c>
      <c r="T384">
        <f t="shared" si="73"/>
        <v>61</v>
      </c>
      <c r="U384" t="str">
        <f t="shared" si="74"/>
        <v>Developing</v>
      </c>
      <c r="V384" t="str">
        <f t="shared" si="75"/>
        <v>Technical Skills</v>
      </c>
      <c r="W384" t="str">
        <f t="shared" si="76"/>
        <v>Personality &amp; Communication</v>
      </c>
      <c r="X384" t="str">
        <f t="shared" si="77"/>
        <v>Work on communication and personality development</v>
      </c>
    </row>
    <row r="385" spans="1:24" x14ac:dyDescent="0.3">
      <c r="A385">
        <v>43</v>
      </c>
      <c r="B385">
        <v>0</v>
      </c>
      <c r="C385">
        <v>3</v>
      </c>
      <c r="D385">
        <v>1</v>
      </c>
      <c r="E385">
        <v>2</v>
      </c>
      <c r="F385">
        <v>40.832243450756899</v>
      </c>
      <c r="G385">
        <v>71</v>
      </c>
      <c r="H385">
        <v>11</v>
      </c>
      <c r="I385">
        <v>73</v>
      </c>
      <c r="J385">
        <v>2</v>
      </c>
      <c r="K385">
        <v>0</v>
      </c>
      <c r="L385" t="str">
        <f t="shared" si="65"/>
        <v>C384</v>
      </c>
      <c r="M385" t="str">
        <f t="shared" si="66"/>
        <v>Male</v>
      </c>
      <c r="N385" t="str">
        <f t="shared" si="67"/>
        <v>Master's</v>
      </c>
      <c r="O385" t="str">
        <f t="shared" si="68"/>
        <v>Entry Level</v>
      </c>
      <c r="P385" t="str">
        <f t="shared" si="69"/>
        <v>Average</v>
      </c>
      <c r="Q385" t="str">
        <f t="shared" si="70"/>
        <v>Beginner</v>
      </c>
      <c r="R385" t="str">
        <f t="shared" si="71"/>
        <v>Good</v>
      </c>
      <c r="S385" t="str">
        <f t="shared" si="72"/>
        <v>Not Hired</v>
      </c>
      <c r="T385">
        <f t="shared" si="73"/>
        <v>44</v>
      </c>
      <c r="U385" t="str">
        <f t="shared" si="74"/>
        <v>Needs Improvement</v>
      </c>
      <c r="V385" t="str">
        <f t="shared" si="75"/>
        <v>Personality</v>
      </c>
      <c r="W385" t="str">
        <f t="shared" si="76"/>
        <v>Technical Skills</v>
      </c>
      <c r="X385" t="str">
        <f t="shared" si="77"/>
        <v>Strengthen technical skills and practical knowledge</v>
      </c>
    </row>
    <row r="386" spans="1:24" x14ac:dyDescent="0.3">
      <c r="A386">
        <v>20</v>
      </c>
      <c r="B386">
        <v>1</v>
      </c>
      <c r="C386">
        <v>2</v>
      </c>
      <c r="D386">
        <v>4</v>
      </c>
      <c r="E386">
        <v>2</v>
      </c>
      <c r="F386">
        <v>17.899077523491801</v>
      </c>
      <c r="G386">
        <v>60</v>
      </c>
      <c r="H386">
        <v>3</v>
      </c>
      <c r="I386">
        <v>19</v>
      </c>
      <c r="J386">
        <v>3</v>
      </c>
      <c r="K386">
        <v>0</v>
      </c>
      <c r="L386" t="str">
        <f t="shared" si="65"/>
        <v>C385</v>
      </c>
      <c r="M386" t="str">
        <f t="shared" si="66"/>
        <v>Female</v>
      </c>
      <c r="N386" t="str">
        <f t="shared" si="67"/>
        <v>Bachelor's Type 2</v>
      </c>
      <c r="O386" t="str">
        <f t="shared" si="68"/>
        <v>Mid Level</v>
      </c>
      <c r="P386" t="str">
        <f t="shared" si="69"/>
        <v>Average</v>
      </c>
      <c r="Q386" t="str">
        <f t="shared" si="70"/>
        <v>Beginner</v>
      </c>
      <c r="R386" t="str">
        <f t="shared" si="71"/>
        <v>Needs Improvement</v>
      </c>
      <c r="S386" t="str">
        <f t="shared" si="72"/>
        <v>Not Hired</v>
      </c>
      <c r="T386">
        <f t="shared" si="73"/>
        <v>29</v>
      </c>
      <c r="U386" t="str">
        <f t="shared" si="74"/>
        <v>Needs Improvement</v>
      </c>
      <c r="V386" t="str">
        <f t="shared" si="75"/>
        <v>Interview</v>
      </c>
      <c r="W386" t="str">
        <f t="shared" si="76"/>
        <v>Technical Skills</v>
      </c>
      <c r="X386" t="str">
        <f t="shared" si="77"/>
        <v>Strengthen technical skills and practical knowledge</v>
      </c>
    </row>
    <row r="387" spans="1:24" x14ac:dyDescent="0.3">
      <c r="A387">
        <v>43</v>
      </c>
      <c r="B387">
        <v>1</v>
      </c>
      <c r="C387">
        <v>2</v>
      </c>
      <c r="D387">
        <v>5</v>
      </c>
      <c r="E387">
        <v>1</v>
      </c>
      <c r="F387">
        <v>36.274501233655798</v>
      </c>
      <c r="G387">
        <v>32</v>
      </c>
      <c r="H387">
        <v>76</v>
      </c>
      <c r="I387">
        <v>46</v>
      </c>
      <c r="J387">
        <v>2</v>
      </c>
      <c r="K387">
        <v>0</v>
      </c>
      <c r="L387" t="str">
        <f t="shared" ref="L387:L450" si="78">"C"&amp;TEXT(ROW()-1,"000")</f>
        <v>C386</v>
      </c>
      <c r="M387" t="str">
        <f t="shared" ref="M387:M450" si="79">IF(B387=0,"Male","Female")</f>
        <v>Female</v>
      </c>
      <c r="N387" t="str">
        <f t="shared" ref="N387:N450" si="80">IF(C387=1,"Bachelor's Type 1",IF(C387=2,"Bachelor's Type 2",IF(C387=3,"Master's","PhD")))</f>
        <v>Bachelor's Type 2</v>
      </c>
      <c r="O387" t="str">
        <f t="shared" ref="O387:O450" si="81">IF(D387&lt;=2,"Entry Level",IF(D387&lt;=6,"Mid Level","Senior Level"))</f>
        <v>Mid Level</v>
      </c>
      <c r="P387" t="str">
        <f t="shared" ref="P387:P450" si="82">IF(G387&lt;50,"Low",IF(G387&lt;75,"Average","Strong"))</f>
        <v>Low</v>
      </c>
      <c r="Q387" t="str">
        <f t="shared" ref="Q387:Q450" si="83">IF(H387&lt;50,"Beginner",IF(H387&lt;75,"Intermediate","Advanced"))</f>
        <v>Advanced</v>
      </c>
      <c r="R387" t="str">
        <f t="shared" ref="R387:R450" si="84">IF(I387&lt;50,"Needs Improvement",IF(I387&lt;75,"Good","Strong"))</f>
        <v>Needs Improvement</v>
      </c>
      <c r="S387" t="str">
        <f t="shared" ref="S387:S450" si="85">IF(K387=1,"Hired","Not Hired")</f>
        <v>Not Hired</v>
      </c>
      <c r="T387">
        <f t="shared" ref="T387:T450" si="86">ROUND((G387*30%)+(H387*30%)+(I387*20%)+((D387/15)*100*15%)+(IF(C387&lt;=2,50,IF(C387=3,75,100))*5%),0)</f>
        <v>49</v>
      </c>
      <c r="U387" t="str">
        <f t="shared" ref="U387:U450" si="87">IF(T387&lt;50,"Needs Improvement",IF(T387&lt;75,"Developing","Job Ready"))</f>
        <v>Needs Improvement</v>
      </c>
      <c r="V387" t="str">
        <f t="shared" ref="V387:V450" si="88">IF(AND(G387&gt;=H387,G387&gt;=I387),"Interview",IF(H387&gt;=I387,"Technical Skills","Personality"))</f>
        <v>Technical Skills</v>
      </c>
      <c r="W387" t="str">
        <f t="shared" ref="W387:W450" si="89">IF(AND(G387&lt;=H387,G387&lt;=I387),"Interview Preparation",IF(H387&lt;=I387,"Technical Skills","Personality &amp; Communication"))</f>
        <v>Interview Preparation</v>
      </c>
      <c r="X387" t="str">
        <f t="shared" ref="X387:X450" si="90">IF(W387="Interview Preparation","Improve interview preparation and communication",IF(W387="Technical Skills","Strengthen technical skills and practical knowledge","Work on communication and personality development"))</f>
        <v>Improve interview preparation and communication</v>
      </c>
    </row>
    <row r="388" spans="1:24" x14ac:dyDescent="0.3">
      <c r="A388">
        <v>39</v>
      </c>
      <c r="B388">
        <v>0</v>
      </c>
      <c r="C388">
        <v>1</v>
      </c>
      <c r="D388">
        <v>11</v>
      </c>
      <c r="E388">
        <v>2</v>
      </c>
      <c r="F388">
        <v>10.375222855949</v>
      </c>
      <c r="G388">
        <v>65</v>
      </c>
      <c r="H388">
        <v>94</v>
      </c>
      <c r="I388">
        <v>86</v>
      </c>
      <c r="J388">
        <v>3</v>
      </c>
      <c r="K388">
        <v>0</v>
      </c>
      <c r="L388" t="str">
        <f t="shared" si="78"/>
        <v>C387</v>
      </c>
      <c r="M388" t="str">
        <f t="shared" si="79"/>
        <v>Male</v>
      </c>
      <c r="N388" t="str">
        <f t="shared" si="80"/>
        <v>Bachelor's Type 1</v>
      </c>
      <c r="O388" t="str">
        <f t="shared" si="81"/>
        <v>Senior Level</v>
      </c>
      <c r="P388" t="str">
        <f t="shared" si="82"/>
        <v>Average</v>
      </c>
      <c r="Q388" t="str">
        <f t="shared" si="83"/>
        <v>Advanced</v>
      </c>
      <c r="R388" t="str">
        <f t="shared" si="84"/>
        <v>Strong</v>
      </c>
      <c r="S388" t="str">
        <f t="shared" si="85"/>
        <v>Not Hired</v>
      </c>
      <c r="T388">
        <f t="shared" si="86"/>
        <v>78</v>
      </c>
      <c r="U388" t="str">
        <f t="shared" si="87"/>
        <v>Job Ready</v>
      </c>
      <c r="V388" t="str">
        <f t="shared" si="88"/>
        <v>Technical Skills</v>
      </c>
      <c r="W388" t="str">
        <f t="shared" si="89"/>
        <v>Interview Preparation</v>
      </c>
      <c r="X388" t="str">
        <f t="shared" si="90"/>
        <v>Improve interview preparation and communication</v>
      </c>
    </row>
    <row r="389" spans="1:24" x14ac:dyDescent="0.3">
      <c r="A389">
        <v>30</v>
      </c>
      <c r="B389">
        <v>0</v>
      </c>
      <c r="C389">
        <v>2</v>
      </c>
      <c r="D389">
        <v>1</v>
      </c>
      <c r="E389">
        <v>4</v>
      </c>
      <c r="F389">
        <v>38.5299228372063</v>
      </c>
      <c r="G389">
        <v>29</v>
      </c>
      <c r="H389">
        <v>40</v>
      </c>
      <c r="I389">
        <v>52</v>
      </c>
      <c r="J389">
        <v>3</v>
      </c>
      <c r="K389">
        <v>0</v>
      </c>
      <c r="L389" t="str">
        <f t="shared" si="78"/>
        <v>C388</v>
      </c>
      <c r="M389" t="str">
        <f t="shared" si="79"/>
        <v>Male</v>
      </c>
      <c r="N389" t="str">
        <f t="shared" si="80"/>
        <v>Bachelor's Type 2</v>
      </c>
      <c r="O389" t="str">
        <f t="shared" si="81"/>
        <v>Entry Level</v>
      </c>
      <c r="P389" t="str">
        <f t="shared" si="82"/>
        <v>Low</v>
      </c>
      <c r="Q389" t="str">
        <f t="shared" si="83"/>
        <v>Beginner</v>
      </c>
      <c r="R389" t="str">
        <f t="shared" si="84"/>
        <v>Good</v>
      </c>
      <c r="S389" t="str">
        <f t="shared" si="85"/>
        <v>Not Hired</v>
      </c>
      <c r="T389">
        <f t="shared" si="86"/>
        <v>35</v>
      </c>
      <c r="U389" t="str">
        <f t="shared" si="87"/>
        <v>Needs Improvement</v>
      </c>
      <c r="V389" t="str">
        <f t="shared" si="88"/>
        <v>Personality</v>
      </c>
      <c r="W389" t="str">
        <f t="shared" si="89"/>
        <v>Interview Preparation</v>
      </c>
      <c r="X389" t="str">
        <f t="shared" si="90"/>
        <v>Improve interview preparation and communication</v>
      </c>
    </row>
    <row r="390" spans="1:24" x14ac:dyDescent="0.3">
      <c r="A390">
        <v>36</v>
      </c>
      <c r="B390">
        <v>1</v>
      </c>
      <c r="C390">
        <v>2</v>
      </c>
      <c r="D390">
        <v>13</v>
      </c>
      <c r="E390">
        <v>1</v>
      </c>
      <c r="F390">
        <v>12.799830295461801</v>
      </c>
      <c r="G390">
        <v>19</v>
      </c>
      <c r="H390">
        <v>6</v>
      </c>
      <c r="I390">
        <v>52</v>
      </c>
      <c r="J390">
        <v>3</v>
      </c>
      <c r="K390">
        <v>0</v>
      </c>
      <c r="L390" t="str">
        <f t="shared" si="78"/>
        <v>C389</v>
      </c>
      <c r="M390" t="str">
        <f t="shared" si="79"/>
        <v>Female</v>
      </c>
      <c r="N390" t="str">
        <f t="shared" si="80"/>
        <v>Bachelor's Type 2</v>
      </c>
      <c r="O390" t="str">
        <f t="shared" si="81"/>
        <v>Senior Level</v>
      </c>
      <c r="P390" t="str">
        <f t="shared" si="82"/>
        <v>Low</v>
      </c>
      <c r="Q390" t="str">
        <f t="shared" si="83"/>
        <v>Beginner</v>
      </c>
      <c r="R390" t="str">
        <f t="shared" si="84"/>
        <v>Good</v>
      </c>
      <c r="S390" t="str">
        <f t="shared" si="85"/>
        <v>Not Hired</v>
      </c>
      <c r="T390">
        <f t="shared" si="86"/>
        <v>33</v>
      </c>
      <c r="U390" t="str">
        <f t="shared" si="87"/>
        <v>Needs Improvement</v>
      </c>
      <c r="V390" t="str">
        <f t="shared" si="88"/>
        <v>Personality</v>
      </c>
      <c r="W390" t="str">
        <f t="shared" si="89"/>
        <v>Technical Skills</v>
      </c>
      <c r="X390" t="str">
        <f t="shared" si="90"/>
        <v>Strengthen technical skills and practical knowledge</v>
      </c>
    </row>
    <row r="391" spans="1:24" x14ac:dyDescent="0.3">
      <c r="A391">
        <v>27</v>
      </c>
      <c r="B391">
        <v>1</v>
      </c>
      <c r="C391">
        <v>3</v>
      </c>
      <c r="D391">
        <v>5</v>
      </c>
      <c r="E391">
        <v>4</v>
      </c>
      <c r="F391">
        <v>8.1772377971883898</v>
      </c>
      <c r="G391">
        <v>59</v>
      </c>
      <c r="H391">
        <v>86</v>
      </c>
      <c r="I391">
        <v>0</v>
      </c>
      <c r="J391">
        <v>2</v>
      </c>
      <c r="K391">
        <v>0</v>
      </c>
      <c r="L391" t="str">
        <f t="shared" si="78"/>
        <v>C390</v>
      </c>
      <c r="M391" t="str">
        <f t="shared" si="79"/>
        <v>Female</v>
      </c>
      <c r="N391" t="str">
        <f t="shared" si="80"/>
        <v>Master's</v>
      </c>
      <c r="O391" t="str">
        <f t="shared" si="81"/>
        <v>Mid Level</v>
      </c>
      <c r="P391" t="str">
        <f t="shared" si="82"/>
        <v>Average</v>
      </c>
      <c r="Q391" t="str">
        <f t="shared" si="83"/>
        <v>Advanced</v>
      </c>
      <c r="R391" t="str">
        <f t="shared" si="84"/>
        <v>Needs Improvement</v>
      </c>
      <c r="S391" t="str">
        <f t="shared" si="85"/>
        <v>Not Hired</v>
      </c>
      <c r="T391">
        <f t="shared" si="86"/>
        <v>52</v>
      </c>
      <c r="U391" t="str">
        <f t="shared" si="87"/>
        <v>Developing</v>
      </c>
      <c r="V391" t="str">
        <f t="shared" si="88"/>
        <v>Technical Skills</v>
      </c>
      <c r="W391" t="str">
        <f t="shared" si="89"/>
        <v>Personality &amp; Communication</v>
      </c>
      <c r="X391" t="str">
        <f t="shared" si="90"/>
        <v>Work on communication and personality development</v>
      </c>
    </row>
    <row r="392" spans="1:24" x14ac:dyDescent="0.3">
      <c r="A392">
        <v>23</v>
      </c>
      <c r="B392">
        <v>1</v>
      </c>
      <c r="C392">
        <v>2</v>
      </c>
      <c r="D392">
        <v>5</v>
      </c>
      <c r="E392">
        <v>2</v>
      </c>
      <c r="F392">
        <v>10.2704425187027</v>
      </c>
      <c r="G392">
        <v>81</v>
      </c>
      <c r="H392">
        <v>87</v>
      </c>
      <c r="I392">
        <v>1</v>
      </c>
      <c r="J392">
        <v>1</v>
      </c>
      <c r="K392">
        <v>1</v>
      </c>
      <c r="L392" t="str">
        <f t="shared" si="78"/>
        <v>C391</v>
      </c>
      <c r="M392" t="str">
        <f t="shared" si="79"/>
        <v>Female</v>
      </c>
      <c r="N392" t="str">
        <f t="shared" si="80"/>
        <v>Bachelor's Type 2</v>
      </c>
      <c r="O392" t="str">
        <f t="shared" si="81"/>
        <v>Mid Level</v>
      </c>
      <c r="P392" t="str">
        <f t="shared" si="82"/>
        <v>Strong</v>
      </c>
      <c r="Q392" t="str">
        <f t="shared" si="83"/>
        <v>Advanced</v>
      </c>
      <c r="R392" t="str">
        <f t="shared" si="84"/>
        <v>Needs Improvement</v>
      </c>
      <c r="S392" t="str">
        <f t="shared" si="85"/>
        <v>Hired</v>
      </c>
      <c r="T392">
        <f t="shared" si="86"/>
        <v>58</v>
      </c>
      <c r="U392" t="str">
        <f t="shared" si="87"/>
        <v>Developing</v>
      </c>
      <c r="V392" t="str">
        <f t="shared" si="88"/>
        <v>Technical Skills</v>
      </c>
      <c r="W392" t="str">
        <f t="shared" si="89"/>
        <v>Personality &amp; Communication</v>
      </c>
      <c r="X392" t="str">
        <f t="shared" si="90"/>
        <v>Work on communication and personality development</v>
      </c>
    </row>
    <row r="393" spans="1:24" x14ac:dyDescent="0.3">
      <c r="A393">
        <v>25</v>
      </c>
      <c r="B393">
        <v>0</v>
      </c>
      <c r="C393">
        <v>1</v>
      </c>
      <c r="D393">
        <v>0</v>
      </c>
      <c r="E393">
        <v>1</v>
      </c>
      <c r="F393">
        <v>10.103156444092701</v>
      </c>
      <c r="G393">
        <v>73</v>
      </c>
      <c r="H393">
        <v>68</v>
      </c>
      <c r="I393">
        <v>57</v>
      </c>
      <c r="J393">
        <v>1</v>
      </c>
      <c r="K393">
        <v>1</v>
      </c>
      <c r="L393" t="str">
        <f t="shared" si="78"/>
        <v>C392</v>
      </c>
      <c r="M393" t="str">
        <f t="shared" si="79"/>
        <v>Male</v>
      </c>
      <c r="N393" t="str">
        <f t="shared" si="80"/>
        <v>Bachelor's Type 1</v>
      </c>
      <c r="O393" t="str">
        <f t="shared" si="81"/>
        <v>Entry Level</v>
      </c>
      <c r="P393" t="str">
        <f t="shared" si="82"/>
        <v>Average</v>
      </c>
      <c r="Q393" t="str">
        <f t="shared" si="83"/>
        <v>Intermediate</v>
      </c>
      <c r="R393" t="str">
        <f t="shared" si="84"/>
        <v>Good</v>
      </c>
      <c r="S393" t="str">
        <f t="shared" si="85"/>
        <v>Hired</v>
      </c>
      <c r="T393">
        <f t="shared" si="86"/>
        <v>56</v>
      </c>
      <c r="U393" t="str">
        <f t="shared" si="87"/>
        <v>Developing</v>
      </c>
      <c r="V393" t="str">
        <f t="shared" si="88"/>
        <v>Interview</v>
      </c>
      <c r="W393" t="str">
        <f t="shared" si="89"/>
        <v>Personality &amp; Communication</v>
      </c>
      <c r="X393" t="str">
        <f t="shared" si="90"/>
        <v>Work on communication and personality development</v>
      </c>
    </row>
    <row r="394" spans="1:24" x14ac:dyDescent="0.3">
      <c r="A394">
        <v>27</v>
      </c>
      <c r="B394">
        <v>1</v>
      </c>
      <c r="C394">
        <v>2</v>
      </c>
      <c r="D394">
        <v>13</v>
      </c>
      <c r="E394">
        <v>2</v>
      </c>
      <c r="F394">
        <v>26.6431439688495</v>
      </c>
      <c r="G394">
        <v>23</v>
      </c>
      <c r="H394">
        <v>68</v>
      </c>
      <c r="I394">
        <v>18</v>
      </c>
      <c r="J394">
        <v>2</v>
      </c>
      <c r="K394">
        <v>0</v>
      </c>
      <c r="L394" t="str">
        <f t="shared" si="78"/>
        <v>C393</v>
      </c>
      <c r="M394" t="str">
        <f t="shared" si="79"/>
        <v>Female</v>
      </c>
      <c r="N394" t="str">
        <f t="shared" si="80"/>
        <v>Bachelor's Type 2</v>
      </c>
      <c r="O394" t="str">
        <f t="shared" si="81"/>
        <v>Senior Level</v>
      </c>
      <c r="P394" t="str">
        <f t="shared" si="82"/>
        <v>Low</v>
      </c>
      <c r="Q394" t="str">
        <f t="shared" si="83"/>
        <v>Intermediate</v>
      </c>
      <c r="R394" t="str">
        <f t="shared" si="84"/>
        <v>Needs Improvement</v>
      </c>
      <c r="S394" t="str">
        <f t="shared" si="85"/>
        <v>Not Hired</v>
      </c>
      <c r="T394">
        <f t="shared" si="86"/>
        <v>46</v>
      </c>
      <c r="U394" t="str">
        <f t="shared" si="87"/>
        <v>Needs Improvement</v>
      </c>
      <c r="V394" t="str">
        <f t="shared" si="88"/>
        <v>Technical Skills</v>
      </c>
      <c r="W394" t="str">
        <f t="shared" si="89"/>
        <v>Personality &amp; Communication</v>
      </c>
      <c r="X394" t="str">
        <f t="shared" si="90"/>
        <v>Work on communication and personality development</v>
      </c>
    </row>
    <row r="395" spans="1:24" x14ac:dyDescent="0.3">
      <c r="A395">
        <v>39</v>
      </c>
      <c r="B395">
        <v>0</v>
      </c>
      <c r="C395">
        <v>1</v>
      </c>
      <c r="D395">
        <v>0</v>
      </c>
      <c r="E395">
        <v>1</v>
      </c>
      <c r="F395">
        <v>43.239879059407301</v>
      </c>
      <c r="G395">
        <v>3</v>
      </c>
      <c r="H395">
        <v>80</v>
      </c>
      <c r="I395">
        <v>61</v>
      </c>
      <c r="J395">
        <v>2</v>
      </c>
      <c r="K395">
        <v>0</v>
      </c>
      <c r="L395" t="str">
        <f t="shared" si="78"/>
        <v>C394</v>
      </c>
      <c r="M395" t="str">
        <f t="shared" si="79"/>
        <v>Male</v>
      </c>
      <c r="N395" t="str">
        <f t="shared" si="80"/>
        <v>Bachelor's Type 1</v>
      </c>
      <c r="O395" t="str">
        <f t="shared" si="81"/>
        <v>Entry Level</v>
      </c>
      <c r="P395" t="str">
        <f t="shared" si="82"/>
        <v>Low</v>
      </c>
      <c r="Q395" t="str">
        <f t="shared" si="83"/>
        <v>Advanced</v>
      </c>
      <c r="R395" t="str">
        <f t="shared" si="84"/>
        <v>Good</v>
      </c>
      <c r="S395" t="str">
        <f t="shared" si="85"/>
        <v>Not Hired</v>
      </c>
      <c r="T395">
        <f t="shared" si="86"/>
        <v>40</v>
      </c>
      <c r="U395" t="str">
        <f t="shared" si="87"/>
        <v>Needs Improvement</v>
      </c>
      <c r="V395" t="str">
        <f t="shared" si="88"/>
        <v>Technical Skills</v>
      </c>
      <c r="W395" t="str">
        <f t="shared" si="89"/>
        <v>Interview Preparation</v>
      </c>
      <c r="X395" t="str">
        <f t="shared" si="90"/>
        <v>Improve interview preparation and communication</v>
      </c>
    </row>
    <row r="396" spans="1:24" x14ac:dyDescent="0.3">
      <c r="A396">
        <v>49</v>
      </c>
      <c r="B396">
        <v>1</v>
      </c>
      <c r="C396">
        <v>1</v>
      </c>
      <c r="D396">
        <v>13</v>
      </c>
      <c r="E396">
        <v>2</v>
      </c>
      <c r="F396">
        <v>4.9802538496252797</v>
      </c>
      <c r="G396">
        <v>36</v>
      </c>
      <c r="H396">
        <v>29</v>
      </c>
      <c r="I396">
        <v>77</v>
      </c>
      <c r="J396">
        <v>1</v>
      </c>
      <c r="K396">
        <v>1</v>
      </c>
      <c r="L396" t="str">
        <f t="shared" si="78"/>
        <v>C395</v>
      </c>
      <c r="M396" t="str">
        <f t="shared" si="79"/>
        <v>Female</v>
      </c>
      <c r="N396" t="str">
        <f t="shared" si="80"/>
        <v>Bachelor's Type 1</v>
      </c>
      <c r="O396" t="str">
        <f t="shared" si="81"/>
        <v>Senior Level</v>
      </c>
      <c r="P396" t="str">
        <f t="shared" si="82"/>
        <v>Low</v>
      </c>
      <c r="Q396" t="str">
        <f t="shared" si="83"/>
        <v>Beginner</v>
      </c>
      <c r="R396" t="str">
        <f t="shared" si="84"/>
        <v>Strong</v>
      </c>
      <c r="S396" t="str">
        <f t="shared" si="85"/>
        <v>Hired</v>
      </c>
      <c r="T396">
        <f t="shared" si="86"/>
        <v>50</v>
      </c>
      <c r="U396" t="str">
        <f t="shared" si="87"/>
        <v>Developing</v>
      </c>
      <c r="V396" t="str">
        <f t="shared" si="88"/>
        <v>Personality</v>
      </c>
      <c r="W396" t="str">
        <f t="shared" si="89"/>
        <v>Technical Skills</v>
      </c>
      <c r="X396" t="str">
        <f t="shared" si="90"/>
        <v>Strengthen technical skills and practical knowledge</v>
      </c>
    </row>
    <row r="397" spans="1:24" x14ac:dyDescent="0.3">
      <c r="A397">
        <v>22</v>
      </c>
      <c r="B397">
        <v>1</v>
      </c>
      <c r="C397">
        <v>1</v>
      </c>
      <c r="D397">
        <v>10</v>
      </c>
      <c r="E397">
        <v>4</v>
      </c>
      <c r="F397">
        <v>36.347815924671103</v>
      </c>
      <c r="G397">
        <v>3</v>
      </c>
      <c r="H397">
        <v>72</v>
      </c>
      <c r="I397">
        <v>71</v>
      </c>
      <c r="J397">
        <v>2</v>
      </c>
      <c r="K397">
        <v>0</v>
      </c>
      <c r="L397" t="str">
        <f t="shared" si="78"/>
        <v>C396</v>
      </c>
      <c r="M397" t="str">
        <f t="shared" si="79"/>
        <v>Female</v>
      </c>
      <c r="N397" t="str">
        <f t="shared" si="80"/>
        <v>Bachelor's Type 1</v>
      </c>
      <c r="O397" t="str">
        <f t="shared" si="81"/>
        <v>Senior Level</v>
      </c>
      <c r="P397" t="str">
        <f t="shared" si="82"/>
        <v>Low</v>
      </c>
      <c r="Q397" t="str">
        <f t="shared" si="83"/>
        <v>Intermediate</v>
      </c>
      <c r="R397" t="str">
        <f t="shared" si="84"/>
        <v>Good</v>
      </c>
      <c r="S397" t="str">
        <f t="shared" si="85"/>
        <v>Not Hired</v>
      </c>
      <c r="T397">
        <f t="shared" si="86"/>
        <v>49</v>
      </c>
      <c r="U397" t="str">
        <f t="shared" si="87"/>
        <v>Needs Improvement</v>
      </c>
      <c r="V397" t="str">
        <f t="shared" si="88"/>
        <v>Technical Skills</v>
      </c>
      <c r="W397" t="str">
        <f t="shared" si="89"/>
        <v>Interview Preparation</v>
      </c>
      <c r="X397" t="str">
        <f t="shared" si="90"/>
        <v>Improve interview preparation and communication</v>
      </c>
    </row>
    <row r="398" spans="1:24" x14ac:dyDescent="0.3">
      <c r="A398">
        <v>35</v>
      </c>
      <c r="B398">
        <v>0</v>
      </c>
      <c r="C398">
        <v>1</v>
      </c>
      <c r="D398">
        <v>15</v>
      </c>
      <c r="E398">
        <v>4</v>
      </c>
      <c r="F398">
        <v>33.717322982642798</v>
      </c>
      <c r="G398">
        <v>76</v>
      </c>
      <c r="H398">
        <v>5</v>
      </c>
      <c r="I398">
        <v>11</v>
      </c>
      <c r="J398">
        <v>1</v>
      </c>
      <c r="K398">
        <v>1</v>
      </c>
      <c r="L398" t="str">
        <f t="shared" si="78"/>
        <v>C397</v>
      </c>
      <c r="M398" t="str">
        <f t="shared" si="79"/>
        <v>Male</v>
      </c>
      <c r="N398" t="str">
        <f t="shared" si="80"/>
        <v>Bachelor's Type 1</v>
      </c>
      <c r="O398" t="str">
        <f t="shared" si="81"/>
        <v>Senior Level</v>
      </c>
      <c r="P398" t="str">
        <f t="shared" si="82"/>
        <v>Strong</v>
      </c>
      <c r="Q398" t="str">
        <f t="shared" si="83"/>
        <v>Beginner</v>
      </c>
      <c r="R398" t="str">
        <f t="shared" si="84"/>
        <v>Needs Improvement</v>
      </c>
      <c r="S398" t="str">
        <f t="shared" si="85"/>
        <v>Hired</v>
      </c>
      <c r="T398">
        <f t="shared" si="86"/>
        <v>44</v>
      </c>
      <c r="U398" t="str">
        <f t="shared" si="87"/>
        <v>Needs Improvement</v>
      </c>
      <c r="V398" t="str">
        <f t="shared" si="88"/>
        <v>Interview</v>
      </c>
      <c r="W398" t="str">
        <f t="shared" si="89"/>
        <v>Technical Skills</v>
      </c>
      <c r="X398" t="str">
        <f t="shared" si="90"/>
        <v>Strengthen technical skills and practical knowledge</v>
      </c>
    </row>
    <row r="399" spans="1:24" x14ac:dyDescent="0.3">
      <c r="A399">
        <v>49</v>
      </c>
      <c r="B399">
        <v>1</v>
      </c>
      <c r="C399">
        <v>1</v>
      </c>
      <c r="D399">
        <v>9</v>
      </c>
      <c r="E399">
        <v>2</v>
      </c>
      <c r="F399">
        <v>44.625997591468099</v>
      </c>
      <c r="G399">
        <v>88</v>
      </c>
      <c r="H399">
        <v>88</v>
      </c>
      <c r="I399">
        <v>25</v>
      </c>
      <c r="J399">
        <v>2</v>
      </c>
      <c r="K399">
        <v>0</v>
      </c>
      <c r="L399" t="str">
        <f t="shared" si="78"/>
        <v>C398</v>
      </c>
      <c r="M399" t="str">
        <f t="shared" si="79"/>
        <v>Female</v>
      </c>
      <c r="N399" t="str">
        <f t="shared" si="80"/>
        <v>Bachelor's Type 1</v>
      </c>
      <c r="O399" t="str">
        <f t="shared" si="81"/>
        <v>Senior Level</v>
      </c>
      <c r="P399" t="str">
        <f t="shared" si="82"/>
        <v>Strong</v>
      </c>
      <c r="Q399" t="str">
        <f t="shared" si="83"/>
        <v>Advanced</v>
      </c>
      <c r="R399" t="str">
        <f t="shared" si="84"/>
        <v>Needs Improvement</v>
      </c>
      <c r="S399" t="str">
        <f t="shared" si="85"/>
        <v>Not Hired</v>
      </c>
      <c r="T399">
        <f t="shared" si="86"/>
        <v>69</v>
      </c>
      <c r="U399" t="str">
        <f t="shared" si="87"/>
        <v>Developing</v>
      </c>
      <c r="V399" t="str">
        <f t="shared" si="88"/>
        <v>Interview</v>
      </c>
      <c r="W399" t="str">
        <f t="shared" si="89"/>
        <v>Personality &amp; Communication</v>
      </c>
      <c r="X399" t="str">
        <f t="shared" si="90"/>
        <v>Work on communication and personality development</v>
      </c>
    </row>
    <row r="400" spans="1:24" x14ac:dyDescent="0.3">
      <c r="A400">
        <v>44</v>
      </c>
      <c r="B400">
        <v>0</v>
      </c>
      <c r="C400">
        <v>2</v>
      </c>
      <c r="D400">
        <v>2</v>
      </c>
      <c r="E400">
        <v>1</v>
      </c>
      <c r="F400">
        <v>13.207378025345299</v>
      </c>
      <c r="G400">
        <v>76</v>
      </c>
      <c r="H400">
        <v>18</v>
      </c>
      <c r="I400">
        <v>26</v>
      </c>
      <c r="J400">
        <v>1</v>
      </c>
      <c r="K400">
        <v>0</v>
      </c>
      <c r="L400" t="str">
        <f t="shared" si="78"/>
        <v>C399</v>
      </c>
      <c r="M400" t="str">
        <f t="shared" si="79"/>
        <v>Male</v>
      </c>
      <c r="N400" t="str">
        <f t="shared" si="80"/>
        <v>Bachelor's Type 2</v>
      </c>
      <c r="O400" t="str">
        <f t="shared" si="81"/>
        <v>Entry Level</v>
      </c>
      <c r="P400" t="str">
        <f t="shared" si="82"/>
        <v>Strong</v>
      </c>
      <c r="Q400" t="str">
        <f t="shared" si="83"/>
        <v>Beginner</v>
      </c>
      <c r="R400" t="str">
        <f t="shared" si="84"/>
        <v>Needs Improvement</v>
      </c>
      <c r="S400" t="str">
        <f t="shared" si="85"/>
        <v>Not Hired</v>
      </c>
      <c r="T400">
        <f t="shared" si="86"/>
        <v>38</v>
      </c>
      <c r="U400" t="str">
        <f t="shared" si="87"/>
        <v>Needs Improvement</v>
      </c>
      <c r="V400" t="str">
        <f t="shared" si="88"/>
        <v>Interview</v>
      </c>
      <c r="W400" t="str">
        <f t="shared" si="89"/>
        <v>Technical Skills</v>
      </c>
      <c r="X400" t="str">
        <f t="shared" si="90"/>
        <v>Strengthen technical skills and practical knowledge</v>
      </c>
    </row>
    <row r="401" spans="1:24" x14ac:dyDescent="0.3">
      <c r="A401">
        <v>22</v>
      </c>
      <c r="B401">
        <v>0</v>
      </c>
      <c r="C401">
        <v>2</v>
      </c>
      <c r="D401">
        <v>13</v>
      </c>
      <c r="E401">
        <v>3</v>
      </c>
      <c r="F401">
        <v>23.5054929342514</v>
      </c>
      <c r="G401">
        <v>17</v>
      </c>
      <c r="H401">
        <v>79</v>
      </c>
      <c r="I401">
        <v>28</v>
      </c>
      <c r="J401">
        <v>2</v>
      </c>
      <c r="K401">
        <v>0</v>
      </c>
      <c r="L401" t="str">
        <f t="shared" si="78"/>
        <v>C400</v>
      </c>
      <c r="M401" t="str">
        <f t="shared" si="79"/>
        <v>Male</v>
      </c>
      <c r="N401" t="str">
        <f t="shared" si="80"/>
        <v>Bachelor's Type 2</v>
      </c>
      <c r="O401" t="str">
        <f t="shared" si="81"/>
        <v>Senior Level</v>
      </c>
      <c r="P401" t="str">
        <f t="shared" si="82"/>
        <v>Low</v>
      </c>
      <c r="Q401" t="str">
        <f t="shared" si="83"/>
        <v>Advanced</v>
      </c>
      <c r="R401" t="str">
        <f t="shared" si="84"/>
        <v>Needs Improvement</v>
      </c>
      <c r="S401" t="str">
        <f t="shared" si="85"/>
        <v>Not Hired</v>
      </c>
      <c r="T401">
        <f t="shared" si="86"/>
        <v>50</v>
      </c>
      <c r="U401" t="str">
        <f t="shared" si="87"/>
        <v>Developing</v>
      </c>
      <c r="V401" t="str">
        <f t="shared" si="88"/>
        <v>Technical Skills</v>
      </c>
      <c r="W401" t="str">
        <f t="shared" si="89"/>
        <v>Interview Preparation</v>
      </c>
      <c r="X401" t="str">
        <f t="shared" si="90"/>
        <v>Improve interview preparation and communication</v>
      </c>
    </row>
    <row r="402" spans="1:24" x14ac:dyDescent="0.3">
      <c r="A402">
        <v>44</v>
      </c>
      <c r="B402">
        <v>1</v>
      </c>
      <c r="C402">
        <v>3</v>
      </c>
      <c r="D402">
        <v>9</v>
      </c>
      <c r="E402">
        <v>4</v>
      </c>
      <c r="F402">
        <v>47.291368722175797</v>
      </c>
      <c r="G402">
        <v>87</v>
      </c>
      <c r="H402">
        <v>84</v>
      </c>
      <c r="I402">
        <v>14</v>
      </c>
      <c r="J402">
        <v>2</v>
      </c>
      <c r="K402">
        <v>1</v>
      </c>
      <c r="L402" t="str">
        <f t="shared" si="78"/>
        <v>C401</v>
      </c>
      <c r="M402" t="str">
        <f t="shared" si="79"/>
        <v>Female</v>
      </c>
      <c r="N402" t="str">
        <f t="shared" si="80"/>
        <v>Master's</v>
      </c>
      <c r="O402" t="str">
        <f t="shared" si="81"/>
        <v>Senior Level</v>
      </c>
      <c r="P402" t="str">
        <f t="shared" si="82"/>
        <v>Strong</v>
      </c>
      <c r="Q402" t="str">
        <f t="shared" si="83"/>
        <v>Advanced</v>
      </c>
      <c r="R402" t="str">
        <f t="shared" si="84"/>
        <v>Needs Improvement</v>
      </c>
      <c r="S402" t="str">
        <f t="shared" si="85"/>
        <v>Hired</v>
      </c>
      <c r="T402">
        <f t="shared" si="86"/>
        <v>67</v>
      </c>
      <c r="U402" t="str">
        <f t="shared" si="87"/>
        <v>Developing</v>
      </c>
      <c r="V402" t="str">
        <f t="shared" si="88"/>
        <v>Interview</v>
      </c>
      <c r="W402" t="str">
        <f t="shared" si="89"/>
        <v>Personality &amp; Communication</v>
      </c>
      <c r="X402" t="str">
        <f t="shared" si="90"/>
        <v>Work on communication and personality development</v>
      </c>
    </row>
    <row r="403" spans="1:24" x14ac:dyDescent="0.3">
      <c r="A403">
        <v>48</v>
      </c>
      <c r="B403">
        <v>0</v>
      </c>
      <c r="C403">
        <v>2</v>
      </c>
      <c r="D403">
        <v>9</v>
      </c>
      <c r="E403">
        <v>4</v>
      </c>
      <c r="F403">
        <v>33.999672506765798</v>
      </c>
      <c r="G403">
        <v>65</v>
      </c>
      <c r="H403">
        <v>65</v>
      </c>
      <c r="I403">
        <v>45</v>
      </c>
      <c r="J403">
        <v>1</v>
      </c>
      <c r="K403">
        <v>1</v>
      </c>
      <c r="L403" t="str">
        <f t="shared" si="78"/>
        <v>C402</v>
      </c>
      <c r="M403" t="str">
        <f t="shared" si="79"/>
        <v>Male</v>
      </c>
      <c r="N403" t="str">
        <f t="shared" si="80"/>
        <v>Bachelor's Type 2</v>
      </c>
      <c r="O403" t="str">
        <f t="shared" si="81"/>
        <v>Senior Level</v>
      </c>
      <c r="P403" t="str">
        <f t="shared" si="82"/>
        <v>Average</v>
      </c>
      <c r="Q403" t="str">
        <f t="shared" si="83"/>
        <v>Intermediate</v>
      </c>
      <c r="R403" t="str">
        <f t="shared" si="84"/>
        <v>Needs Improvement</v>
      </c>
      <c r="S403" t="str">
        <f t="shared" si="85"/>
        <v>Hired</v>
      </c>
      <c r="T403">
        <f t="shared" si="86"/>
        <v>60</v>
      </c>
      <c r="U403" t="str">
        <f t="shared" si="87"/>
        <v>Developing</v>
      </c>
      <c r="V403" t="str">
        <f t="shared" si="88"/>
        <v>Interview</v>
      </c>
      <c r="W403" t="str">
        <f t="shared" si="89"/>
        <v>Personality &amp; Communication</v>
      </c>
      <c r="X403" t="str">
        <f t="shared" si="90"/>
        <v>Work on communication and personality development</v>
      </c>
    </row>
    <row r="404" spans="1:24" x14ac:dyDescent="0.3">
      <c r="A404">
        <v>37</v>
      </c>
      <c r="B404">
        <v>0</v>
      </c>
      <c r="C404">
        <v>3</v>
      </c>
      <c r="D404">
        <v>14</v>
      </c>
      <c r="E404">
        <v>3</v>
      </c>
      <c r="F404">
        <v>20.438420643079802</v>
      </c>
      <c r="G404">
        <v>47</v>
      </c>
      <c r="H404">
        <v>9</v>
      </c>
      <c r="I404">
        <v>0</v>
      </c>
      <c r="J404">
        <v>2</v>
      </c>
      <c r="K404">
        <v>0</v>
      </c>
      <c r="L404" t="str">
        <f t="shared" si="78"/>
        <v>C403</v>
      </c>
      <c r="M404" t="str">
        <f t="shared" si="79"/>
        <v>Male</v>
      </c>
      <c r="N404" t="str">
        <f t="shared" si="80"/>
        <v>Master's</v>
      </c>
      <c r="O404" t="str">
        <f t="shared" si="81"/>
        <v>Senior Level</v>
      </c>
      <c r="P404" t="str">
        <f t="shared" si="82"/>
        <v>Low</v>
      </c>
      <c r="Q404" t="str">
        <f t="shared" si="83"/>
        <v>Beginner</v>
      </c>
      <c r="R404" t="str">
        <f t="shared" si="84"/>
        <v>Needs Improvement</v>
      </c>
      <c r="S404" t="str">
        <f t="shared" si="85"/>
        <v>Not Hired</v>
      </c>
      <c r="T404">
        <f t="shared" si="86"/>
        <v>35</v>
      </c>
      <c r="U404" t="str">
        <f t="shared" si="87"/>
        <v>Needs Improvement</v>
      </c>
      <c r="V404" t="str">
        <f t="shared" si="88"/>
        <v>Interview</v>
      </c>
      <c r="W404" t="str">
        <f t="shared" si="89"/>
        <v>Personality &amp; Communication</v>
      </c>
      <c r="X404" t="str">
        <f t="shared" si="90"/>
        <v>Work on communication and personality development</v>
      </c>
    </row>
    <row r="405" spans="1:24" x14ac:dyDescent="0.3">
      <c r="A405">
        <v>33</v>
      </c>
      <c r="B405">
        <v>1</v>
      </c>
      <c r="C405">
        <v>1</v>
      </c>
      <c r="D405">
        <v>11</v>
      </c>
      <c r="E405">
        <v>2</v>
      </c>
      <c r="F405">
        <v>7.5706191427634204</v>
      </c>
      <c r="G405">
        <v>32</v>
      </c>
      <c r="H405">
        <v>15</v>
      </c>
      <c r="I405">
        <v>59</v>
      </c>
      <c r="J405">
        <v>2</v>
      </c>
      <c r="K405">
        <v>0</v>
      </c>
      <c r="L405" t="str">
        <f t="shared" si="78"/>
        <v>C404</v>
      </c>
      <c r="M405" t="str">
        <f t="shared" si="79"/>
        <v>Female</v>
      </c>
      <c r="N405" t="str">
        <f t="shared" si="80"/>
        <v>Bachelor's Type 1</v>
      </c>
      <c r="O405" t="str">
        <f t="shared" si="81"/>
        <v>Senior Level</v>
      </c>
      <c r="P405" t="str">
        <f t="shared" si="82"/>
        <v>Low</v>
      </c>
      <c r="Q405" t="str">
        <f t="shared" si="83"/>
        <v>Beginner</v>
      </c>
      <c r="R405" t="str">
        <f t="shared" si="84"/>
        <v>Good</v>
      </c>
      <c r="S405" t="str">
        <f t="shared" si="85"/>
        <v>Not Hired</v>
      </c>
      <c r="T405">
        <f t="shared" si="86"/>
        <v>39</v>
      </c>
      <c r="U405" t="str">
        <f t="shared" si="87"/>
        <v>Needs Improvement</v>
      </c>
      <c r="V405" t="str">
        <f t="shared" si="88"/>
        <v>Personality</v>
      </c>
      <c r="W405" t="str">
        <f t="shared" si="89"/>
        <v>Technical Skills</v>
      </c>
      <c r="X405" t="str">
        <f t="shared" si="90"/>
        <v>Strengthen technical skills and practical knowledge</v>
      </c>
    </row>
    <row r="406" spans="1:24" x14ac:dyDescent="0.3">
      <c r="A406">
        <v>37</v>
      </c>
      <c r="B406">
        <v>0</v>
      </c>
      <c r="C406">
        <v>2</v>
      </c>
      <c r="D406">
        <v>2</v>
      </c>
      <c r="E406">
        <v>1</v>
      </c>
      <c r="F406">
        <v>14.124250395029501</v>
      </c>
      <c r="G406">
        <v>57</v>
      </c>
      <c r="H406">
        <v>36</v>
      </c>
      <c r="I406">
        <v>91</v>
      </c>
      <c r="J406">
        <v>1</v>
      </c>
      <c r="K406">
        <v>0</v>
      </c>
      <c r="L406" t="str">
        <f t="shared" si="78"/>
        <v>C405</v>
      </c>
      <c r="M406" t="str">
        <f t="shared" si="79"/>
        <v>Male</v>
      </c>
      <c r="N406" t="str">
        <f t="shared" si="80"/>
        <v>Bachelor's Type 2</v>
      </c>
      <c r="O406" t="str">
        <f t="shared" si="81"/>
        <v>Entry Level</v>
      </c>
      <c r="P406" t="str">
        <f t="shared" si="82"/>
        <v>Average</v>
      </c>
      <c r="Q406" t="str">
        <f t="shared" si="83"/>
        <v>Beginner</v>
      </c>
      <c r="R406" t="str">
        <f t="shared" si="84"/>
        <v>Strong</v>
      </c>
      <c r="S406" t="str">
        <f t="shared" si="85"/>
        <v>Not Hired</v>
      </c>
      <c r="T406">
        <f t="shared" si="86"/>
        <v>51</v>
      </c>
      <c r="U406" t="str">
        <f t="shared" si="87"/>
        <v>Developing</v>
      </c>
      <c r="V406" t="str">
        <f t="shared" si="88"/>
        <v>Personality</v>
      </c>
      <c r="W406" t="str">
        <f t="shared" si="89"/>
        <v>Technical Skills</v>
      </c>
      <c r="X406" t="str">
        <f t="shared" si="90"/>
        <v>Strengthen technical skills and practical knowledge</v>
      </c>
    </row>
    <row r="407" spans="1:24" x14ac:dyDescent="0.3">
      <c r="A407">
        <v>21</v>
      </c>
      <c r="B407">
        <v>0</v>
      </c>
      <c r="C407">
        <v>3</v>
      </c>
      <c r="D407">
        <v>3</v>
      </c>
      <c r="E407">
        <v>2</v>
      </c>
      <c r="F407">
        <v>30.060773874469099</v>
      </c>
      <c r="G407">
        <v>82</v>
      </c>
      <c r="H407">
        <v>78</v>
      </c>
      <c r="I407">
        <v>56</v>
      </c>
      <c r="J407">
        <v>1</v>
      </c>
      <c r="K407">
        <v>1</v>
      </c>
      <c r="L407" t="str">
        <f t="shared" si="78"/>
        <v>C406</v>
      </c>
      <c r="M407" t="str">
        <f t="shared" si="79"/>
        <v>Male</v>
      </c>
      <c r="N407" t="str">
        <f t="shared" si="80"/>
        <v>Master's</v>
      </c>
      <c r="O407" t="str">
        <f t="shared" si="81"/>
        <v>Mid Level</v>
      </c>
      <c r="P407" t="str">
        <f t="shared" si="82"/>
        <v>Strong</v>
      </c>
      <c r="Q407" t="str">
        <f t="shared" si="83"/>
        <v>Advanced</v>
      </c>
      <c r="R407" t="str">
        <f t="shared" si="84"/>
        <v>Good</v>
      </c>
      <c r="S407" t="str">
        <f t="shared" si="85"/>
        <v>Hired</v>
      </c>
      <c r="T407">
        <f t="shared" si="86"/>
        <v>66</v>
      </c>
      <c r="U407" t="str">
        <f t="shared" si="87"/>
        <v>Developing</v>
      </c>
      <c r="V407" t="str">
        <f t="shared" si="88"/>
        <v>Interview</v>
      </c>
      <c r="W407" t="str">
        <f t="shared" si="89"/>
        <v>Personality &amp; Communication</v>
      </c>
      <c r="X407" t="str">
        <f t="shared" si="90"/>
        <v>Work on communication and personality development</v>
      </c>
    </row>
    <row r="408" spans="1:24" x14ac:dyDescent="0.3">
      <c r="A408">
        <v>41</v>
      </c>
      <c r="B408">
        <v>0</v>
      </c>
      <c r="C408">
        <v>1</v>
      </c>
      <c r="D408">
        <v>1</v>
      </c>
      <c r="E408">
        <v>5</v>
      </c>
      <c r="F408">
        <v>36.908397378025597</v>
      </c>
      <c r="G408">
        <v>72</v>
      </c>
      <c r="H408">
        <v>76</v>
      </c>
      <c r="I408">
        <v>2</v>
      </c>
      <c r="J408">
        <v>2</v>
      </c>
      <c r="K408">
        <v>0</v>
      </c>
      <c r="L408" t="str">
        <f t="shared" si="78"/>
        <v>C407</v>
      </c>
      <c r="M408" t="str">
        <f t="shared" si="79"/>
        <v>Male</v>
      </c>
      <c r="N408" t="str">
        <f t="shared" si="80"/>
        <v>Bachelor's Type 1</v>
      </c>
      <c r="O408" t="str">
        <f t="shared" si="81"/>
        <v>Entry Level</v>
      </c>
      <c r="P408" t="str">
        <f t="shared" si="82"/>
        <v>Average</v>
      </c>
      <c r="Q408" t="str">
        <f t="shared" si="83"/>
        <v>Advanced</v>
      </c>
      <c r="R408" t="str">
        <f t="shared" si="84"/>
        <v>Needs Improvement</v>
      </c>
      <c r="S408" t="str">
        <f t="shared" si="85"/>
        <v>Not Hired</v>
      </c>
      <c r="T408">
        <f t="shared" si="86"/>
        <v>48</v>
      </c>
      <c r="U408" t="str">
        <f t="shared" si="87"/>
        <v>Needs Improvement</v>
      </c>
      <c r="V408" t="str">
        <f t="shared" si="88"/>
        <v>Technical Skills</v>
      </c>
      <c r="W408" t="str">
        <f t="shared" si="89"/>
        <v>Personality &amp; Communication</v>
      </c>
      <c r="X408" t="str">
        <f t="shared" si="90"/>
        <v>Work on communication and personality development</v>
      </c>
    </row>
    <row r="409" spans="1:24" x14ac:dyDescent="0.3">
      <c r="A409">
        <v>22</v>
      </c>
      <c r="B409">
        <v>1</v>
      </c>
      <c r="C409">
        <v>2</v>
      </c>
      <c r="D409">
        <v>8</v>
      </c>
      <c r="E409">
        <v>4</v>
      </c>
      <c r="F409">
        <v>7.2210943425946699</v>
      </c>
      <c r="G409">
        <v>27</v>
      </c>
      <c r="H409">
        <v>76</v>
      </c>
      <c r="I409">
        <v>17</v>
      </c>
      <c r="J409">
        <v>2</v>
      </c>
      <c r="K409">
        <v>0</v>
      </c>
      <c r="L409" t="str">
        <f t="shared" si="78"/>
        <v>C408</v>
      </c>
      <c r="M409" t="str">
        <f t="shared" si="79"/>
        <v>Female</v>
      </c>
      <c r="N409" t="str">
        <f t="shared" si="80"/>
        <v>Bachelor's Type 2</v>
      </c>
      <c r="O409" t="str">
        <f t="shared" si="81"/>
        <v>Senior Level</v>
      </c>
      <c r="P409" t="str">
        <f t="shared" si="82"/>
        <v>Low</v>
      </c>
      <c r="Q409" t="str">
        <f t="shared" si="83"/>
        <v>Advanced</v>
      </c>
      <c r="R409" t="str">
        <f t="shared" si="84"/>
        <v>Needs Improvement</v>
      </c>
      <c r="S409" t="str">
        <f t="shared" si="85"/>
        <v>Not Hired</v>
      </c>
      <c r="T409">
        <f t="shared" si="86"/>
        <v>45</v>
      </c>
      <c r="U409" t="str">
        <f t="shared" si="87"/>
        <v>Needs Improvement</v>
      </c>
      <c r="V409" t="str">
        <f t="shared" si="88"/>
        <v>Technical Skills</v>
      </c>
      <c r="W409" t="str">
        <f t="shared" si="89"/>
        <v>Personality &amp; Communication</v>
      </c>
      <c r="X409" t="str">
        <f t="shared" si="90"/>
        <v>Work on communication and personality development</v>
      </c>
    </row>
    <row r="410" spans="1:24" x14ac:dyDescent="0.3">
      <c r="A410">
        <v>35</v>
      </c>
      <c r="B410">
        <v>0</v>
      </c>
      <c r="C410">
        <v>2</v>
      </c>
      <c r="D410">
        <v>9</v>
      </c>
      <c r="E410">
        <v>5</v>
      </c>
      <c r="F410">
        <v>30.979863002202698</v>
      </c>
      <c r="G410">
        <v>34</v>
      </c>
      <c r="H410">
        <v>31</v>
      </c>
      <c r="I410">
        <v>51</v>
      </c>
      <c r="J410">
        <v>2</v>
      </c>
      <c r="K410">
        <v>0</v>
      </c>
      <c r="L410" t="str">
        <f t="shared" si="78"/>
        <v>C409</v>
      </c>
      <c r="M410" t="str">
        <f t="shared" si="79"/>
        <v>Male</v>
      </c>
      <c r="N410" t="str">
        <f t="shared" si="80"/>
        <v>Bachelor's Type 2</v>
      </c>
      <c r="O410" t="str">
        <f t="shared" si="81"/>
        <v>Senior Level</v>
      </c>
      <c r="P410" t="str">
        <f t="shared" si="82"/>
        <v>Low</v>
      </c>
      <c r="Q410" t="str">
        <f t="shared" si="83"/>
        <v>Beginner</v>
      </c>
      <c r="R410" t="str">
        <f t="shared" si="84"/>
        <v>Good</v>
      </c>
      <c r="S410" t="str">
        <f t="shared" si="85"/>
        <v>Not Hired</v>
      </c>
      <c r="T410">
        <f t="shared" si="86"/>
        <v>41</v>
      </c>
      <c r="U410" t="str">
        <f t="shared" si="87"/>
        <v>Needs Improvement</v>
      </c>
      <c r="V410" t="str">
        <f t="shared" si="88"/>
        <v>Personality</v>
      </c>
      <c r="W410" t="str">
        <f t="shared" si="89"/>
        <v>Technical Skills</v>
      </c>
      <c r="X410" t="str">
        <f t="shared" si="90"/>
        <v>Strengthen technical skills and practical knowledge</v>
      </c>
    </row>
    <row r="411" spans="1:24" x14ac:dyDescent="0.3">
      <c r="A411">
        <v>48</v>
      </c>
      <c r="B411">
        <v>1</v>
      </c>
      <c r="C411">
        <v>2</v>
      </c>
      <c r="D411">
        <v>11</v>
      </c>
      <c r="E411">
        <v>4</v>
      </c>
      <c r="F411">
        <v>28.5175639419375</v>
      </c>
      <c r="G411">
        <v>9</v>
      </c>
      <c r="H411">
        <v>46</v>
      </c>
      <c r="I411">
        <v>59</v>
      </c>
      <c r="J411">
        <v>1</v>
      </c>
      <c r="K411">
        <v>0</v>
      </c>
      <c r="L411" t="str">
        <f t="shared" si="78"/>
        <v>C410</v>
      </c>
      <c r="M411" t="str">
        <f t="shared" si="79"/>
        <v>Female</v>
      </c>
      <c r="N411" t="str">
        <f t="shared" si="80"/>
        <v>Bachelor's Type 2</v>
      </c>
      <c r="O411" t="str">
        <f t="shared" si="81"/>
        <v>Senior Level</v>
      </c>
      <c r="P411" t="str">
        <f t="shared" si="82"/>
        <v>Low</v>
      </c>
      <c r="Q411" t="str">
        <f t="shared" si="83"/>
        <v>Beginner</v>
      </c>
      <c r="R411" t="str">
        <f t="shared" si="84"/>
        <v>Good</v>
      </c>
      <c r="S411" t="str">
        <f t="shared" si="85"/>
        <v>Not Hired</v>
      </c>
      <c r="T411">
        <f t="shared" si="86"/>
        <v>42</v>
      </c>
      <c r="U411" t="str">
        <f t="shared" si="87"/>
        <v>Needs Improvement</v>
      </c>
      <c r="V411" t="str">
        <f t="shared" si="88"/>
        <v>Personality</v>
      </c>
      <c r="W411" t="str">
        <f t="shared" si="89"/>
        <v>Interview Preparation</v>
      </c>
      <c r="X411" t="str">
        <f t="shared" si="90"/>
        <v>Improve interview preparation and communication</v>
      </c>
    </row>
    <row r="412" spans="1:24" x14ac:dyDescent="0.3">
      <c r="A412">
        <v>28</v>
      </c>
      <c r="B412">
        <v>1</v>
      </c>
      <c r="C412">
        <v>1</v>
      </c>
      <c r="D412">
        <v>10</v>
      </c>
      <c r="E412">
        <v>4</v>
      </c>
      <c r="F412">
        <v>26.697772334535401</v>
      </c>
      <c r="G412">
        <v>64</v>
      </c>
      <c r="H412">
        <v>71</v>
      </c>
      <c r="I412">
        <v>33</v>
      </c>
      <c r="J412">
        <v>2</v>
      </c>
      <c r="K412">
        <v>0</v>
      </c>
      <c r="L412" t="str">
        <f t="shared" si="78"/>
        <v>C411</v>
      </c>
      <c r="M412" t="str">
        <f t="shared" si="79"/>
        <v>Female</v>
      </c>
      <c r="N412" t="str">
        <f t="shared" si="80"/>
        <v>Bachelor's Type 1</v>
      </c>
      <c r="O412" t="str">
        <f t="shared" si="81"/>
        <v>Senior Level</v>
      </c>
      <c r="P412" t="str">
        <f t="shared" si="82"/>
        <v>Average</v>
      </c>
      <c r="Q412" t="str">
        <f t="shared" si="83"/>
        <v>Intermediate</v>
      </c>
      <c r="R412" t="str">
        <f t="shared" si="84"/>
        <v>Needs Improvement</v>
      </c>
      <c r="S412" t="str">
        <f t="shared" si="85"/>
        <v>Not Hired</v>
      </c>
      <c r="T412">
        <f t="shared" si="86"/>
        <v>60</v>
      </c>
      <c r="U412" t="str">
        <f t="shared" si="87"/>
        <v>Developing</v>
      </c>
      <c r="V412" t="str">
        <f t="shared" si="88"/>
        <v>Technical Skills</v>
      </c>
      <c r="W412" t="str">
        <f t="shared" si="89"/>
        <v>Personality &amp; Communication</v>
      </c>
      <c r="X412" t="str">
        <f t="shared" si="90"/>
        <v>Work on communication and personality development</v>
      </c>
    </row>
    <row r="413" spans="1:24" x14ac:dyDescent="0.3">
      <c r="A413">
        <v>23</v>
      </c>
      <c r="B413">
        <v>0</v>
      </c>
      <c r="C413">
        <v>2</v>
      </c>
      <c r="D413">
        <v>13</v>
      </c>
      <c r="E413">
        <v>5</v>
      </c>
      <c r="F413">
        <v>35.506155884100302</v>
      </c>
      <c r="G413">
        <v>41</v>
      </c>
      <c r="H413">
        <v>42</v>
      </c>
      <c r="I413">
        <v>95</v>
      </c>
      <c r="J413">
        <v>1</v>
      </c>
      <c r="K413">
        <v>1</v>
      </c>
      <c r="L413" t="str">
        <f t="shared" si="78"/>
        <v>C412</v>
      </c>
      <c r="M413" t="str">
        <f t="shared" si="79"/>
        <v>Male</v>
      </c>
      <c r="N413" t="str">
        <f t="shared" si="80"/>
        <v>Bachelor's Type 2</v>
      </c>
      <c r="O413" t="str">
        <f t="shared" si="81"/>
        <v>Senior Level</v>
      </c>
      <c r="P413" t="str">
        <f t="shared" si="82"/>
        <v>Low</v>
      </c>
      <c r="Q413" t="str">
        <f t="shared" si="83"/>
        <v>Beginner</v>
      </c>
      <c r="R413" t="str">
        <f t="shared" si="84"/>
        <v>Strong</v>
      </c>
      <c r="S413" t="str">
        <f t="shared" si="85"/>
        <v>Hired</v>
      </c>
      <c r="T413">
        <f t="shared" si="86"/>
        <v>59</v>
      </c>
      <c r="U413" t="str">
        <f t="shared" si="87"/>
        <v>Developing</v>
      </c>
      <c r="V413" t="str">
        <f t="shared" si="88"/>
        <v>Personality</v>
      </c>
      <c r="W413" t="str">
        <f t="shared" si="89"/>
        <v>Interview Preparation</v>
      </c>
      <c r="X413" t="str">
        <f t="shared" si="90"/>
        <v>Improve interview preparation and communication</v>
      </c>
    </row>
    <row r="414" spans="1:24" x14ac:dyDescent="0.3">
      <c r="A414">
        <v>20</v>
      </c>
      <c r="B414">
        <v>0</v>
      </c>
      <c r="C414">
        <v>2</v>
      </c>
      <c r="D414">
        <v>6</v>
      </c>
      <c r="E414">
        <v>5</v>
      </c>
      <c r="F414">
        <v>42.872479754173</v>
      </c>
      <c r="G414">
        <v>84</v>
      </c>
      <c r="H414">
        <v>81</v>
      </c>
      <c r="I414">
        <v>92</v>
      </c>
      <c r="J414">
        <v>3</v>
      </c>
      <c r="K414">
        <v>1</v>
      </c>
      <c r="L414" t="str">
        <f t="shared" si="78"/>
        <v>C413</v>
      </c>
      <c r="M414" t="str">
        <f t="shared" si="79"/>
        <v>Male</v>
      </c>
      <c r="N414" t="str">
        <f t="shared" si="80"/>
        <v>Bachelor's Type 2</v>
      </c>
      <c r="O414" t="str">
        <f t="shared" si="81"/>
        <v>Mid Level</v>
      </c>
      <c r="P414" t="str">
        <f t="shared" si="82"/>
        <v>Strong</v>
      </c>
      <c r="Q414" t="str">
        <f t="shared" si="83"/>
        <v>Advanced</v>
      </c>
      <c r="R414" t="str">
        <f t="shared" si="84"/>
        <v>Strong</v>
      </c>
      <c r="S414" t="str">
        <f t="shared" si="85"/>
        <v>Hired</v>
      </c>
      <c r="T414">
        <f t="shared" si="86"/>
        <v>76</v>
      </c>
      <c r="U414" t="str">
        <f t="shared" si="87"/>
        <v>Job Ready</v>
      </c>
      <c r="V414" t="str">
        <f t="shared" si="88"/>
        <v>Personality</v>
      </c>
      <c r="W414" t="str">
        <f t="shared" si="89"/>
        <v>Technical Skills</v>
      </c>
      <c r="X414" t="str">
        <f t="shared" si="90"/>
        <v>Strengthen technical skills and practical knowledge</v>
      </c>
    </row>
    <row r="415" spans="1:24" x14ac:dyDescent="0.3">
      <c r="A415">
        <v>23</v>
      </c>
      <c r="B415">
        <v>0</v>
      </c>
      <c r="C415">
        <v>1</v>
      </c>
      <c r="D415">
        <v>6</v>
      </c>
      <c r="E415">
        <v>2</v>
      </c>
      <c r="F415">
        <v>17.1494841588434</v>
      </c>
      <c r="G415">
        <v>8</v>
      </c>
      <c r="H415">
        <v>35</v>
      </c>
      <c r="I415">
        <v>88</v>
      </c>
      <c r="J415">
        <v>2</v>
      </c>
      <c r="K415">
        <v>0</v>
      </c>
      <c r="L415" t="str">
        <f t="shared" si="78"/>
        <v>C414</v>
      </c>
      <c r="M415" t="str">
        <f t="shared" si="79"/>
        <v>Male</v>
      </c>
      <c r="N415" t="str">
        <f t="shared" si="80"/>
        <v>Bachelor's Type 1</v>
      </c>
      <c r="O415" t="str">
        <f t="shared" si="81"/>
        <v>Mid Level</v>
      </c>
      <c r="P415" t="str">
        <f t="shared" si="82"/>
        <v>Low</v>
      </c>
      <c r="Q415" t="str">
        <f t="shared" si="83"/>
        <v>Beginner</v>
      </c>
      <c r="R415" t="str">
        <f t="shared" si="84"/>
        <v>Strong</v>
      </c>
      <c r="S415" t="str">
        <f t="shared" si="85"/>
        <v>Not Hired</v>
      </c>
      <c r="T415">
        <f t="shared" si="86"/>
        <v>39</v>
      </c>
      <c r="U415" t="str">
        <f t="shared" si="87"/>
        <v>Needs Improvement</v>
      </c>
      <c r="V415" t="str">
        <f t="shared" si="88"/>
        <v>Personality</v>
      </c>
      <c r="W415" t="str">
        <f t="shared" si="89"/>
        <v>Interview Preparation</v>
      </c>
      <c r="X415" t="str">
        <f t="shared" si="90"/>
        <v>Improve interview preparation and communication</v>
      </c>
    </row>
    <row r="416" spans="1:24" x14ac:dyDescent="0.3">
      <c r="A416">
        <v>20</v>
      </c>
      <c r="B416">
        <v>1</v>
      </c>
      <c r="C416">
        <v>2</v>
      </c>
      <c r="D416">
        <v>14</v>
      </c>
      <c r="E416">
        <v>5</v>
      </c>
      <c r="F416">
        <v>45.450609505547902</v>
      </c>
      <c r="G416">
        <v>59</v>
      </c>
      <c r="H416">
        <v>25</v>
      </c>
      <c r="I416">
        <v>59</v>
      </c>
      <c r="J416">
        <v>3</v>
      </c>
      <c r="K416">
        <v>0</v>
      </c>
      <c r="L416" t="str">
        <f t="shared" si="78"/>
        <v>C415</v>
      </c>
      <c r="M416" t="str">
        <f t="shared" si="79"/>
        <v>Female</v>
      </c>
      <c r="N416" t="str">
        <f t="shared" si="80"/>
        <v>Bachelor's Type 2</v>
      </c>
      <c r="O416" t="str">
        <f t="shared" si="81"/>
        <v>Senior Level</v>
      </c>
      <c r="P416" t="str">
        <f t="shared" si="82"/>
        <v>Average</v>
      </c>
      <c r="Q416" t="str">
        <f t="shared" si="83"/>
        <v>Beginner</v>
      </c>
      <c r="R416" t="str">
        <f t="shared" si="84"/>
        <v>Good</v>
      </c>
      <c r="S416" t="str">
        <f t="shared" si="85"/>
        <v>Not Hired</v>
      </c>
      <c r="T416">
        <f t="shared" si="86"/>
        <v>54</v>
      </c>
      <c r="U416" t="str">
        <f t="shared" si="87"/>
        <v>Developing</v>
      </c>
      <c r="V416" t="str">
        <f t="shared" si="88"/>
        <v>Interview</v>
      </c>
      <c r="W416" t="str">
        <f t="shared" si="89"/>
        <v>Technical Skills</v>
      </c>
      <c r="X416" t="str">
        <f t="shared" si="90"/>
        <v>Strengthen technical skills and practical knowledge</v>
      </c>
    </row>
    <row r="417" spans="1:24" x14ac:dyDescent="0.3">
      <c r="A417">
        <v>33</v>
      </c>
      <c r="B417">
        <v>0</v>
      </c>
      <c r="C417">
        <v>3</v>
      </c>
      <c r="D417">
        <v>5</v>
      </c>
      <c r="E417">
        <v>2</v>
      </c>
      <c r="F417">
        <v>9.0316806309275304</v>
      </c>
      <c r="G417">
        <v>14</v>
      </c>
      <c r="H417">
        <v>9</v>
      </c>
      <c r="I417">
        <v>25</v>
      </c>
      <c r="J417">
        <v>2</v>
      </c>
      <c r="K417">
        <v>0</v>
      </c>
      <c r="L417" t="str">
        <f t="shared" si="78"/>
        <v>C416</v>
      </c>
      <c r="M417" t="str">
        <f t="shared" si="79"/>
        <v>Male</v>
      </c>
      <c r="N417" t="str">
        <f t="shared" si="80"/>
        <v>Master's</v>
      </c>
      <c r="O417" t="str">
        <f t="shared" si="81"/>
        <v>Mid Level</v>
      </c>
      <c r="P417" t="str">
        <f t="shared" si="82"/>
        <v>Low</v>
      </c>
      <c r="Q417" t="str">
        <f t="shared" si="83"/>
        <v>Beginner</v>
      </c>
      <c r="R417" t="str">
        <f t="shared" si="84"/>
        <v>Needs Improvement</v>
      </c>
      <c r="S417" t="str">
        <f t="shared" si="85"/>
        <v>Not Hired</v>
      </c>
      <c r="T417">
        <f t="shared" si="86"/>
        <v>21</v>
      </c>
      <c r="U417" t="str">
        <f t="shared" si="87"/>
        <v>Needs Improvement</v>
      </c>
      <c r="V417" t="str">
        <f t="shared" si="88"/>
        <v>Personality</v>
      </c>
      <c r="W417" t="str">
        <f t="shared" si="89"/>
        <v>Technical Skills</v>
      </c>
      <c r="X417" t="str">
        <f t="shared" si="90"/>
        <v>Strengthen technical skills and practical knowledge</v>
      </c>
    </row>
    <row r="418" spans="1:24" x14ac:dyDescent="0.3">
      <c r="A418">
        <v>40</v>
      </c>
      <c r="B418">
        <v>0</v>
      </c>
      <c r="C418">
        <v>4</v>
      </c>
      <c r="D418">
        <v>14</v>
      </c>
      <c r="E418">
        <v>2</v>
      </c>
      <c r="F418">
        <v>9.6511934875582099</v>
      </c>
      <c r="G418">
        <v>98</v>
      </c>
      <c r="H418">
        <v>30</v>
      </c>
      <c r="I418">
        <v>71</v>
      </c>
      <c r="J418">
        <v>2</v>
      </c>
      <c r="K418">
        <v>1</v>
      </c>
      <c r="L418" t="str">
        <f t="shared" si="78"/>
        <v>C417</v>
      </c>
      <c r="M418" t="str">
        <f t="shared" si="79"/>
        <v>Male</v>
      </c>
      <c r="N418" t="str">
        <f t="shared" si="80"/>
        <v>PhD</v>
      </c>
      <c r="O418" t="str">
        <f t="shared" si="81"/>
        <v>Senior Level</v>
      </c>
      <c r="P418" t="str">
        <f t="shared" si="82"/>
        <v>Strong</v>
      </c>
      <c r="Q418" t="str">
        <f t="shared" si="83"/>
        <v>Beginner</v>
      </c>
      <c r="R418" t="str">
        <f t="shared" si="84"/>
        <v>Good</v>
      </c>
      <c r="S418" t="str">
        <f t="shared" si="85"/>
        <v>Hired</v>
      </c>
      <c r="T418">
        <f t="shared" si="86"/>
        <v>72</v>
      </c>
      <c r="U418" t="str">
        <f t="shared" si="87"/>
        <v>Developing</v>
      </c>
      <c r="V418" t="str">
        <f t="shared" si="88"/>
        <v>Interview</v>
      </c>
      <c r="W418" t="str">
        <f t="shared" si="89"/>
        <v>Technical Skills</v>
      </c>
      <c r="X418" t="str">
        <f t="shared" si="90"/>
        <v>Strengthen technical skills and practical knowledge</v>
      </c>
    </row>
    <row r="419" spans="1:24" x14ac:dyDescent="0.3">
      <c r="A419">
        <v>35</v>
      </c>
      <c r="B419">
        <v>0</v>
      </c>
      <c r="C419">
        <v>2</v>
      </c>
      <c r="D419">
        <v>2</v>
      </c>
      <c r="E419">
        <v>2</v>
      </c>
      <c r="F419">
        <v>14.338603181196101</v>
      </c>
      <c r="G419">
        <v>56</v>
      </c>
      <c r="H419">
        <v>96</v>
      </c>
      <c r="I419">
        <v>18</v>
      </c>
      <c r="J419">
        <v>2</v>
      </c>
      <c r="K419">
        <v>0</v>
      </c>
      <c r="L419" t="str">
        <f t="shared" si="78"/>
        <v>C418</v>
      </c>
      <c r="M419" t="str">
        <f t="shared" si="79"/>
        <v>Male</v>
      </c>
      <c r="N419" t="str">
        <f t="shared" si="80"/>
        <v>Bachelor's Type 2</v>
      </c>
      <c r="O419" t="str">
        <f t="shared" si="81"/>
        <v>Entry Level</v>
      </c>
      <c r="P419" t="str">
        <f t="shared" si="82"/>
        <v>Average</v>
      </c>
      <c r="Q419" t="str">
        <f t="shared" si="83"/>
        <v>Advanced</v>
      </c>
      <c r="R419" t="str">
        <f t="shared" si="84"/>
        <v>Needs Improvement</v>
      </c>
      <c r="S419" t="str">
        <f t="shared" si="85"/>
        <v>Not Hired</v>
      </c>
      <c r="T419">
        <f t="shared" si="86"/>
        <v>54</v>
      </c>
      <c r="U419" t="str">
        <f t="shared" si="87"/>
        <v>Developing</v>
      </c>
      <c r="V419" t="str">
        <f t="shared" si="88"/>
        <v>Technical Skills</v>
      </c>
      <c r="W419" t="str">
        <f t="shared" si="89"/>
        <v>Personality &amp; Communication</v>
      </c>
      <c r="X419" t="str">
        <f t="shared" si="90"/>
        <v>Work on communication and personality development</v>
      </c>
    </row>
    <row r="420" spans="1:24" x14ac:dyDescent="0.3">
      <c r="A420">
        <v>39</v>
      </c>
      <c r="B420">
        <v>0</v>
      </c>
      <c r="C420">
        <v>3</v>
      </c>
      <c r="D420">
        <v>5</v>
      </c>
      <c r="E420">
        <v>4</v>
      </c>
      <c r="F420">
        <v>6.9765434773538901</v>
      </c>
      <c r="G420">
        <v>68</v>
      </c>
      <c r="H420">
        <v>28</v>
      </c>
      <c r="I420">
        <v>21</v>
      </c>
      <c r="J420">
        <v>2</v>
      </c>
      <c r="K420">
        <v>0</v>
      </c>
      <c r="L420" t="str">
        <f t="shared" si="78"/>
        <v>C419</v>
      </c>
      <c r="M420" t="str">
        <f t="shared" si="79"/>
        <v>Male</v>
      </c>
      <c r="N420" t="str">
        <f t="shared" si="80"/>
        <v>Master's</v>
      </c>
      <c r="O420" t="str">
        <f t="shared" si="81"/>
        <v>Mid Level</v>
      </c>
      <c r="P420" t="str">
        <f t="shared" si="82"/>
        <v>Average</v>
      </c>
      <c r="Q420" t="str">
        <f t="shared" si="83"/>
        <v>Beginner</v>
      </c>
      <c r="R420" t="str">
        <f t="shared" si="84"/>
        <v>Needs Improvement</v>
      </c>
      <c r="S420" t="str">
        <f t="shared" si="85"/>
        <v>Not Hired</v>
      </c>
      <c r="T420">
        <f t="shared" si="86"/>
        <v>42</v>
      </c>
      <c r="U420" t="str">
        <f t="shared" si="87"/>
        <v>Needs Improvement</v>
      </c>
      <c r="V420" t="str">
        <f t="shared" si="88"/>
        <v>Interview</v>
      </c>
      <c r="W420" t="str">
        <f t="shared" si="89"/>
        <v>Personality &amp; Communication</v>
      </c>
      <c r="X420" t="str">
        <f t="shared" si="90"/>
        <v>Work on communication and personality development</v>
      </c>
    </row>
    <row r="421" spans="1:24" x14ac:dyDescent="0.3">
      <c r="A421">
        <v>43</v>
      </c>
      <c r="B421">
        <v>0</v>
      </c>
      <c r="C421">
        <v>2</v>
      </c>
      <c r="D421">
        <v>14</v>
      </c>
      <c r="E421">
        <v>4</v>
      </c>
      <c r="F421">
        <v>12.5159612341438</v>
      </c>
      <c r="G421">
        <v>21</v>
      </c>
      <c r="H421">
        <v>4</v>
      </c>
      <c r="I421">
        <v>92</v>
      </c>
      <c r="J421">
        <v>2</v>
      </c>
      <c r="K421">
        <v>0</v>
      </c>
      <c r="L421" t="str">
        <f t="shared" si="78"/>
        <v>C420</v>
      </c>
      <c r="M421" t="str">
        <f t="shared" si="79"/>
        <v>Male</v>
      </c>
      <c r="N421" t="str">
        <f t="shared" si="80"/>
        <v>Bachelor's Type 2</v>
      </c>
      <c r="O421" t="str">
        <f t="shared" si="81"/>
        <v>Senior Level</v>
      </c>
      <c r="P421" t="str">
        <f t="shared" si="82"/>
        <v>Low</v>
      </c>
      <c r="Q421" t="str">
        <f t="shared" si="83"/>
        <v>Beginner</v>
      </c>
      <c r="R421" t="str">
        <f t="shared" si="84"/>
        <v>Strong</v>
      </c>
      <c r="S421" t="str">
        <f t="shared" si="85"/>
        <v>Not Hired</v>
      </c>
      <c r="T421">
        <f t="shared" si="86"/>
        <v>42</v>
      </c>
      <c r="U421" t="str">
        <f t="shared" si="87"/>
        <v>Needs Improvement</v>
      </c>
      <c r="V421" t="str">
        <f t="shared" si="88"/>
        <v>Personality</v>
      </c>
      <c r="W421" t="str">
        <f t="shared" si="89"/>
        <v>Technical Skills</v>
      </c>
      <c r="X421" t="str">
        <f t="shared" si="90"/>
        <v>Strengthen technical skills and practical knowledge</v>
      </c>
    </row>
    <row r="422" spans="1:24" x14ac:dyDescent="0.3">
      <c r="A422">
        <v>27</v>
      </c>
      <c r="B422">
        <v>1</v>
      </c>
      <c r="C422">
        <v>2</v>
      </c>
      <c r="D422">
        <v>13</v>
      </c>
      <c r="E422">
        <v>5</v>
      </c>
      <c r="F422">
        <v>6.3205881451422297</v>
      </c>
      <c r="G422">
        <v>63</v>
      </c>
      <c r="H422">
        <v>76</v>
      </c>
      <c r="I422">
        <v>32</v>
      </c>
      <c r="J422">
        <v>2</v>
      </c>
      <c r="K422">
        <v>0</v>
      </c>
      <c r="L422" t="str">
        <f t="shared" si="78"/>
        <v>C421</v>
      </c>
      <c r="M422" t="str">
        <f t="shared" si="79"/>
        <v>Female</v>
      </c>
      <c r="N422" t="str">
        <f t="shared" si="80"/>
        <v>Bachelor's Type 2</v>
      </c>
      <c r="O422" t="str">
        <f t="shared" si="81"/>
        <v>Senior Level</v>
      </c>
      <c r="P422" t="str">
        <f t="shared" si="82"/>
        <v>Average</v>
      </c>
      <c r="Q422" t="str">
        <f t="shared" si="83"/>
        <v>Advanced</v>
      </c>
      <c r="R422" t="str">
        <f t="shared" si="84"/>
        <v>Needs Improvement</v>
      </c>
      <c r="S422" t="str">
        <f t="shared" si="85"/>
        <v>Not Hired</v>
      </c>
      <c r="T422">
        <f t="shared" si="86"/>
        <v>64</v>
      </c>
      <c r="U422" t="str">
        <f t="shared" si="87"/>
        <v>Developing</v>
      </c>
      <c r="V422" t="str">
        <f t="shared" si="88"/>
        <v>Technical Skills</v>
      </c>
      <c r="W422" t="str">
        <f t="shared" si="89"/>
        <v>Personality &amp; Communication</v>
      </c>
      <c r="X422" t="str">
        <f t="shared" si="90"/>
        <v>Work on communication and personality development</v>
      </c>
    </row>
    <row r="423" spans="1:24" x14ac:dyDescent="0.3">
      <c r="A423">
        <v>26</v>
      </c>
      <c r="B423">
        <v>1</v>
      </c>
      <c r="C423">
        <v>1</v>
      </c>
      <c r="D423">
        <v>11</v>
      </c>
      <c r="E423">
        <v>4</v>
      </c>
      <c r="F423">
        <v>42.087620849269499</v>
      </c>
      <c r="G423">
        <v>40</v>
      </c>
      <c r="H423">
        <v>0</v>
      </c>
      <c r="I423">
        <v>37</v>
      </c>
      <c r="J423">
        <v>2</v>
      </c>
      <c r="K423">
        <v>0</v>
      </c>
      <c r="L423" t="str">
        <f t="shared" si="78"/>
        <v>C422</v>
      </c>
      <c r="M423" t="str">
        <f t="shared" si="79"/>
        <v>Female</v>
      </c>
      <c r="N423" t="str">
        <f t="shared" si="80"/>
        <v>Bachelor's Type 1</v>
      </c>
      <c r="O423" t="str">
        <f t="shared" si="81"/>
        <v>Senior Level</v>
      </c>
      <c r="P423" t="str">
        <f t="shared" si="82"/>
        <v>Low</v>
      </c>
      <c r="Q423" t="str">
        <f t="shared" si="83"/>
        <v>Beginner</v>
      </c>
      <c r="R423" t="str">
        <f t="shared" si="84"/>
        <v>Needs Improvement</v>
      </c>
      <c r="S423" t="str">
        <f t="shared" si="85"/>
        <v>Not Hired</v>
      </c>
      <c r="T423">
        <f t="shared" si="86"/>
        <v>33</v>
      </c>
      <c r="U423" t="str">
        <f t="shared" si="87"/>
        <v>Needs Improvement</v>
      </c>
      <c r="V423" t="str">
        <f t="shared" si="88"/>
        <v>Interview</v>
      </c>
      <c r="W423" t="str">
        <f t="shared" si="89"/>
        <v>Technical Skills</v>
      </c>
      <c r="X423" t="str">
        <f t="shared" si="90"/>
        <v>Strengthen technical skills and practical knowledge</v>
      </c>
    </row>
    <row r="424" spans="1:24" x14ac:dyDescent="0.3">
      <c r="A424">
        <v>22</v>
      </c>
      <c r="B424">
        <v>0</v>
      </c>
      <c r="C424">
        <v>3</v>
      </c>
      <c r="D424">
        <v>7</v>
      </c>
      <c r="E424">
        <v>5</v>
      </c>
      <c r="F424">
        <v>7.9484495943312297</v>
      </c>
      <c r="G424">
        <v>86</v>
      </c>
      <c r="H424">
        <v>86</v>
      </c>
      <c r="I424">
        <v>34</v>
      </c>
      <c r="J424">
        <v>2</v>
      </c>
      <c r="K424">
        <v>1</v>
      </c>
      <c r="L424" t="str">
        <f t="shared" si="78"/>
        <v>C423</v>
      </c>
      <c r="M424" t="str">
        <f t="shared" si="79"/>
        <v>Male</v>
      </c>
      <c r="N424" t="str">
        <f t="shared" si="80"/>
        <v>Master's</v>
      </c>
      <c r="O424" t="str">
        <f t="shared" si="81"/>
        <v>Senior Level</v>
      </c>
      <c r="P424" t="str">
        <f t="shared" si="82"/>
        <v>Strong</v>
      </c>
      <c r="Q424" t="str">
        <f t="shared" si="83"/>
        <v>Advanced</v>
      </c>
      <c r="R424" t="str">
        <f t="shared" si="84"/>
        <v>Needs Improvement</v>
      </c>
      <c r="S424" t="str">
        <f t="shared" si="85"/>
        <v>Hired</v>
      </c>
      <c r="T424">
        <f t="shared" si="86"/>
        <v>69</v>
      </c>
      <c r="U424" t="str">
        <f t="shared" si="87"/>
        <v>Developing</v>
      </c>
      <c r="V424" t="str">
        <f t="shared" si="88"/>
        <v>Interview</v>
      </c>
      <c r="W424" t="str">
        <f t="shared" si="89"/>
        <v>Personality &amp; Communication</v>
      </c>
      <c r="X424" t="str">
        <f t="shared" si="90"/>
        <v>Work on communication and personality development</v>
      </c>
    </row>
    <row r="425" spans="1:24" x14ac:dyDescent="0.3">
      <c r="A425">
        <v>36</v>
      </c>
      <c r="B425">
        <v>0</v>
      </c>
      <c r="C425">
        <v>2</v>
      </c>
      <c r="D425">
        <v>7</v>
      </c>
      <c r="E425">
        <v>4</v>
      </c>
      <c r="F425">
        <v>38.364877877992797</v>
      </c>
      <c r="G425">
        <v>70</v>
      </c>
      <c r="H425">
        <v>2</v>
      </c>
      <c r="I425">
        <v>66</v>
      </c>
      <c r="J425">
        <v>2</v>
      </c>
      <c r="K425">
        <v>0</v>
      </c>
      <c r="L425" t="str">
        <f t="shared" si="78"/>
        <v>C424</v>
      </c>
      <c r="M425" t="str">
        <f t="shared" si="79"/>
        <v>Male</v>
      </c>
      <c r="N425" t="str">
        <f t="shared" si="80"/>
        <v>Bachelor's Type 2</v>
      </c>
      <c r="O425" t="str">
        <f t="shared" si="81"/>
        <v>Senior Level</v>
      </c>
      <c r="P425" t="str">
        <f t="shared" si="82"/>
        <v>Average</v>
      </c>
      <c r="Q425" t="str">
        <f t="shared" si="83"/>
        <v>Beginner</v>
      </c>
      <c r="R425" t="str">
        <f t="shared" si="84"/>
        <v>Good</v>
      </c>
      <c r="S425" t="str">
        <f t="shared" si="85"/>
        <v>Not Hired</v>
      </c>
      <c r="T425">
        <f t="shared" si="86"/>
        <v>44</v>
      </c>
      <c r="U425" t="str">
        <f t="shared" si="87"/>
        <v>Needs Improvement</v>
      </c>
      <c r="V425" t="str">
        <f t="shared" si="88"/>
        <v>Interview</v>
      </c>
      <c r="W425" t="str">
        <f t="shared" si="89"/>
        <v>Technical Skills</v>
      </c>
      <c r="X425" t="str">
        <f t="shared" si="90"/>
        <v>Strengthen technical skills and practical knowledge</v>
      </c>
    </row>
    <row r="426" spans="1:24" x14ac:dyDescent="0.3">
      <c r="A426">
        <v>20</v>
      </c>
      <c r="B426">
        <v>0</v>
      </c>
      <c r="C426">
        <v>2</v>
      </c>
      <c r="D426">
        <v>10</v>
      </c>
      <c r="E426">
        <v>1</v>
      </c>
      <c r="F426">
        <v>3.3956933956666799</v>
      </c>
      <c r="G426">
        <v>55</v>
      </c>
      <c r="H426">
        <v>66</v>
      </c>
      <c r="I426">
        <v>82</v>
      </c>
      <c r="J426">
        <v>3</v>
      </c>
      <c r="K426">
        <v>0</v>
      </c>
      <c r="L426" t="str">
        <f t="shared" si="78"/>
        <v>C425</v>
      </c>
      <c r="M426" t="str">
        <f t="shared" si="79"/>
        <v>Male</v>
      </c>
      <c r="N426" t="str">
        <f t="shared" si="80"/>
        <v>Bachelor's Type 2</v>
      </c>
      <c r="O426" t="str">
        <f t="shared" si="81"/>
        <v>Senior Level</v>
      </c>
      <c r="P426" t="str">
        <f t="shared" si="82"/>
        <v>Average</v>
      </c>
      <c r="Q426" t="str">
        <f t="shared" si="83"/>
        <v>Intermediate</v>
      </c>
      <c r="R426" t="str">
        <f t="shared" si="84"/>
        <v>Strong</v>
      </c>
      <c r="S426" t="str">
        <f t="shared" si="85"/>
        <v>Not Hired</v>
      </c>
      <c r="T426">
        <f t="shared" si="86"/>
        <v>65</v>
      </c>
      <c r="U426" t="str">
        <f t="shared" si="87"/>
        <v>Developing</v>
      </c>
      <c r="V426" t="str">
        <f t="shared" si="88"/>
        <v>Personality</v>
      </c>
      <c r="W426" t="str">
        <f t="shared" si="89"/>
        <v>Interview Preparation</v>
      </c>
      <c r="X426" t="str">
        <f t="shared" si="90"/>
        <v>Improve interview preparation and communication</v>
      </c>
    </row>
    <row r="427" spans="1:24" x14ac:dyDescent="0.3">
      <c r="A427">
        <v>35</v>
      </c>
      <c r="B427">
        <v>0</v>
      </c>
      <c r="C427">
        <v>1</v>
      </c>
      <c r="D427">
        <v>12</v>
      </c>
      <c r="E427">
        <v>1</v>
      </c>
      <c r="F427">
        <v>48.426016375695703</v>
      </c>
      <c r="G427">
        <v>22</v>
      </c>
      <c r="H427">
        <v>70</v>
      </c>
      <c r="I427">
        <v>9</v>
      </c>
      <c r="J427">
        <v>2</v>
      </c>
      <c r="K427">
        <v>0</v>
      </c>
      <c r="L427" t="str">
        <f t="shared" si="78"/>
        <v>C426</v>
      </c>
      <c r="M427" t="str">
        <f t="shared" si="79"/>
        <v>Male</v>
      </c>
      <c r="N427" t="str">
        <f t="shared" si="80"/>
        <v>Bachelor's Type 1</v>
      </c>
      <c r="O427" t="str">
        <f t="shared" si="81"/>
        <v>Senior Level</v>
      </c>
      <c r="P427" t="str">
        <f t="shared" si="82"/>
        <v>Low</v>
      </c>
      <c r="Q427" t="str">
        <f t="shared" si="83"/>
        <v>Intermediate</v>
      </c>
      <c r="R427" t="str">
        <f t="shared" si="84"/>
        <v>Needs Improvement</v>
      </c>
      <c r="S427" t="str">
        <f t="shared" si="85"/>
        <v>Not Hired</v>
      </c>
      <c r="T427">
        <f t="shared" si="86"/>
        <v>44</v>
      </c>
      <c r="U427" t="str">
        <f t="shared" si="87"/>
        <v>Needs Improvement</v>
      </c>
      <c r="V427" t="str">
        <f t="shared" si="88"/>
        <v>Technical Skills</v>
      </c>
      <c r="W427" t="str">
        <f t="shared" si="89"/>
        <v>Personality &amp; Communication</v>
      </c>
      <c r="X427" t="str">
        <f t="shared" si="90"/>
        <v>Work on communication and personality development</v>
      </c>
    </row>
    <row r="428" spans="1:24" x14ac:dyDescent="0.3">
      <c r="A428">
        <v>31</v>
      </c>
      <c r="B428">
        <v>1</v>
      </c>
      <c r="C428">
        <v>3</v>
      </c>
      <c r="D428">
        <v>8</v>
      </c>
      <c r="E428">
        <v>5</v>
      </c>
      <c r="F428">
        <v>36.558004376388297</v>
      </c>
      <c r="G428">
        <v>24</v>
      </c>
      <c r="H428">
        <v>99</v>
      </c>
      <c r="I428">
        <v>90</v>
      </c>
      <c r="J428">
        <v>2</v>
      </c>
      <c r="K428">
        <v>1</v>
      </c>
      <c r="L428" t="str">
        <f t="shared" si="78"/>
        <v>C427</v>
      </c>
      <c r="M428" t="str">
        <f t="shared" si="79"/>
        <v>Female</v>
      </c>
      <c r="N428" t="str">
        <f t="shared" si="80"/>
        <v>Master's</v>
      </c>
      <c r="O428" t="str">
        <f t="shared" si="81"/>
        <v>Senior Level</v>
      </c>
      <c r="P428" t="str">
        <f t="shared" si="82"/>
        <v>Low</v>
      </c>
      <c r="Q428" t="str">
        <f t="shared" si="83"/>
        <v>Advanced</v>
      </c>
      <c r="R428" t="str">
        <f t="shared" si="84"/>
        <v>Strong</v>
      </c>
      <c r="S428" t="str">
        <f t="shared" si="85"/>
        <v>Hired</v>
      </c>
      <c r="T428">
        <f t="shared" si="86"/>
        <v>67</v>
      </c>
      <c r="U428" t="str">
        <f t="shared" si="87"/>
        <v>Developing</v>
      </c>
      <c r="V428" t="str">
        <f t="shared" si="88"/>
        <v>Technical Skills</v>
      </c>
      <c r="W428" t="str">
        <f t="shared" si="89"/>
        <v>Interview Preparation</v>
      </c>
      <c r="X428" t="str">
        <f t="shared" si="90"/>
        <v>Improve interview preparation and communication</v>
      </c>
    </row>
    <row r="429" spans="1:24" x14ac:dyDescent="0.3">
      <c r="A429">
        <v>46</v>
      </c>
      <c r="B429">
        <v>0</v>
      </c>
      <c r="C429">
        <v>3</v>
      </c>
      <c r="D429">
        <v>14</v>
      </c>
      <c r="E429">
        <v>4</v>
      </c>
      <c r="F429">
        <v>1.3398274293055801</v>
      </c>
      <c r="G429">
        <v>90</v>
      </c>
      <c r="H429">
        <v>34</v>
      </c>
      <c r="I429">
        <v>14</v>
      </c>
      <c r="J429">
        <v>2</v>
      </c>
      <c r="K429">
        <v>0</v>
      </c>
      <c r="L429" t="str">
        <f t="shared" si="78"/>
        <v>C428</v>
      </c>
      <c r="M429" t="str">
        <f t="shared" si="79"/>
        <v>Male</v>
      </c>
      <c r="N429" t="str">
        <f t="shared" si="80"/>
        <v>Master's</v>
      </c>
      <c r="O429" t="str">
        <f t="shared" si="81"/>
        <v>Senior Level</v>
      </c>
      <c r="P429" t="str">
        <f t="shared" si="82"/>
        <v>Strong</v>
      </c>
      <c r="Q429" t="str">
        <f t="shared" si="83"/>
        <v>Beginner</v>
      </c>
      <c r="R429" t="str">
        <f t="shared" si="84"/>
        <v>Needs Improvement</v>
      </c>
      <c r="S429" t="str">
        <f t="shared" si="85"/>
        <v>Not Hired</v>
      </c>
      <c r="T429">
        <f t="shared" si="86"/>
        <v>58</v>
      </c>
      <c r="U429" t="str">
        <f t="shared" si="87"/>
        <v>Developing</v>
      </c>
      <c r="V429" t="str">
        <f t="shared" si="88"/>
        <v>Interview</v>
      </c>
      <c r="W429" t="str">
        <f t="shared" si="89"/>
        <v>Personality &amp; Communication</v>
      </c>
      <c r="X429" t="str">
        <f t="shared" si="90"/>
        <v>Work on communication and personality development</v>
      </c>
    </row>
    <row r="430" spans="1:24" x14ac:dyDescent="0.3">
      <c r="A430">
        <v>38</v>
      </c>
      <c r="B430">
        <v>1</v>
      </c>
      <c r="C430">
        <v>3</v>
      </c>
      <c r="D430">
        <v>0</v>
      </c>
      <c r="E430">
        <v>4</v>
      </c>
      <c r="F430">
        <v>39.192825010010701</v>
      </c>
      <c r="G430">
        <v>5</v>
      </c>
      <c r="H430">
        <v>14</v>
      </c>
      <c r="I430">
        <v>10</v>
      </c>
      <c r="J430">
        <v>2</v>
      </c>
      <c r="K430">
        <v>0</v>
      </c>
      <c r="L430" t="str">
        <f t="shared" si="78"/>
        <v>C429</v>
      </c>
      <c r="M430" t="str">
        <f t="shared" si="79"/>
        <v>Female</v>
      </c>
      <c r="N430" t="str">
        <f t="shared" si="80"/>
        <v>Master's</v>
      </c>
      <c r="O430" t="str">
        <f t="shared" si="81"/>
        <v>Entry Level</v>
      </c>
      <c r="P430" t="str">
        <f t="shared" si="82"/>
        <v>Low</v>
      </c>
      <c r="Q430" t="str">
        <f t="shared" si="83"/>
        <v>Beginner</v>
      </c>
      <c r="R430" t="str">
        <f t="shared" si="84"/>
        <v>Needs Improvement</v>
      </c>
      <c r="S430" t="str">
        <f t="shared" si="85"/>
        <v>Not Hired</v>
      </c>
      <c r="T430">
        <f t="shared" si="86"/>
        <v>11</v>
      </c>
      <c r="U430" t="str">
        <f t="shared" si="87"/>
        <v>Needs Improvement</v>
      </c>
      <c r="V430" t="str">
        <f t="shared" si="88"/>
        <v>Technical Skills</v>
      </c>
      <c r="W430" t="str">
        <f t="shared" si="89"/>
        <v>Interview Preparation</v>
      </c>
      <c r="X430" t="str">
        <f t="shared" si="90"/>
        <v>Improve interview preparation and communication</v>
      </c>
    </row>
    <row r="431" spans="1:24" x14ac:dyDescent="0.3">
      <c r="A431">
        <v>41</v>
      </c>
      <c r="B431">
        <v>1</v>
      </c>
      <c r="C431">
        <v>2</v>
      </c>
      <c r="D431">
        <v>13</v>
      </c>
      <c r="E431">
        <v>2</v>
      </c>
      <c r="F431">
        <v>26.704096038309199</v>
      </c>
      <c r="G431">
        <v>33</v>
      </c>
      <c r="H431">
        <v>66</v>
      </c>
      <c r="I431">
        <v>89</v>
      </c>
      <c r="J431">
        <v>3</v>
      </c>
      <c r="K431">
        <v>0</v>
      </c>
      <c r="L431" t="str">
        <f t="shared" si="78"/>
        <v>C430</v>
      </c>
      <c r="M431" t="str">
        <f t="shared" si="79"/>
        <v>Female</v>
      </c>
      <c r="N431" t="str">
        <f t="shared" si="80"/>
        <v>Bachelor's Type 2</v>
      </c>
      <c r="O431" t="str">
        <f t="shared" si="81"/>
        <v>Senior Level</v>
      </c>
      <c r="P431" t="str">
        <f t="shared" si="82"/>
        <v>Low</v>
      </c>
      <c r="Q431" t="str">
        <f t="shared" si="83"/>
        <v>Intermediate</v>
      </c>
      <c r="R431" t="str">
        <f t="shared" si="84"/>
        <v>Strong</v>
      </c>
      <c r="S431" t="str">
        <f t="shared" si="85"/>
        <v>Not Hired</v>
      </c>
      <c r="T431">
        <f t="shared" si="86"/>
        <v>63</v>
      </c>
      <c r="U431" t="str">
        <f t="shared" si="87"/>
        <v>Developing</v>
      </c>
      <c r="V431" t="str">
        <f t="shared" si="88"/>
        <v>Personality</v>
      </c>
      <c r="W431" t="str">
        <f t="shared" si="89"/>
        <v>Interview Preparation</v>
      </c>
      <c r="X431" t="str">
        <f t="shared" si="90"/>
        <v>Improve interview preparation and communication</v>
      </c>
    </row>
    <row r="432" spans="1:24" x14ac:dyDescent="0.3">
      <c r="A432">
        <v>42</v>
      </c>
      <c r="B432">
        <v>0</v>
      </c>
      <c r="C432">
        <v>1</v>
      </c>
      <c r="D432">
        <v>0</v>
      </c>
      <c r="E432">
        <v>3</v>
      </c>
      <c r="F432">
        <v>39.968258516755903</v>
      </c>
      <c r="G432">
        <v>62</v>
      </c>
      <c r="H432">
        <v>92</v>
      </c>
      <c r="I432">
        <v>23</v>
      </c>
      <c r="J432">
        <v>3</v>
      </c>
      <c r="K432">
        <v>0</v>
      </c>
      <c r="L432" t="str">
        <f t="shared" si="78"/>
        <v>C431</v>
      </c>
      <c r="M432" t="str">
        <f t="shared" si="79"/>
        <v>Male</v>
      </c>
      <c r="N432" t="str">
        <f t="shared" si="80"/>
        <v>Bachelor's Type 1</v>
      </c>
      <c r="O432" t="str">
        <f t="shared" si="81"/>
        <v>Entry Level</v>
      </c>
      <c r="P432" t="str">
        <f t="shared" si="82"/>
        <v>Average</v>
      </c>
      <c r="Q432" t="str">
        <f t="shared" si="83"/>
        <v>Advanced</v>
      </c>
      <c r="R432" t="str">
        <f t="shared" si="84"/>
        <v>Needs Improvement</v>
      </c>
      <c r="S432" t="str">
        <f t="shared" si="85"/>
        <v>Not Hired</v>
      </c>
      <c r="T432">
        <f t="shared" si="86"/>
        <v>53</v>
      </c>
      <c r="U432" t="str">
        <f t="shared" si="87"/>
        <v>Developing</v>
      </c>
      <c r="V432" t="str">
        <f t="shared" si="88"/>
        <v>Technical Skills</v>
      </c>
      <c r="W432" t="str">
        <f t="shared" si="89"/>
        <v>Personality &amp; Communication</v>
      </c>
      <c r="X432" t="str">
        <f t="shared" si="90"/>
        <v>Work on communication and personality development</v>
      </c>
    </row>
    <row r="433" spans="1:24" x14ac:dyDescent="0.3">
      <c r="A433">
        <v>41</v>
      </c>
      <c r="B433">
        <v>1</v>
      </c>
      <c r="C433">
        <v>2</v>
      </c>
      <c r="D433">
        <v>2</v>
      </c>
      <c r="E433">
        <v>5</v>
      </c>
      <c r="F433">
        <v>27.124840444529401</v>
      </c>
      <c r="G433">
        <v>8</v>
      </c>
      <c r="H433">
        <v>29</v>
      </c>
      <c r="I433">
        <v>76</v>
      </c>
      <c r="J433">
        <v>2</v>
      </c>
      <c r="K433">
        <v>0</v>
      </c>
      <c r="L433" t="str">
        <f t="shared" si="78"/>
        <v>C432</v>
      </c>
      <c r="M433" t="str">
        <f t="shared" si="79"/>
        <v>Female</v>
      </c>
      <c r="N433" t="str">
        <f t="shared" si="80"/>
        <v>Bachelor's Type 2</v>
      </c>
      <c r="O433" t="str">
        <f t="shared" si="81"/>
        <v>Entry Level</v>
      </c>
      <c r="P433" t="str">
        <f t="shared" si="82"/>
        <v>Low</v>
      </c>
      <c r="Q433" t="str">
        <f t="shared" si="83"/>
        <v>Beginner</v>
      </c>
      <c r="R433" t="str">
        <f t="shared" si="84"/>
        <v>Strong</v>
      </c>
      <c r="S433" t="str">
        <f t="shared" si="85"/>
        <v>Not Hired</v>
      </c>
      <c r="T433">
        <f t="shared" si="86"/>
        <v>31</v>
      </c>
      <c r="U433" t="str">
        <f t="shared" si="87"/>
        <v>Needs Improvement</v>
      </c>
      <c r="V433" t="str">
        <f t="shared" si="88"/>
        <v>Personality</v>
      </c>
      <c r="W433" t="str">
        <f t="shared" si="89"/>
        <v>Interview Preparation</v>
      </c>
      <c r="X433" t="str">
        <f t="shared" si="90"/>
        <v>Improve interview preparation and communication</v>
      </c>
    </row>
    <row r="434" spans="1:24" x14ac:dyDescent="0.3">
      <c r="A434">
        <v>33</v>
      </c>
      <c r="B434">
        <v>1</v>
      </c>
      <c r="C434">
        <v>2</v>
      </c>
      <c r="D434">
        <v>2</v>
      </c>
      <c r="E434">
        <v>3</v>
      </c>
      <c r="F434">
        <v>33.051242881767699</v>
      </c>
      <c r="G434">
        <v>59</v>
      </c>
      <c r="H434">
        <v>81</v>
      </c>
      <c r="I434">
        <v>95</v>
      </c>
      <c r="J434">
        <v>2</v>
      </c>
      <c r="K434">
        <v>0</v>
      </c>
      <c r="L434" t="str">
        <f t="shared" si="78"/>
        <v>C433</v>
      </c>
      <c r="M434" t="str">
        <f t="shared" si="79"/>
        <v>Female</v>
      </c>
      <c r="N434" t="str">
        <f t="shared" si="80"/>
        <v>Bachelor's Type 2</v>
      </c>
      <c r="O434" t="str">
        <f t="shared" si="81"/>
        <v>Entry Level</v>
      </c>
      <c r="P434" t="str">
        <f t="shared" si="82"/>
        <v>Average</v>
      </c>
      <c r="Q434" t="str">
        <f t="shared" si="83"/>
        <v>Advanced</v>
      </c>
      <c r="R434" t="str">
        <f t="shared" si="84"/>
        <v>Strong</v>
      </c>
      <c r="S434" t="str">
        <f t="shared" si="85"/>
        <v>Not Hired</v>
      </c>
      <c r="T434">
        <f t="shared" si="86"/>
        <v>66</v>
      </c>
      <c r="U434" t="str">
        <f t="shared" si="87"/>
        <v>Developing</v>
      </c>
      <c r="V434" t="str">
        <f t="shared" si="88"/>
        <v>Personality</v>
      </c>
      <c r="W434" t="str">
        <f t="shared" si="89"/>
        <v>Interview Preparation</v>
      </c>
      <c r="X434" t="str">
        <f t="shared" si="90"/>
        <v>Improve interview preparation and communication</v>
      </c>
    </row>
    <row r="435" spans="1:24" x14ac:dyDescent="0.3">
      <c r="A435">
        <v>49</v>
      </c>
      <c r="B435">
        <v>1</v>
      </c>
      <c r="C435">
        <v>1</v>
      </c>
      <c r="D435">
        <v>9</v>
      </c>
      <c r="E435">
        <v>3</v>
      </c>
      <c r="F435">
        <v>40.316582769752003</v>
      </c>
      <c r="G435">
        <v>48</v>
      </c>
      <c r="H435">
        <v>74</v>
      </c>
      <c r="I435">
        <v>100</v>
      </c>
      <c r="J435">
        <v>2</v>
      </c>
      <c r="K435">
        <v>0</v>
      </c>
      <c r="L435" t="str">
        <f t="shared" si="78"/>
        <v>C434</v>
      </c>
      <c r="M435" t="str">
        <f t="shared" si="79"/>
        <v>Female</v>
      </c>
      <c r="N435" t="str">
        <f t="shared" si="80"/>
        <v>Bachelor's Type 1</v>
      </c>
      <c r="O435" t="str">
        <f t="shared" si="81"/>
        <v>Senior Level</v>
      </c>
      <c r="P435" t="str">
        <f t="shared" si="82"/>
        <v>Low</v>
      </c>
      <c r="Q435" t="str">
        <f t="shared" si="83"/>
        <v>Intermediate</v>
      </c>
      <c r="R435" t="str">
        <f t="shared" si="84"/>
        <v>Strong</v>
      </c>
      <c r="S435" t="str">
        <f t="shared" si="85"/>
        <v>Not Hired</v>
      </c>
      <c r="T435">
        <f t="shared" si="86"/>
        <v>68</v>
      </c>
      <c r="U435" t="str">
        <f t="shared" si="87"/>
        <v>Developing</v>
      </c>
      <c r="V435" t="str">
        <f t="shared" si="88"/>
        <v>Personality</v>
      </c>
      <c r="W435" t="str">
        <f t="shared" si="89"/>
        <v>Interview Preparation</v>
      </c>
      <c r="X435" t="str">
        <f t="shared" si="90"/>
        <v>Improve interview preparation and communication</v>
      </c>
    </row>
    <row r="436" spans="1:24" x14ac:dyDescent="0.3">
      <c r="A436">
        <v>25</v>
      </c>
      <c r="B436">
        <v>1</v>
      </c>
      <c r="C436">
        <v>2</v>
      </c>
      <c r="D436">
        <v>7</v>
      </c>
      <c r="E436">
        <v>5</v>
      </c>
      <c r="F436">
        <v>21.255402729392799</v>
      </c>
      <c r="G436">
        <v>96</v>
      </c>
      <c r="H436">
        <v>42</v>
      </c>
      <c r="I436">
        <v>3</v>
      </c>
      <c r="J436">
        <v>2</v>
      </c>
      <c r="K436">
        <v>0</v>
      </c>
      <c r="L436" t="str">
        <f t="shared" si="78"/>
        <v>C435</v>
      </c>
      <c r="M436" t="str">
        <f t="shared" si="79"/>
        <v>Female</v>
      </c>
      <c r="N436" t="str">
        <f t="shared" si="80"/>
        <v>Bachelor's Type 2</v>
      </c>
      <c r="O436" t="str">
        <f t="shared" si="81"/>
        <v>Senior Level</v>
      </c>
      <c r="P436" t="str">
        <f t="shared" si="82"/>
        <v>Strong</v>
      </c>
      <c r="Q436" t="str">
        <f t="shared" si="83"/>
        <v>Beginner</v>
      </c>
      <c r="R436" t="str">
        <f t="shared" si="84"/>
        <v>Needs Improvement</v>
      </c>
      <c r="S436" t="str">
        <f t="shared" si="85"/>
        <v>Not Hired</v>
      </c>
      <c r="T436">
        <f t="shared" si="86"/>
        <v>52</v>
      </c>
      <c r="U436" t="str">
        <f t="shared" si="87"/>
        <v>Developing</v>
      </c>
      <c r="V436" t="str">
        <f t="shared" si="88"/>
        <v>Interview</v>
      </c>
      <c r="W436" t="str">
        <f t="shared" si="89"/>
        <v>Personality &amp; Communication</v>
      </c>
      <c r="X436" t="str">
        <f t="shared" si="90"/>
        <v>Work on communication and personality development</v>
      </c>
    </row>
    <row r="437" spans="1:24" x14ac:dyDescent="0.3">
      <c r="A437">
        <v>25</v>
      </c>
      <c r="B437">
        <v>0</v>
      </c>
      <c r="C437">
        <v>4</v>
      </c>
      <c r="D437">
        <v>14</v>
      </c>
      <c r="E437">
        <v>4</v>
      </c>
      <c r="F437">
        <v>1.1354074910226</v>
      </c>
      <c r="G437">
        <v>50</v>
      </c>
      <c r="H437">
        <v>59</v>
      </c>
      <c r="I437">
        <v>12</v>
      </c>
      <c r="J437">
        <v>3</v>
      </c>
      <c r="K437">
        <v>0</v>
      </c>
      <c r="L437" t="str">
        <f t="shared" si="78"/>
        <v>C436</v>
      </c>
      <c r="M437" t="str">
        <f t="shared" si="79"/>
        <v>Male</v>
      </c>
      <c r="N437" t="str">
        <f t="shared" si="80"/>
        <v>PhD</v>
      </c>
      <c r="O437" t="str">
        <f t="shared" si="81"/>
        <v>Senior Level</v>
      </c>
      <c r="P437" t="str">
        <f t="shared" si="82"/>
        <v>Average</v>
      </c>
      <c r="Q437" t="str">
        <f t="shared" si="83"/>
        <v>Intermediate</v>
      </c>
      <c r="R437" t="str">
        <f t="shared" si="84"/>
        <v>Needs Improvement</v>
      </c>
      <c r="S437" t="str">
        <f t="shared" si="85"/>
        <v>Not Hired</v>
      </c>
      <c r="T437">
        <f t="shared" si="86"/>
        <v>54</v>
      </c>
      <c r="U437" t="str">
        <f t="shared" si="87"/>
        <v>Developing</v>
      </c>
      <c r="V437" t="str">
        <f t="shared" si="88"/>
        <v>Technical Skills</v>
      </c>
      <c r="W437" t="str">
        <f t="shared" si="89"/>
        <v>Personality &amp; Communication</v>
      </c>
      <c r="X437" t="str">
        <f t="shared" si="90"/>
        <v>Work on communication and personality development</v>
      </c>
    </row>
    <row r="438" spans="1:24" x14ac:dyDescent="0.3">
      <c r="A438">
        <v>32</v>
      </c>
      <c r="B438">
        <v>0</v>
      </c>
      <c r="C438">
        <v>3</v>
      </c>
      <c r="D438">
        <v>9</v>
      </c>
      <c r="E438">
        <v>5</v>
      </c>
      <c r="F438">
        <v>43.497324797259402</v>
      </c>
      <c r="G438">
        <v>59</v>
      </c>
      <c r="H438">
        <v>39</v>
      </c>
      <c r="I438">
        <v>72</v>
      </c>
      <c r="J438">
        <v>1</v>
      </c>
      <c r="K438">
        <v>1</v>
      </c>
      <c r="L438" t="str">
        <f t="shared" si="78"/>
        <v>C437</v>
      </c>
      <c r="M438" t="str">
        <f t="shared" si="79"/>
        <v>Male</v>
      </c>
      <c r="N438" t="str">
        <f t="shared" si="80"/>
        <v>Master's</v>
      </c>
      <c r="O438" t="str">
        <f t="shared" si="81"/>
        <v>Senior Level</v>
      </c>
      <c r="P438" t="str">
        <f t="shared" si="82"/>
        <v>Average</v>
      </c>
      <c r="Q438" t="str">
        <f t="shared" si="83"/>
        <v>Beginner</v>
      </c>
      <c r="R438" t="str">
        <f t="shared" si="84"/>
        <v>Good</v>
      </c>
      <c r="S438" t="str">
        <f t="shared" si="85"/>
        <v>Hired</v>
      </c>
      <c r="T438">
        <f t="shared" si="86"/>
        <v>57</v>
      </c>
      <c r="U438" t="str">
        <f t="shared" si="87"/>
        <v>Developing</v>
      </c>
      <c r="V438" t="str">
        <f t="shared" si="88"/>
        <v>Personality</v>
      </c>
      <c r="W438" t="str">
        <f t="shared" si="89"/>
        <v>Technical Skills</v>
      </c>
      <c r="X438" t="str">
        <f t="shared" si="90"/>
        <v>Strengthen technical skills and practical knowledge</v>
      </c>
    </row>
    <row r="439" spans="1:24" x14ac:dyDescent="0.3">
      <c r="A439">
        <v>38</v>
      </c>
      <c r="B439">
        <v>1</v>
      </c>
      <c r="C439">
        <v>3</v>
      </c>
      <c r="D439">
        <v>0</v>
      </c>
      <c r="E439">
        <v>3</v>
      </c>
      <c r="F439">
        <v>20.044518131233101</v>
      </c>
      <c r="G439">
        <v>69</v>
      </c>
      <c r="H439">
        <v>64</v>
      </c>
      <c r="I439">
        <v>56</v>
      </c>
      <c r="J439">
        <v>1</v>
      </c>
      <c r="K439">
        <v>1</v>
      </c>
      <c r="L439" t="str">
        <f t="shared" si="78"/>
        <v>C438</v>
      </c>
      <c r="M439" t="str">
        <f t="shared" si="79"/>
        <v>Female</v>
      </c>
      <c r="N439" t="str">
        <f t="shared" si="80"/>
        <v>Master's</v>
      </c>
      <c r="O439" t="str">
        <f t="shared" si="81"/>
        <v>Entry Level</v>
      </c>
      <c r="P439" t="str">
        <f t="shared" si="82"/>
        <v>Average</v>
      </c>
      <c r="Q439" t="str">
        <f t="shared" si="83"/>
        <v>Intermediate</v>
      </c>
      <c r="R439" t="str">
        <f t="shared" si="84"/>
        <v>Good</v>
      </c>
      <c r="S439" t="str">
        <f t="shared" si="85"/>
        <v>Hired</v>
      </c>
      <c r="T439">
        <f t="shared" si="86"/>
        <v>55</v>
      </c>
      <c r="U439" t="str">
        <f t="shared" si="87"/>
        <v>Developing</v>
      </c>
      <c r="V439" t="str">
        <f t="shared" si="88"/>
        <v>Interview</v>
      </c>
      <c r="W439" t="str">
        <f t="shared" si="89"/>
        <v>Personality &amp; Communication</v>
      </c>
      <c r="X439" t="str">
        <f t="shared" si="90"/>
        <v>Work on communication and personality development</v>
      </c>
    </row>
    <row r="440" spans="1:24" x14ac:dyDescent="0.3">
      <c r="A440">
        <v>41</v>
      </c>
      <c r="B440">
        <v>0</v>
      </c>
      <c r="C440">
        <v>4</v>
      </c>
      <c r="D440">
        <v>12</v>
      </c>
      <c r="E440">
        <v>4</v>
      </c>
      <c r="F440">
        <v>25.802136300829101</v>
      </c>
      <c r="G440">
        <v>36</v>
      </c>
      <c r="H440">
        <v>28</v>
      </c>
      <c r="I440">
        <v>97</v>
      </c>
      <c r="J440">
        <v>1</v>
      </c>
      <c r="K440">
        <v>1</v>
      </c>
      <c r="L440" t="str">
        <f t="shared" si="78"/>
        <v>C439</v>
      </c>
      <c r="M440" t="str">
        <f t="shared" si="79"/>
        <v>Male</v>
      </c>
      <c r="N440" t="str">
        <f t="shared" si="80"/>
        <v>PhD</v>
      </c>
      <c r="O440" t="str">
        <f t="shared" si="81"/>
        <v>Senior Level</v>
      </c>
      <c r="P440" t="str">
        <f t="shared" si="82"/>
        <v>Low</v>
      </c>
      <c r="Q440" t="str">
        <f t="shared" si="83"/>
        <v>Beginner</v>
      </c>
      <c r="R440" t="str">
        <f t="shared" si="84"/>
        <v>Strong</v>
      </c>
      <c r="S440" t="str">
        <f t="shared" si="85"/>
        <v>Hired</v>
      </c>
      <c r="T440">
        <f t="shared" si="86"/>
        <v>56</v>
      </c>
      <c r="U440" t="str">
        <f t="shared" si="87"/>
        <v>Developing</v>
      </c>
      <c r="V440" t="str">
        <f t="shared" si="88"/>
        <v>Personality</v>
      </c>
      <c r="W440" t="str">
        <f t="shared" si="89"/>
        <v>Technical Skills</v>
      </c>
      <c r="X440" t="str">
        <f t="shared" si="90"/>
        <v>Strengthen technical skills and practical knowledge</v>
      </c>
    </row>
    <row r="441" spans="1:24" x14ac:dyDescent="0.3">
      <c r="A441">
        <v>27</v>
      </c>
      <c r="B441">
        <v>0</v>
      </c>
      <c r="C441">
        <v>2</v>
      </c>
      <c r="D441">
        <v>1</v>
      </c>
      <c r="E441">
        <v>1</v>
      </c>
      <c r="F441">
        <v>1.3883321076984301</v>
      </c>
      <c r="G441">
        <v>30</v>
      </c>
      <c r="H441">
        <v>73</v>
      </c>
      <c r="I441">
        <v>36</v>
      </c>
      <c r="J441">
        <v>2</v>
      </c>
      <c r="K441">
        <v>0</v>
      </c>
      <c r="L441" t="str">
        <f t="shared" si="78"/>
        <v>C440</v>
      </c>
      <c r="M441" t="str">
        <f t="shared" si="79"/>
        <v>Male</v>
      </c>
      <c r="N441" t="str">
        <f t="shared" si="80"/>
        <v>Bachelor's Type 2</v>
      </c>
      <c r="O441" t="str">
        <f t="shared" si="81"/>
        <v>Entry Level</v>
      </c>
      <c r="P441" t="str">
        <f t="shared" si="82"/>
        <v>Low</v>
      </c>
      <c r="Q441" t="str">
        <f t="shared" si="83"/>
        <v>Intermediate</v>
      </c>
      <c r="R441" t="str">
        <f t="shared" si="84"/>
        <v>Needs Improvement</v>
      </c>
      <c r="S441" t="str">
        <f t="shared" si="85"/>
        <v>Not Hired</v>
      </c>
      <c r="T441">
        <f t="shared" si="86"/>
        <v>42</v>
      </c>
      <c r="U441" t="str">
        <f t="shared" si="87"/>
        <v>Needs Improvement</v>
      </c>
      <c r="V441" t="str">
        <f t="shared" si="88"/>
        <v>Technical Skills</v>
      </c>
      <c r="W441" t="str">
        <f t="shared" si="89"/>
        <v>Interview Preparation</v>
      </c>
      <c r="X441" t="str">
        <f t="shared" si="90"/>
        <v>Improve interview preparation and communication</v>
      </c>
    </row>
    <row r="442" spans="1:24" x14ac:dyDescent="0.3">
      <c r="A442">
        <v>46</v>
      </c>
      <c r="B442">
        <v>0</v>
      </c>
      <c r="C442">
        <v>2</v>
      </c>
      <c r="D442">
        <v>1</v>
      </c>
      <c r="E442">
        <v>5</v>
      </c>
      <c r="F442">
        <v>25.604600517504899</v>
      </c>
      <c r="G442">
        <v>97</v>
      </c>
      <c r="H442">
        <v>91</v>
      </c>
      <c r="I442">
        <v>47</v>
      </c>
      <c r="J442">
        <v>3</v>
      </c>
      <c r="K442">
        <v>0</v>
      </c>
      <c r="L442" t="str">
        <f t="shared" si="78"/>
        <v>C441</v>
      </c>
      <c r="M442" t="str">
        <f t="shared" si="79"/>
        <v>Male</v>
      </c>
      <c r="N442" t="str">
        <f t="shared" si="80"/>
        <v>Bachelor's Type 2</v>
      </c>
      <c r="O442" t="str">
        <f t="shared" si="81"/>
        <v>Entry Level</v>
      </c>
      <c r="P442" t="str">
        <f t="shared" si="82"/>
        <v>Strong</v>
      </c>
      <c r="Q442" t="str">
        <f t="shared" si="83"/>
        <v>Advanced</v>
      </c>
      <c r="R442" t="str">
        <f t="shared" si="84"/>
        <v>Needs Improvement</v>
      </c>
      <c r="S442" t="str">
        <f t="shared" si="85"/>
        <v>Not Hired</v>
      </c>
      <c r="T442">
        <f t="shared" si="86"/>
        <v>69</v>
      </c>
      <c r="U442" t="str">
        <f t="shared" si="87"/>
        <v>Developing</v>
      </c>
      <c r="V442" t="str">
        <f t="shared" si="88"/>
        <v>Interview</v>
      </c>
      <c r="W442" t="str">
        <f t="shared" si="89"/>
        <v>Personality &amp; Communication</v>
      </c>
      <c r="X442" t="str">
        <f t="shared" si="90"/>
        <v>Work on communication and personality development</v>
      </c>
    </row>
    <row r="443" spans="1:24" x14ac:dyDescent="0.3">
      <c r="A443">
        <v>46</v>
      </c>
      <c r="B443">
        <v>0</v>
      </c>
      <c r="C443">
        <v>4</v>
      </c>
      <c r="D443">
        <v>2</v>
      </c>
      <c r="E443">
        <v>5</v>
      </c>
      <c r="F443">
        <v>50.324370078586398</v>
      </c>
      <c r="G443">
        <v>40</v>
      </c>
      <c r="H443">
        <v>94</v>
      </c>
      <c r="I443">
        <v>70</v>
      </c>
      <c r="J443">
        <v>1</v>
      </c>
      <c r="K443">
        <v>1</v>
      </c>
      <c r="L443" t="str">
        <f t="shared" si="78"/>
        <v>C442</v>
      </c>
      <c r="M443" t="str">
        <f t="shared" si="79"/>
        <v>Male</v>
      </c>
      <c r="N443" t="str">
        <f t="shared" si="80"/>
        <v>PhD</v>
      </c>
      <c r="O443" t="str">
        <f t="shared" si="81"/>
        <v>Entry Level</v>
      </c>
      <c r="P443" t="str">
        <f t="shared" si="82"/>
        <v>Low</v>
      </c>
      <c r="Q443" t="str">
        <f t="shared" si="83"/>
        <v>Advanced</v>
      </c>
      <c r="R443" t="str">
        <f t="shared" si="84"/>
        <v>Good</v>
      </c>
      <c r="S443" t="str">
        <f t="shared" si="85"/>
        <v>Hired</v>
      </c>
      <c r="T443">
        <f t="shared" si="86"/>
        <v>61</v>
      </c>
      <c r="U443" t="str">
        <f t="shared" si="87"/>
        <v>Developing</v>
      </c>
      <c r="V443" t="str">
        <f t="shared" si="88"/>
        <v>Technical Skills</v>
      </c>
      <c r="W443" t="str">
        <f t="shared" si="89"/>
        <v>Interview Preparation</v>
      </c>
      <c r="X443" t="str">
        <f t="shared" si="90"/>
        <v>Improve interview preparation and communication</v>
      </c>
    </row>
    <row r="444" spans="1:24" x14ac:dyDescent="0.3">
      <c r="A444">
        <v>21</v>
      </c>
      <c r="B444">
        <v>0</v>
      </c>
      <c r="C444">
        <v>1</v>
      </c>
      <c r="D444">
        <v>12</v>
      </c>
      <c r="E444">
        <v>4</v>
      </c>
      <c r="F444">
        <v>14.913383040938401</v>
      </c>
      <c r="G444">
        <v>61</v>
      </c>
      <c r="H444">
        <v>18</v>
      </c>
      <c r="I444">
        <v>0</v>
      </c>
      <c r="J444">
        <v>2</v>
      </c>
      <c r="K444">
        <v>0</v>
      </c>
      <c r="L444" t="str">
        <f t="shared" si="78"/>
        <v>C443</v>
      </c>
      <c r="M444" t="str">
        <f t="shared" si="79"/>
        <v>Male</v>
      </c>
      <c r="N444" t="str">
        <f t="shared" si="80"/>
        <v>Bachelor's Type 1</v>
      </c>
      <c r="O444" t="str">
        <f t="shared" si="81"/>
        <v>Senior Level</v>
      </c>
      <c r="P444" t="str">
        <f t="shared" si="82"/>
        <v>Average</v>
      </c>
      <c r="Q444" t="str">
        <f t="shared" si="83"/>
        <v>Beginner</v>
      </c>
      <c r="R444" t="str">
        <f t="shared" si="84"/>
        <v>Needs Improvement</v>
      </c>
      <c r="S444" t="str">
        <f t="shared" si="85"/>
        <v>Not Hired</v>
      </c>
      <c r="T444">
        <f t="shared" si="86"/>
        <v>38</v>
      </c>
      <c r="U444" t="str">
        <f t="shared" si="87"/>
        <v>Needs Improvement</v>
      </c>
      <c r="V444" t="str">
        <f t="shared" si="88"/>
        <v>Interview</v>
      </c>
      <c r="W444" t="str">
        <f t="shared" si="89"/>
        <v>Personality &amp; Communication</v>
      </c>
      <c r="X444" t="str">
        <f t="shared" si="90"/>
        <v>Work on communication and personality development</v>
      </c>
    </row>
    <row r="445" spans="1:24" x14ac:dyDescent="0.3">
      <c r="A445">
        <v>40</v>
      </c>
      <c r="B445">
        <v>1</v>
      </c>
      <c r="C445">
        <v>3</v>
      </c>
      <c r="D445">
        <v>5</v>
      </c>
      <c r="E445">
        <v>1</v>
      </c>
      <c r="F445">
        <v>20.770913512118899</v>
      </c>
      <c r="G445">
        <v>92</v>
      </c>
      <c r="H445">
        <v>2</v>
      </c>
      <c r="I445">
        <v>59</v>
      </c>
      <c r="J445">
        <v>2</v>
      </c>
      <c r="K445">
        <v>0</v>
      </c>
      <c r="L445" t="str">
        <f t="shared" si="78"/>
        <v>C444</v>
      </c>
      <c r="M445" t="str">
        <f t="shared" si="79"/>
        <v>Female</v>
      </c>
      <c r="N445" t="str">
        <f t="shared" si="80"/>
        <v>Master's</v>
      </c>
      <c r="O445" t="str">
        <f t="shared" si="81"/>
        <v>Mid Level</v>
      </c>
      <c r="P445" t="str">
        <f t="shared" si="82"/>
        <v>Strong</v>
      </c>
      <c r="Q445" t="str">
        <f t="shared" si="83"/>
        <v>Beginner</v>
      </c>
      <c r="R445" t="str">
        <f t="shared" si="84"/>
        <v>Good</v>
      </c>
      <c r="S445" t="str">
        <f t="shared" si="85"/>
        <v>Not Hired</v>
      </c>
      <c r="T445">
        <f t="shared" si="86"/>
        <v>49</v>
      </c>
      <c r="U445" t="str">
        <f t="shared" si="87"/>
        <v>Needs Improvement</v>
      </c>
      <c r="V445" t="str">
        <f t="shared" si="88"/>
        <v>Interview</v>
      </c>
      <c r="W445" t="str">
        <f t="shared" si="89"/>
        <v>Technical Skills</v>
      </c>
      <c r="X445" t="str">
        <f t="shared" si="90"/>
        <v>Strengthen technical skills and practical knowledge</v>
      </c>
    </row>
    <row r="446" spans="1:24" x14ac:dyDescent="0.3">
      <c r="A446">
        <v>49</v>
      </c>
      <c r="B446">
        <v>0</v>
      </c>
      <c r="C446">
        <v>2</v>
      </c>
      <c r="D446">
        <v>0</v>
      </c>
      <c r="E446">
        <v>1</v>
      </c>
      <c r="F446">
        <v>35.359499823433801</v>
      </c>
      <c r="G446">
        <v>57</v>
      </c>
      <c r="H446">
        <v>35</v>
      </c>
      <c r="I446">
        <v>11</v>
      </c>
      <c r="J446">
        <v>2</v>
      </c>
      <c r="K446">
        <v>0</v>
      </c>
      <c r="L446" t="str">
        <f t="shared" si="78"/>
        <v>C445</v>
      </c>
      <c r="M446" t="str">
        <f t="shared" si="79"/>
        <v>Male</v>
      </c>
      <c r="N446" t="str">
        <f t="shared" si="80"/>
        <v>Bachelor's Type 2</v>
      </c>
      <c r="O446" t="str">
        <f t="shared" si="81"/>
        <v>Entry Level</v>
      </c>
      <c r="P446" t="str">
        <f t="shared" si="82"/>
        <v>Average</v>
      </c>
      <c r="Q446" t="str">
        <f t="shared" si="83"/>
        <v>Beginner</v>
      </c>
      <c r="R446" t="str">
        <f t="shared" si="84"/>
        <v>Needs Improvement</v>
      </c>
      <c r="S446" t="str">
        <f t="shared" si="85"/>
        <v>Not Hired</v>
      </c>
      <c r="T446">
        <f t="shared" si="86"/>
        <v>32</v>
      </c>
      <c r="U446" t="str">
        <f t="shared" si="87"/>
        <v>Needs Improvement</v>
      </c>
      <c r="V446" t="str">
        <f t="shared" si="88"/>
        <v>Interview</v>
      </c>
      <c r="W446" t="str">
        <f t="shared" si="89"/>
        <v>Personality &amp; Communication</v>
      </c>
      <c r="X446" t="str">
        <f t="shared" si="90"/>
        <v>Work on communication and personality development</v>
      </c>
    </row>
    <row r="447" spans="1:24" x14ac:dyDescent="0.3">
      <c r="A447">
        <v>20</v>
      </c>
      <c r="B447">
        <v>0</v>
      </c>
      <c r="C447">
        <v>2</v>
      </c>
      <c r="D447">
        <v>1</v>
      </c>
      <c r="E447">
        <v>4</v>
      </c>
      <c r="F447">
        <v>41.739683376182903</v>
      </c>
      <c r="G447">
        <v>13</v>
      </c>
      <c r="H447">
        <v>42</v>
      </c>
      <c r="I447">
        <v>20</v>
      </c>
      <c r="J447">
        <v>2</v>
      </c>
      <c r="K447">
        <v>0</v>
      </c>
      <c r="L447" t="str">
        <f t="shared" si="78"/>
        <v>C446</v>
      </c>
      <c r="M447" t="str">
        <f t="shared" si="79"/>
        <v>Male</v>
      </c>
      <c r="N447" t="str">
        <f t="shared" si="80"/>
        <v>Bachelor's Type 2</v>
      </c>
      <c r="O447" t="str">
        <f t="shared" si="81"/>
        <v>Entry Level</v>
      </c>
      <c r="P447" t="str">
        <f t="shared" si="82"/>
        <v>Low</v>
      </c>
      <c r="Q447" t="str">
        <f t="shared" si="83"/>
        <v>Beginner</v>
      </c>
      <c r="R447" t="str">
        <f t="shared" si="84"/>
        <v>Needs Improvement</v>
      </c>
      <c r="S447" t="str">
        <f t="shared" si="85"/>
        <v>Not Hired</v>
      </c>
      <c r="T447">
        <f t="shared" si="86"/>
        <v>24</v>
      </c>
      <c r="U447" t="str">
        <f t="shared" si="87"/>
        <v>Needs Improvement</v>
      </c>
      <c r="V447" t="str">
        <f t="shared" si="88"/>
        <v>Technical Skills</v>
      </c>
      <c r="W447" t="str">
        <f t="shared" si="89"/>
        <v>Interview Preparation</v>
      </c>
      <c r="X447" t="str">
        <f t="shared" si="90"/>
        <v>Improve interview preparation and communication</v>
      </c>
    </row>
    <row r="448" spans="1:24" x14ac:dyDescent="0.3">
      <c r="A448">
        <v>47</v>
      </c>
      <c r="B448">
        <v>0</v>
      </c>
      <c r="C448">
        <v>2</v>
      </c>
      <c r="D448">
        <v>12</v>
      </c>
      <c r="E448">
        <v>2</v>
      </c>
      <c r="F448">
        <v>21.869581200304999</v>
      </c>
      <c r="G448">
        <v>35</v>
      </c>
      <c r="H448">
        <v>14</v>
      </c>
      <c r="I448">
        <v>10</v>
      </c>
      <c r="J448">
        <v>3</v>
      </c>
      <c r="K448">
        <v>0</v>
      </c>
      <c r="L448" t="str">
        <f t="shared" si="78"/>
        <v>C447</v>
      </c>
      <c r="M448" t="str">
        <f t="shared" si="79"/>
        <v>Male</v>
      </c>
      <c r="N448" t="str">
        <f t="shared" si="80"/>
        <v>Bachelor's Type 2</v>
      </c>
      <c r="O448" t="str">
        <f t="shared" si="81"/>
        <v>Senior Level</v>
      </c>
      <c r="P448" t="str">
        <f t="shared" si="82"/>
        <v>Low</v>
      </c>
      <c r="Q448" t="str">
        <f t="shared" si="83"/>
        <v>Beginner</v>
      </c>
      <c r="R448" t="str">
        <f t="shared" si="84"/>
        <v>Needs Improvement</v>
      </c>
      <c r="S448" t="str">
        <f t="shared" si="85"/>
        <v>Not Hired</v>
      </c>
      <c r="T448">
        <f t="shared" si="86"/>
        <v>31</v>
      </c>
      <c r="U448" t="str">
        <f t="shared" si="87"/>
        <v>Needs Improvement</v>
      </c>
      <c r="V448" t="str">
        <f t="shared" si="88"/>
        <v>Interview</v>
      </c>
      <c r="W448" t="str">
        <f t="shared" si="89"/>
        <v>Personality &amp; Communication</v>
      </c>
      <c r="X448" t="str">
        <f t="shared" si="90"/>
        <v>Work on communication and personality development</v>
      </c>
    </row>
    <row r="449" spans="1:24" x14ac:dyDescent="0.3">
      <c r="A449">
        <v>34</v>
      </c>
      <c r="B449">
        <v>0</v>
      </c>
      <c r="C449">
        <v>4</v>
      </c>
      <c r="D449">
        <v>15</v>
      </c>
      <c r="E449">
        <v>5</v>
      </c>
      <c r="F449">
        <v>16.483443520064601</v>
      </c>
      <c r="G449">
        <v>35</v>
      </c>
      <c r="H449">
        <v>96</v>
      </c>
      <c r="I449">
        <v>43</v>
      </c>
      <c r="J449">
        <v>1</v>
      </c>
      <c r="K449">
        <v>1</v>
      </c>
      <c r="L449" t="str">
        <f t="shared" si="78"/>
        <v>C448</v>
      </c>
      <c r="M449" t="str">
        <f t="shared" si="79"/>
        <v>Male</v>
      </c>
      <c r="N449" t="str">
        <f t="shared" si="80"/>
        <v>PhD</v>
      </c>
      <c r="O449" t="str">
        <f t="shared" si="81"/>
        <v>Senior Level</v>
      </c>
      <c r="P449" t="str">
        <f t="shared" si="82"/>
        <v>Low</v>
      </c>
      <c r="Q449" t="str">
        <f t="shared" si="83"/>
        <v>Advanced</v>
      </c>
      <c r="R449" t="str">
        <f t="shared" si="84"/>
        <v>Needs Improvement</v>
      </c>
      <c r="S449" t="str">
        <f t="shared" si="85"/>
        <v>Hired</v>
      </c>
      <c r="T449">
        <f t="shared" si="86"/>
        <v>68</v>
      </c>
      <c r="U449" t="str">
        <f t="shared" si="87"/>
        <v>Developing</v>
      </c>
      <c r="V449" t="str">
        <f t="shared" si="88"/>
        <v>Technical Skills</v>
      </c>
      <c r="W449" t="str">
        <f t="shared" si="89"/>
        <v>Interview Preparation</v>
      </c>
      <c r="X449" t="str">
        <f t="shared" si="90"/>
        <v>Improve interview preparation and communication</v>
      </c>
    </row>
    <row r="450" spans="1:24" x14ac:dyDescent="0.3">
      <c r="A450">
        <v>20</v>
      </c>
      <c r="B450">
        <v>1</v>
      </c>
      <c r="C450">
        <v>3</v>
      </c>
      <c r="D450">
        <v>14</v>
      </c>
      <c r="E450">
        <v>5</v>
      </c>
      <c r="F450">
        <v>47.891289999253303</v>
      </c>
      <c r="G450">
        <v>78</v>
      </c>
      <c r="H450">
        <v>40</v>
      </c>
      <c r="I450">
        <v>57</v>
      </c>
      <c r="J450">
        <v>2</v>
      </c>
      <c r="K450">
        <v>0</v>
      </c>
      <c r="L450" t="str">
        <f t="shared" si="78"/>
        <v>C449</v>
      </c>
      <c r="M450" t="str">
        <f t="shared" si="79"/>
        <v>Female</v>
      </c>
      <c r="N450" t="str">
        <f t="shared" si="80"/>
        <v>Master's</v>
      </c>
      <c r="O450" t="str">
        <f t="shared" si="81"/>
        <v>Senior Level</v>
      </c>
      <c r="P450" t="str">
        <f t="shared" si="82"/>
        <v>Strong</v>
      </c>
      <c r="Q450" t="str">
        <f t="shared" si="83"/>
        <v>Beginner</v>
      </c>
      <c r="R450" t="str">
        <f t="shared" si="84"/>
        <v>Good</v>
      </c>
      <c r="S450" t="str">
        <f t="shared" si="85"/>
        <v>Not Hired</v>
      </c>
      <c r="T450">
        <f t="shared" si="86"/>
        <v>65</v>
      </c>
      <c r="U450" t="str">
        <f t="shared" si="87"/>
        <v>Developing</v>
      </c>
      <c r="V450" t="str">
        <f t="shared" si="88"/>
        <v>Interview</v>
      </c>
      <c r="W450" t="str">
        <f t="shared" si="89"/>
        <v>Technical Skills</v>
      </c>
      <c r="X450" t="str">
        <f t="shared" si="90"/>
        <v>Strengthen technical skills and practical knowledge</v>
      </c>
    </row>
    <row r="451" spans="1:24" x14ac:dyDescent="0.3">
      <c r="A451">
        <v>24</v>
      </c>
      <c r="B451">
        <v>1</v>
      </c>
      <c r="C451">
        <v>1</v>
      </c>
      <c r="D451">
        <v>12</v>
      </c>
      <c r="E451">
        <v>3</v>
      </c>
      <c r="F451">
        <v>34.857248333583399</v>
      </c>
      <c r="G451">
        <v>7</v>
      </c>
      <c r="H451">
        <v>89</v>
      </c>
      <c r="I451">
        <v>43</v>
      </c>
      <c r="J451">
        <v>1</v>
      </c>
      <c r="K451">
        <v>1</v>
      </c>
      <c r="L451" t="str">
        <f t="shared" ref="L451:L514" si="91">"C"&amp;TEXT(ROW()-1,"000")</f>
        <v>C450</v>
      </c>
      <c r="M451" t="str">
        <f t="shared" ref="M451:M514" si="92">IF(B451=0,"Male","Female")</f>
        <v>Female</v>
      </c>
      <c r="N451" t="str">
        <f t="shared" ref="N451:N514" si="93">IF(C451=1,"Bachelor's Type 1",IF(C451=2,"Bachelor's Type 2",IF(C451=3,"Master's","PhD")))</f>
        <v>Bachelor's Type 1</v>
      </c>
      <c r="O451" t="str">
        <f t="shared" ref="O451:O514" si="94">IF(D451&lt;=2,"Entry Level",IF(D451&lt;=6,"Mid Level","Senior Level"))</f>
        <v>Senior Level</v>
      </c>
      <c r="P451" t="str">
        <f t="shared" ref="P451:P514" si="95">IF(G451&lt;50,"Low",IF(G451&lt;75,"Average","Strong"))</f>
        <v>Low</v>
      </c>
      <c r="Q451" t="str">
        <f t="shared" ref="Q451:Q514" si="96">IF(H451&lt;50,"Beginner",IF(H451&lt;75,"Intermediate","Advanced"))</f>
        <v>Advanced</v>
      </c>
      <c r="R451" t="str">
        <f t="shared" ref="R451:R514" si="97">IF(I451&lt;50,"Needs Improvement",IF(I451&lt;75,"Good","Strong"))</f>
        <v>Needs Improvement</v>
      </c>
      <c r="S451" t="str">
        <f t="shared" ref="S451:S514" si="98">IF(K451=1,"Hired","Not Hired")</f>
        <v>Hired</v>
      </c>
      <c r="T451">
        <f t="shared" ref="T451:T514" si="99">ROUND((G451*30%)+(H451*30%)+(I451*20%)+((D451/15)*100*15%)+(IF(C451&lt;=2,50,IF(C451=3,75,100))*5%),0)</f>
        <v>52</v>
      </c>
      <c r="U451" t="str">
        <f t="shared" ref="U451:U514" si="100">IF(T451&lt;50,"Needs Improvement",IF(T451&lt;75,"Developing","Job Ready"))</f>
        <v>Developing</v>
      </c>
      <c r="V451" t="str">
        <f t="shared" ref="V451:V514" si="101">IF(AND(G451&gt;=H451,G451&gt;=I451),"Interview",IF(H451&gt;=I451,"Technical Skills","Personality"))</f>
        <v>Technical Skills</v>
      </c>
      <c r="W451" t="str">
        <f t="shared" ref="W451:W514" si="102">IF(AND(G451&lt;=H451,G451&lt;=I451),"Interview Preparation",IF(H451&lt;=I451,"Technical Skills","Personality &amp; Communication"))</f>
        <v>Interview Preparation</v>
      </c>
      <c r="X451" t="str">
        <f t="shared" ref="X451:X514" si="103">IF(W451="Interview Preparation","Improve interview preparation and communication",IF(W451="Technical Skills","Strengthen technical skills and practical knowledge","Work on communication and personality development"))</f>
        <v>Improve interview preparation and communication</v>
      </c>
    </row>
    <row r="452" spans="1:24" x14ac:dyDescent="0.3">
      <c r="A452">
        <v>47</v>
      </c>
      <c r="B452">
        <v>1</v>
      </c>
      <c r="C452">
        <v>3</v>
      </c>
      <c r="D452">
        <v>15</v>
      </c>
      <c r="E452">
        <v>4</v>
      </c>
      <c r="F452">
        <v>6.9510652246570501</v>
      </c>
      <c r="G452">
        <v>25</v>
      </c>
      <c r="H452">
        <v>79</v>
      </c>
      <c r="I452">
        <v>77</v>
      </c>
      <c r="J452">
        <v>2</v>
      </c>
      <c r="K452">
        <v>1</v>
      </c>
      <c r="L452" t="str">
        <f t="shared" si="91"/>
        <v>C451</v>
      </c>
      <c r="M452" t="str">
        <f t="shared" si="92"/>
        <v>Female</v>
      </c>
      <c r="N452" t="str">
        <f t="shared" si="93"/>
        <v>Master's</v>
      </c>
      <c r="O452" t="str">
        <f t="shared" si="94"/>
        <v>Senior Level</v>
      </c>
      <c r="P452" t="str">
        <f t="shared" si="95"/>
        <v>Low</v>
      </c>
      <c r="Q452" t="str">
        <f t="shared" si="96"/>
        <v>Advanced</v>
      </c>
      <c r="R452" t="str">
        <f t="shared" si="97"/>
        <v>Strong</v>
      </c>
      <c r="S452" t="str">
        <f t="shared" si="98"/>
        <v>Hired</v>
      </c>
      <c r="T452">
        <f t="shared" si="99"/>
        <v>65</v>
      </c>
      <c r="U452" t="str">
        <f t="shared" si="100"/>
        <v>Developing</v>
      </c>
      <c r="V452" t="str">
        <f t="shared" si="101"/>
        <v>Technical Skills</v>
      </c>
      <c r="W452" t="str">
        <f t="shared" si="102"/>
        <v>Interview Preparation</v>
      </c>
      <c r="X452" t="str">
        <f t="shared" si="103"/>
        <v>Improve interview preparation and communication</v>
      </c>
    </row>
    <row r="453" spans="1:24" x14ac:dyDescent="0.3">
      <c r="A453">
        <v>48</v>
      </c>
      <c r="B453">
        <v>1</v>
      </c>
      <c r="C453">
        <v>2</v>
      </c>
      <c r="D453">
        <v>0</v>
      </c>
      <c r="E453">
        <v>3</v>
      </c>
      <c r="F453">
        <v>4.4463939067324301</v>
      </c>
      <c r="G453">
        <v>35</v>
      </c>
      <c r="H453">
        <v>35</v>
      </c>
      <c r="I453">
        <v>97</v>
      </c>
      <c r="J453">
        <v>3</v>
      </c>
      <c r="K453">
        <v>0</v>
      </c>
      <c r="L453" t="str">
        <f t="shared" si="91"/>
        <v>C452</v>
      </c>
      <c r="M453" t="str">
        <f t="shared" si="92"/>
        <v>Female</v>
      </c>
      <c r="N453" t="str">
        <f t="shared" si="93"/>
        <v>Bachelor's Type 2</v>
      </c>
      <c r="O453" t="str">
        <f t="shared" si="94"/>
        <v>Entry Level</v>
      </c>
      <c r="P453" t="str">
        <f t="shared" si="95"/>
        <v>Low</v>
      </c>
      <c r="Q453" t="str">
        <f t="shared" si="96"/>
        <v>Beginner</v>
      </c>
      <c r="R453" t="str">
        <f t="shared" si="97"/>
        <v>Strong</v>
      </c>
      <c r="S453" t="str">
        <f t="shared" si="98"/>
        <v>Not Hired</v>
      </c>
      <c r="T453">
        <f t="shared" si="99"/>
        <v>43</v>
      </c>
      <c r="U453" t="str">
        <f t="shared" si="100"/>
        <v>Needs Improvement</v>
      </c>
      <c r="V453" t="str">
        <f t="shared" si="101"/>
        <v>Personality</v>
      </c>
      <c r="W453" t="str">
        <f t="shared" si="102"/>
        <v>Interview Preparation</v>
      </c>
      <c r="X453" t="str">
        <f t="shared" si="103"/>
        <v>Improve interview preparation and communication</v>
      </c>
    </row>
    <row r="454" spans="1:24" x14ac:dyDescent="0.3">
      <c r="A454">
        <v>35</v>
      </c>
      <c r="B454">
        <v>0</v>
      </c>
      <c r="C454">
        <v>2</v>
      </c>
      <c r="D454">
        <v>4</v>
      </c>
      <c r="E454">
        <v>3</v>
      </c>
      <c r="F454">
        <v>25.177492539518401</v>
      </c>
      <c r="G454">
        <v>47</v>
      </c>
      <c r="H454">
        <v>96</v>
      </c>
      <c r="I454">
        <v>33</v>
      </c>
      <c r="J454">
        <v>1</v>
      </c>
      <c r="K454">
        <v>0</v>
      </c>
      <c r="L454" t="str">
        <f t="shared" si="91"/>
        <v>C453</v>
      </c>
      <c r="M454" t="str">
        <f t="shared" si="92"/>
        <v>Male</v>
      </c>
      <c r="N454" t="str">
        <f t="shared" si="93"/>
        <v>Bachelor's Type 2</v>
      </c>
      <c r="O454" t="str">
        <f t="shared" si="94"/>
        <v>Mid Level</v>
      </c>
      <c r="P454" t="str">
        <f t="shared" si="95"/>
        <v>Low</v>
      </c>
      <c r="Q454" t="str">
        <f t="shared" si="96"/>
        <v>Advanced</v>
      </c>
      <c r="R454" t="str">
        <f t="shared" si="97"/>
        <v>Needs Improvement</v>
      </c>
      <c r="S454" t="str">
        <f t="shared" si="98"/>
        <v>Not Hired</v>
      </c>
      <c r="T454">
        <f t="shared" si="99"/>
        <v>56</v>
      </c>
      <c r="U454" t="str">
        <f t="shared" si="100"/>
        <v>Developing</v>
      </c>
      <c r="V454" t="str">
        <f t="shared" si="101"/>
        <v>Technical Skills</v>
      </c>
      <c r="W454" t="str">
        <f t="shared" si="102"/>
        <v>Personality &amp; Communication</v>
      </c>
      <c r="X454" t="str">
        <f t="shared" si="103"/>
        <v>Work on communication and personality development</v>
      </c>
    </row>
    <row r="455" spans="1:24" x14ac:dyDescent="0.3">
      <c r="A455">
        <v>38</v>
      </c>
      <c r="B455">
        <v>1</v>
      </c>
      <c r="C455">
        <v>2</v>
      </c>
      <c r="D455">
        <v>15</v>
      </c>
      <c r="E455">
        <v>1</v>
      </c>
      <c r="F455">
        <v>12.004503302363601</v>
      </c>
      <c r="G455">
        <v>84</v>
      </c>
      <c r="H455">
        <v>83</v>
      </c>
      <c r="I455">
        <v>24</v>
      </c>
      <c r="J455">
        <v>1</v>
      </c>
      <c r="K455">
        <v>1</v>
      </c>
      <c r="L455" t="str">
        <f t="shared" si="91"/>
        <v>C454</v>
      </c>
      <c r="M455" t="str">
        <f t="shared" si="92"/>
        <v>Female</v>
      </c>
      <c r="N455" t="str">
        <f t="shared" si="93"/>
        <v>Bachelor's Type 2</v>
      </c>
      <c r="O455" t="str">
        <f t="shared" si="94"/>
        <v>Senior Level</v>
      </c>
      <c r="P455" t="str">
        <f t="shared" si="95"/>
        <v>Strong</v>
      </c>
      <c r="Q455" t="str">
        <f t="shared" si="96"/>
        <v>Advanced</v>
      </c>
      <c r="R455" t="str">
        <f t="shared" si="97"/>
        <v>Needs Improvement</v>
      </c>
      <c r="S455" t="str">
        <f t="shared" si="98"/>
        <v>Hired</v>
      </c>
      <c r="T455">
        <f t="shared" si="99"/>
        <v>72</v>
      </c>
      <c r="U455" t="str">
        <f t="shared" si="100"/>
        <v>Developing</v>
      </c>
      <c r="V455" t="str">
        <f t="shared" si="101"/>
        <v>Interview</v>
      </c>
      <c r="W455" t="str">
        <f t="shared" si="102"/>
        <v>Personality &amp; Communication</v>
      </c>
      <c r="X455" t="str">
        <f t="shared" si="103"/>
        <v>Work on communication and personality development</v>
      </c>
    </row>
    <row r="456" spans="1:24" x14ac:dyDescent="0.3">
      <c r="A456">
        <v>23</v>
      </c>
      <c r="B456">
        <v>0</v>
      </c>
      <c r="C456">
        <v>2</v>
      </c>
      <c r="D456">
        <v>12</v>
      </c>
      <c r="E456">
        <v>5</v>
      </c>
      <c r="F456">
        <v>13.6992376688126</v>
      </c>
      <c r="G456">
        <v>27</v>
      </c>
      <c r="H456">
        <v>76</v>
      </c>
      <c r="I456">
        <v>3</v>
      </c>
      <c r="J456">
        <v>2</v>
      </c>
      <c r="K456">
        <v>0</v>
      </c>
      <c r="L456" t="str">
        <f t="shared" si="91"/>
        <v>C455</v>
      </c>
      <c r="M456" t="str">
        <f t="shared" si="92"/>
        <v>Male</v>
      </c>
      <c r="N456" t="str">
        <f t="shared" si="93"/>
        <v>Bachelor's Type 2</v>
      </c>
      <c r="O456" t="str">
        <f t="shared" si="94"/>
        <v>Senior Level</v>
      </c>
      <c r="P456" t="str">
        <f t="shared" si="95"/>
        <v>Low</v>
      </c>
      <c r="Q456" t="str">
        <f t="shared" si="96"/>
        <v>Advanced</v>
      </c>
      <c r="R456" t="str">
        <f t="shared" si="97"/>
        <v>Needs Improvement</v>
      </c>
      <c r="S456" t="str">
        <f t="shared" si="98"/>
        <v>Not Hired</v>
      </c>
      <c r="T456">
        <f t="shared" si="99"/>
        <v>46</v>
      </c>
      <c r="U456" t="str">
        <f t="shared" si="100"/>
        <v>Needs Improvement</v>
      </c>
      <c r="V456" t="str">
        <f t="shared" si="101"/>
        <v>Technical Skills</v>
      </c>
      <c r="W456" t="str">
        <f t="shared" si="102"/>
        <v>Personality &amp; Communication</v>
      </c>
      <c r="X456" t="str">
        <f t="shared" si="103"/>
        <v>Work on communication and personality development</v>
      </c>
    </row>
    <row r="457" spans="1:24" x14ac:dyDescent="0.3">
      <c r="A457">
        <v>22</v>
      </c>
      <c r="B457">
        <v>0</v>
      </c>
      <c r="C457">
        <v>2</v>
      </c>
      <c r="D457">
        <v>12</v>
      </c>
      <c r="E457">
        <v>3</v>
      </c>
      <c r="F457">
        <v>44.884608941392401</v>
      </c>
      <c r="G457">
        <v>67</v>
      </c>
      <c r="H457">
        <v>32</v>
      </c>
      <c r="I457">
        <v>63</v>
      </c>
      <c r="J457">
        <v>2</v>
      </c>
      <c r="K457">
        <v>0</v>
      </c>
      <c r="L457" t="str">
        <f t="shared" si="91"/>
        <v>C456</v>
      </c>
      <c r="M457" t="str">
        <f t="shared" si="92"/>
        <v>Male</v>
      </c>
      <c r="N457" t="str">
        <f t="shared" si="93"/>
        <v>Bachelor's Type 2</v>
      </c>
      <c r="O457" t="str">
        <f t="shared" si="94"/>
        <v>Senior Level</v>
      </c>
      <c r="P457" t="str">
        <f t="shared" si="95"/>
        <v>Average</v>
      </c>
      <c r="Q457" t="str">
        <f t="shared" si="96"/>
        <v>Beginner</v>
      </c>
      <c r="R457" t="str">
        <f t="shared" si="97"/>
        <v>Good</v>
      </c>
      <c r="S457" t="str">
        <f t="shared" si="98"/>
        <v>Not Hired</v>
      </c>
      <c r="T457">
        <f t="shared" si="99"/>
        <v>57</v>
      </c>
      <c r="U457" t="str">
        <f t="shared" si="100"/>
        <v>Developing</v>
      </c>
      <c r="V457" t="str">
        <f t="shared" si="101"/>
        <v>Interview</v>
      </c>
      <c r="W457" t="str">
        <f t="shared" si="102"/>
        <v>Technical Skills</v>
      </c>
      <c r="X457" t="str">
        <f t="shared" si="103"/>
        <v>Strengthen technical skills and practical knowledge</v>
      </c>
    </row>
    <row r="458" spans="1:24" x14ac:dyDescent="0.3">
      <c r="A458">
        <v>36</v>
      </c>
      <c r="B458">
        <v>0</v>
      </c>
      <c r="C458">
        <v>4</v>
      </c>
      <c r="D458">
        <v>6</v>
      </c>
      <c r="E458">
        <v>1</v>
      </c>
      <c r="F458">
        <v>5.47830121581553</v>
      </c>
      <c r="G458">
        <v>61</v>
      </c>
      <c r="H458">
        <v>4</v>
      </c>
      <c r="I458">
        <v>89</v>
      </c>
      <c r="J458">
        <v>2</v>
      </c>
      <c r="K458">
        <v>0</v>
      </c>
      <c r="L458" t="str">
        <f t="shared" si="91"/>
        <v>C457</v>
      </c>
      <c r="M458" t="str">
        <f t="shared" si="92"/>
        <v>Male</v>
      </c>
      <c r="N458" t="str">
        <f t="shared" si="93"/>
        <v>PhD</v>
      </c>
      <c r="O458" t="str">
        <f t="shared" si="94"/>
        <v>Mid Level</v>
      </c>
      <c r="P458" t="str">
        <f t="shared" si="95"/>
        <v>Average</v>
      </c>
      <c r="Q458" t="str">
        <f t="shared" si="96"/>
        <v>Beginner</v>
      </c>
      <c r="R458" t="str">
        <f t="shared" si="97"/>
        <v>Strong</v>
      </c>
      <c r="S458" t="str">
        <f t="shared" si="98"/>
        <v>Not Hired</v>
      </c>
      <c r="T458">
        <f t="shared" si="99"/>
        <v>48</v>
      </c>
      <c r="U458" t="str">
        <f t="shared" si="100"/>
        <v>Needs Improvement</v>
      </c>
      <c r="V458" t="str">
        <f t="shared" si="101"/>
        <v>Personality</v>
      </c>
      <c r="W458" t="str">
        <f t="shared" si="102"/>
        <v>Technical Skills</v>
      </c>
      <c r="X458" t="str">
        <f t="shared" si="103"/>
        <v>Strengthen technical skills and practical knowledge</v>
      </c>
    </row>
    <row r="459" spans="1:24" x14ac:dyDescent="0.3">
      <c r="A459">
        <v>36</v>
      </c>
      <c r="B459">
        <v>0</v>
      </c>
      <c r="C459">
        <v>3</v>
      </c>
      <c r="D459">
        <v>15</v>
      </c>
      <c r="E459">
        <v>4</v>
      </c>
      <c r="F459">
        <v>36.768205761444399</v>
      </c>
      <c r="G459">
        <v>79</v>
      </c>
      <c r="H459">
        <v>100</v>
      </c>
      <c r="I459">
        <v>15</v>
      </c>
      <c r="J459">
        <v>1</v>
      </c>
      <c r="K459">
        <v>1</v>
      </c>
      <c r="L459" t="str">
        <f t="shared" si="91"/>
        <v>C458</v>
      </c>
      <c r="M459" t="str">
        <f t="shared" si="92"/>
        <v>Male</v>
      </c>
      <c r="N459" t="str">
        <f t="shared" si="93"/>
        <v>Master's</v>
      </c>
      <c r="O459" t="str">
        <f t="shared" si="94"/>
        <v>Senior Level</v>
      </c>
      <c r="P459" t="str">
        <f t="shared" si="95"/>
        <v>Strong</v>
      </c>
      <c r="Q459" t="str">
        <f t="shared" si="96"/>
        <v>Advanced</v>
      </c>
      <c r="R459" t="str">
        <f t="shared" si="97"/>
        <v>Needs Improvement</v>
      </c>
      <c r="S459" t="str">
        <f t="shared" si="98"/>
        <v>Hired</v>
      </c>
      <c r="T459">
        <f t="shared" si="99"/>
        <v>75</v>
      </c>
      <c r="U459" t="str">
        <f t="shared" si="100"/>
        <v>Job Ready</v>
      </c>
      <c r="V459" t="str">
        <f t="shared" si="101"/>
        <v>Technical Skills</v>
      </c>
      <c r="W459" t="str">
        <f t="shared" si="102"/>
        <v>Personality &amp; Communication</v>
      </c>
      <c r="X459" t="str">
        <f t="shared" si="103"/>
        <v>Work on communication and personality development</v>
      </c>
    </row>
    <row r="460" spans="1:24" x14ac:dyDescent="0.3">
      <c r="A460">
        <v>31</v>
      </c>
      <c r="B460">
        <v>0</v>
      </c>
      <c r="C460">
        <v>2</v>
      </c>
      <c r="D460">
        <v>7</v>
      </c>
      <c r="E460">
        <v>3</v>
      </c>
      <c r="F460">
        <v>14.557112669029401</v>
      </c>
      <c r="G460">
        <v>85</v>
      </c>
      <c r="H460">
        <v>77</v>
      </c>
      <c r="I460">
        <v>9</v>
      </c>
      <c r="J460">
        <v>1</v>
      </c>
      <c r="K460">
        <v>1</v>
      </c>
      <c r="L460" t="str">
        <f t="shared" si="91"/>
        <v>C459</v>
      </c>
      <c r="M460" t="str">
        <f t="shared" si="92"/>
        <v>Male</v>
      </c>
      <c r="N460" t="str">
        <f t="shared" si="93"/>
        <v>Bachelor's Type 2</v>
      </c>
      <c r="O460" t="str">
        <f t="shared" si="94"/>
        <v>Senior Level</v>
      </c>
      <c r="P460" t="str">
        <f t="shared" si="95"/>
        <v>Strong</v>
      </c>
      <c r="Q460" t="str">
        <f t="shared" si="96"/>
        <v>Advanced</v>
      </c>
      <c r="R460" t="str">
        <f t="shared" si="97"/>
        <v>Needs Improvement</v>
      </c>
      <c r="S460" t="str">
        <f t="shared" si="98"/>
        <v>Hired</v>
      </c>
      <c r="T460">
        <f t="shared" si="99"/>
        <v>60</v>
      </c>
      <c r="U460" t="str">
        <f t="shared" si="100"/>
        <v>Developing</v>
      </c>
      <c r="V460" t="str">
        <f t="shared" si="101"/>
        <v>Interview</v>
      </c>
      <c r="W460" t="str">
        <f t="shared" si="102"/>
        <v>Personality &amp; Communication</v>
      </c>
      <c r="X460" t="str">
        <f t="shared" si="103"/>
        <v>Work on communication and personality development</v>
      </c>
    </row>
    <row r="461" spans="1:24" x14ac:dyDescent="0.3">
      <c r="A461">
        <v>47</v>
      </c>
      <c r="B461">
        <v>1</v>
      </c>
      <c r="C461">
        <v>1</v>
      </c>
      <c r="D461">
        <v>9</v>
      </c>
      <c r="E461">
        <v>5</v>
      </c>
      <c r="F461">
        <v>39.0164110702068</v>
      </c>
      <c r="G461">
        <v>75</v>
      </c>
      <c r="H461">
        <v>90</v>
      </c>
      <c r="I461">
        <v>65</v>
      </c>
      <c r="J461">
        <v>2</v>
      </c>
      <c r="K461">
        <v>1</v>
      </c>
      <c r="L461" t="str">
        <f t="shared" si="91"/>
        <v>C460</v>
      </c>
      <c r="M461" t="str">
        <f t="shared" si="92"/>
        <v>Female</v>
      </c>
      <c r="N461" t="str">
        <f t="shared" si="93"/>
        <v>Bachelor's Type 1</v>
      </c>
      <c r="O461" t="str">
        <f t="shared" si="94"/>
        <v>Senior Level</v>
      </c>
      <c r="P461" t="str">
        <f t="shared" si="95"/>
        <v>Strong</v>
      </c>
      <c r="Q461" t="str">
        <f t="shared" si="96"/>
        <v>Advanced</v>
      </c>
      <c r="R461" t="str">
        <f t="shared" si="97"/>
        <v>Good</v>
      </c>
      <c r="S461" t="str">
        <f t="shared" si="98"/>
        <v>Hired</v>
      </c>
      <c r="T461">
        <f t="shared" si="99"/>
        <v>74</v>
      </c>
      <c r="U461" t="str">
        <f t="shared" si="100"/>
        <v>Developing</v>
      </c>
      <c r="V461" t="str">
        <f t="shared" si="101"/>
        <v>Technical Skills</v>
      </c>
      <c r="W461" t="str">
        <f t="shared" si="102"/>
        <v>Personality &amp; Communication</v>
      </c>
      <c r="X461" t="str">
        <f t="shared" si="103"/>
        <v>Work on communication and personality development</v>
      </c>
    </row>
    <row r="462" spans="1:24" x14ac:dyDescent="0.3">
      <c r="A462">
        <v>49</v>
      </c>
      <c r="B462">
        <v>1</v>
      </c>
      <c r="C462">
        <v>4</v>
      </c>
      <c r="D462">
        <v>0</v>
      </c>
      <c r="E462">
        <v>3</v>
      </c>
      <c r="F462">
        <v>37.120569223177199</v>
      </c>
      <c r="G462">
        <v>79</v>
      </c>
      <c r="H462">
        <v>86</v>
      </c>
      <c r="I462">
        <v>34</v>
      </c>
      <c r="J462">
        <v>1</v>
      </c>
      <c r="K462">
        <v>1</v>
      </c>
      <c r="L462" t="str">
        <f t="shared" si="91"/>
        <v>C461</v>
      </c>
      <c r="M462" t="str">
        <f t="shared" si="92"/>
        <v>Female</v>
      </c>
      <c r="N462" t="str">
        <f t="shared" si="93"/>
        <v>PhD</v>
      </c>
      <c r="O462" t="str">
        <f t="shared" si="94"/>
        <v>Entry Level</v>
      </c>
      <c r="P462" t="str">
        <f t="shared" si="95"/>
        <v>Strong</v>
      </c>
      <c r="Q462" t="str">
        <f t="shared" si="96"/>
        <v>Advanced</v>
      </c>
      <c r="R462" t="str">
        <f t="shared" si="97"/>
        <v>Needs Improvement</v>
      </c>
      <c r="S462" t="str">
        <f t="shared" si="98"/>
        <v>Hired</v>
      </c>
      <c r="T462">
        <f t="shared" si="99"/>
        <v>61</v>
      </c>
      <c r="U462" t="str">
        <f t="shared" si="100"/>
        <v>Developing</v>
      </c>
      <c r="V462" t="str">
        <f t="shared" si="101"/>
        <v>Technical Skills</v>
      </c>
      <c r="W462" t="str">
        <f t="shared" si="102"/>
        <v>Personality &amp; Communication</v>
      </c>
      <c r="X462" t="str">
        <f t="shared" si="103"/>
        <v>Work on communication and personality development</v>
      </c>
    </row>
    <row r="463" spans="1:24" x14ac:dyDescent="0.3">
      <c r="A463">
        <v>48</v>
      </c>
      <c r="B463">
        <v>1</v>
      </c>
      <c r="C463">
        <v>4</v>
      </c>
      <c r="D463">
        <v>6</v>
      </c>
      <c r="E463">
        <v>4</v>
      </c>
      <c r="F463">
        <v>1.3695950722146499</v>
      </c>
      <c r="G463">
        <v>50</v>
      </c>
      <c r="H463">
        <v>13</v>
      </c>
      <c r="I463">
        <v>82</v>
      </c>
      <c r="J463">
        <v>3</v>
      </c>
      <c r="K463">
        <v>0</v>
      </c>
      <c r="L463" t="str">
        <f t="shared" si="91"/>
        <v>C462</v>
      </c>
      <c r="M463" t="str">
        <f t="shared" si="92"/>
        <v>Female</v>
      </c>
      <c r="N463" t="str">
        <f t="shared" si="93"/>
        <v>PhD</v>
      </c>
      <c r="O463" t="str">
        <f t="shared" si="94"/>
        <v>Mid Level</v>
      </c>
      <c r="P463" t="str">
        <f t="shared" si="95"/>
        <v>Average</v>
      </c>
      <c r="Q463" t="str">
        <f t="shared" si="96"/>
        <v>Beginner</v>
      </c>
      <c r="R463" t="str">
        <f t="shared" si="97"/>
        <v>Strong</v>
      </c>
      <c r="S463" t="str">
        <f t="shared" si="98"/>
        <v>Not Hired</v>
      </c>
      <c r="T463">
        <f t="shared" si="99"/>
        <v>46</v>
      </c>
      <c r="U463" t="str">
        <f t="shared" si="100"/>
        <v>Needs Improvement</v>
      </c>
      <c r="V463" t="str">
        <f t="shared" si="101"/>
        <v>Personality</v>
      </c>
      <c r="W463" t="str">
        <f t="shared" si="102"/>
        <v>Technical Skills</v>
      </c>
      <c r="X463" t="str">
        <f t="shared" si="103"/>
        <v>Strengthen technical skills and practical knowledge</v>
      </c>
    </row>
    <row r="464" spans="1:24" x14ac:dyDescent="0.3">
      <c r="A464">
        <v>33</v>
      </c>
      <c r="B464">
        <v>1</v>
      </c>
      <c r="C464">
        <v>3</v>
      </c>
      <c r="D464">
        <v>12</v>
      </c>
      <c r="E464">
        <v>3</v>
      </c>
      <c r="F464">
        <v>26.456770646079899</v>
      </c>
      <c r="G464">
        <v>41</v>
      </c>
      <c r="H464">
        <v>67</v>
      </c>
      <c r="I464">
        <v>5</v>
      </c>
      <c r="J464">
        <v>1</v>
      </c>
      <c r="K464">
        <v>1</v>
      </c>
      <c r="L464" t="str">
        <f t="shared" si="91"/>
        <v>C463</v>
      </c>
      <c r="M464" t="str">
        <f t="shared" si="92"/>
        <v>Female</v>
      </c>
      <c r="N464" t="str">
        <f t="shared" si="93"/>
        <v>Master's</v>
      </c>
      <c r="O464" t="str">
        <f t="shared" si="94"/>
        <v>Senior Level</v>
      </c>
      <c r="P464" t="str">
        <f t="shared" si="95"/>
        <v>Low</v>
      </c>
      <c r="Q464" t="str">
        <f t="shared" si="96"/>
        <v>Intermediate</v>
      </c>
      <c r="R464" t="str">
        <f t="shared" si="97"/>
        <v>Needs Improvement</v>
      </c>
      <c r="S464" t="str">
        <f t="shared" si="98"/>
        <v>Hired</v>
      </c>
      <c r="T464">
        <f t="shared" si="99"/>
        <v>49</v>
      </c>
      <c r="U464" t="str">
        <f t="shared" si="100"/>
        <v>Needs Improvement</v>
      </c>
      <c r="V464" t="str">
        <f t="shared" si="101"/>
        <v>Technical Skills</v>
      </c>
      <c r="W464" t="str">
        <f t="shared" si="102"/>
        <v>Personality &amp; Communication</v>
      </c>
      <c r="X464" t="str">
        <f t="shared" si="103"/>
        <v>Work on communication and personality development</v>
      </c>
    </row>
    <row r="465" spans="1:24" x14ac:dyDescent="0.3">
      <c r="A465">
        <v>40</v>
      </c>
      <c r="B465">
        <v>0</v>
      </c>
      <c r="C465">
        <v>1</v>
      </c>
      <c r="D465">
        <v>4</v>
      </c>
      <c r="E465">
        <v>5</v>
      </c>
      <c r="F465">
        <v>7.9659741189023103</v>
      </c>
      <c r="G465">
        <v>100</v>
      </c>
      <c r="H465">
        <v>82</v>
      </c>
      <c r="I465">
        <v>18</v>
      </c>
      <c r="J465">
        <v>2</v>
      </c>
      <c r="K465">
        <v>0</v>
      </c>
      <c r="L465" t="str">
        <f t="shared" si="91"/>
        <v>C464</v>
      </c>
      <c r="M465" t="str">
        <f t="shared" si="92"/>
        <v>Male</v>
      </c>
      <c r="N465" t="str">
        <f t="shared" si="93"/>
        <v>Bachelor's Type 1</v>
      </c>
      <c r="O465" t="str">
        <f t="shared" si="94"/>
        <v>Mid Level</v>
      </c>
      <c r="P465" t="str">
        <f t="shared" si="95"/>
        <v>Strong</v>
      </c>
      <c r="Q465" t="str">
        <f t="shared" si="96"/>
        <v>Advanced</v>
      </c>
      <c r="R465" t="str">
        <f t="shared" si="97"/>
        <v>Needs Improvement</v>
      </c>
      <c r="S465" t="str">
        <f t="shared" si="98"/>
        <v>Not Hired</v>
      </c>
      <c r="T465">
        <f t="shared" si="99"/>
        <v>65</v>
      </c>
      <c r="U465" t="str">
        <f t="shared" si="100"/>
        <v>Developing</v>
      </c>
      <c r="V465" t="str">
        <f t="shared" si="101"/>
        <v>Interview</v>
      </c>
      <c r="W465" t="str">
        <f t="shared" si="102"/>
        <v>Personality &amp; Communication</v>
      </c>
      <c r="X465" t="str">
        <f t="shared" si="103"/>
        <v>Work on communication and personality development</v>
      </c>
    </row>
    <row r="466" spans="1:24" x14ac:dyDescent="0.3">
      <c r="A466">
        <v>25</v>
      </c>
      <c r="B466">
        <v>1</v>
      </c>
      <c r="C466">
        <v>1</v>
      </c>
      <c r="D466">
        <v>9</v>
      </c>
      <c r="E466">
        <v>1</v>
      </c>
      <c r="F466">
        <v>44.311351528933798</v>
      </c>
      <c r="G466">
        <v>28</v>
      </c>
      <c r="H466">
        <v>46</v>
      </c>
      <c r="I466">
        <v>58</v>
      </c>
      <c r="J466">
        <v>1</v>
      </c>
      <c r="K466">
        <v>0</v>
      </c>
      <c r="L466" t="str">
        <f t="shared" si="91"/>
        <v>C465</v>
      </c>
      <c r="M466" t="str">
        <f t="shared" si="92"/>
        <v>Female</v>
      </c>
      <c r="N466" t="str">
        <f t="shared" si="93"/>
        <v>Bachelor's Type 1</v>
      </c>
      <c r="O466" t="str">
        <f t="shared" si="94"/>
        <v>Senior Level</v>
      </c>
      <c r="P466" t="str">
        <f t="shared" si="95"/>
        <v>Low</v>
      </c>
      <c r="Q466" t="str">
        <f t="shared" si="96"/>
        <v>Beginner</v>
      </c>
      <c r="R466" t="str">
        <f t="shared" si="97"/>
        <v>Good</v>
      </c>
      <c r="S466" t="str">
        <f t="shared" si="98"/>
        <v>Not Hired</v>
      </c>
      <c r="T466">
        <f t="shared" si="99"/>
        <v>45</v>
      </c>
      <c r="U466" t="str">
        <f t="shared" si="100"/>
        <v>Needs Improvement</v>
      </c>
      <c r="V466" t="str">
        <f t="shared" si="101"/>
        <v>Personality</v>
      </c>
      <c r="W466" t="str">
        <f t="shared" si="102"/>
        <v>Interview Preparation</v>
      </c>
      <c r="X466" t="str">
        <f t="shared" si="103"/>
        <v>Improve interview preparation and communication</v>
      </c>
    </row>
    <row r="467" spans="1:24" x14ac:dyDescent="0.3">
      <c r="A467">
        <v>22</v>
      </c>
      <c r="B467">
        <v>0</v>
      </c>
      <c r="C467">
        <v>2</v>
      </c>
      <c r="D467">
        <v>0</v>
      </c>
      <c r="E467">
        <v>5</v>
      </c>
      <c r="F467">
        <v>44.5792941431203</v>
      </c>
      <c r="G467">
        <v>81</v>
      </c>
      <c r="H467">
        <v>53</v>
      </c>
      <c r="I467">
        <v>52</v>
      </c>
      <c r="J467">
        <v>1</v>
      </c>
      <c r="K467">
        <v>1</v>
      </c>
      <c r="L467" t="str">
        <f t="shared" si="91"/>
        <v>C466</v>
      </c>
      <c r="M467" t="str">
        <f t="shared" si="92"/>
        <v>Male</v>
      </c>
      <c r="N467" t="str">
        <f t="shared" si="93"/>
        <v>Bachelor's Type 2</v>
      </c>
      <c r="O467" t="str">
        <f t="shared" si="94"/>
        <v>Entry Level</v>
      </c>
      <c r="P467" t="str">
        <f t="shared" si="95"/>
        <v>Strong</v>
      </c>
      <c r="Q467" t="str">
        <f t="shared" si="96"/>
        <v>Intermediate</v>
      </c>
      <c r="R467" t="str">
        <f t="shared" si="97"/>
        <v>Good</v>
      </c>
      <c r="S467" t="str">
        <f t="shared" si="98"/>
        <v>Hired</v>
      </c>
      <c r="T467">
        <f t="shared" si="99"/>
        <v>53</v>
      </c>
      <c r="U467" t="str">
        <f t="shared" si="100"/>
        <v>Developing</v>
      </c>
      <c r="V467" t="str">
        <f t="shared" si="101"/>
        <v>Interview</v>
      </c>
      <c r="W467" t="str">
        <f t="shared" si="102"/>
        <v>Personality &amp; Communication</v>
      </c>
      <c r="X467" t="str">
        <f t="shared" si="103"/>
        <v>Work on communication and personality development</v>
      </c>
    </row>
    <row r="468" spans="1:24" x14ac:dyDescent="0.3">
      <c r="A468">
        <v>47</v>
      </c>
      <c r="B468">
        <v>1</v>
      </c>
      <c r="C468">
        <v>1</v>
      </c>
      <c r="D468">
        <v>2</v>
      </c>
      <c r="E468">
        <v>1</v>
      </c>
      <c r="F468">
        <v>21.917290374687902</v>
      </c>
      <c r="G468">
        <v>9</v>
      </c>
      <c r="H468">
        <v>3</v>
      </c>
      <c r="I468">
        <v>7</v>
      </c>
      <c r="J468">
        <v>2</v>
      </c>
      <c r="K468">
        <v>0</v>
      </c>
      <c r="L468" t="str">
        <f t="shared" si="91"/>
        <v>C467</v>
      </c>
      <c r="M468" t="str">
        <f t="shared" si="92"/>
        <v>Female</v>
      </c>
      <c r="N468" t="str">
        <f t="shared" si="93"/>
        <v>Bachelor's Type 1</v>
      </c>
      <c r="O468" t="str">
        <f t="shared" si="94"/>
        <v>Entry Level</v>
      </c>
      <c r="P468" t="str">
        <f t="shared" si="95"/>
        <v>Low</v>
      </c>
      <c r="Q468" t="str">
        <f t="shared" si="96"/>
        <v>Beginner</v>
      </c>
      <c r="R468" t="str">
        <f t="shared" si="97"/>
        <v>Needs Improvement</v>
      </c>
      <c r="S468" t="str">
        <f t="shared" si="98"/>
        <v>Not Hired</v>
      </c>
      <c r="T468">
        <f t="shared" si="99"/>
        <v>10</v>
      </c>
      <c r="U468" t="str">
        <f t="shared" si="100"/>
        <v>Needs Improvement</v>
      </c>
      <c r="V468" t="str">
        <f t="shared" si="101"/>
        <v>Interview</v>
      </c>
      <c r="W468" t="str">
        <f t="shared" si="102"/>
        <v>Technical Skills</v>
      </c>
      <c r="X468" t="str">
        <f t="shared" si="103"/>
        <v>Strengthen technical skills and practical knowledge</v>
      </c>
    </row>
    <row r="469" spans="1:24" x14ac:dyDescent="0.3">
      <c r="A469">
        <v>28</v>
      </c>
      <c r="B469">
        <v>0</v>
      </c>
      <c r="C469">
        <v>2</v>
      </c>
      <c r="D469">
        <v>6</v>
      </c>
      <c r="E469">
        <v>2</v>
      </c>
      <c r="F469">
        <v>23.219780922554001</v>
      </c>
      <c r="G469">
        <v>38</v>
      </c>
      <c r="H469">
        <v>93</v>
      </c>
      <c r="I469">
        <v>77</v>
      </c>
      <c r="J469">
        <v>2</v>
      </c>
      <c r="K469">
        <v>0</v>
      </c>
      <c r="L469" t="str">
        <f t="shared" si="91"/>
        <v>C468</v>
      </c>
      <c r="M469" t="str">
        <f t="shared" si="92"/>
        <v>Male</v>
      </c>
      <c r="N469" t="str">
        <f t="shared" si="93"/>
        <v>Bachelor's Type 2</v>
      </c>
      <c r="O469" t="str">
        <f t="shared" si="94"/>
        <v>Mid Level</v>
      </c>
      <c r="P469" t="str">
        <f t="shared" si="95"/>
        <v>Low</v>
      </c>
      <c r="Q469" t="str">
        <f t="shared" si="96"/>
        <v>Advanced</v>
      </c>
      <c r="R469" t="str">
        <f t="shared" si="97"/>
        <v>Strong</v>
      </c>
      <c r="S469" t="str">
        <f t="shared" si="98"/>
        <v>Not Hired</v>
      </c>
      <c r="T469">
        <f t="shared" si="99"/>
        <v>63</v>
      </c>
      <c r="U469" t="str">
        <f t="shared" si="100"/>
        <v>Developing</v>
      </c>
      <c r="V469" t="str">
        <f t="shared" si="101"/>
        <v>Technical Skills</v>
      </c>
      <c r="W469" t="str">
        <f t="shared" si="102"/>
        <v>Interview Preparation</v>
      </c>
      <c r="X469" t="str">
        <f t="shared" si="103"/>
        <v>Improve interview preparation and communication</v>
      </c>
    </row>
    <row r="470" spans="1:24" x14ac:dyDescent="0.3">
      <c r="A470">
        <v>24</v>
      </c>
      <c r="B470">
        <v>0</v>
      </c>
      <c r="C470">
        <v>4</v>
      </c>
      <c r="D470">
        <v>9</v>
      </c>
      <c r="E470">
        <v>5</v>
      </c>
      <c r="F470">
        <v>16.164146970226302</v>
      </c>
      <c r="G470">
        <v>81</v>
      </c>
      <c r="H470">
        <v>82</v>
      </c>
      <c r="I470">
        <v>9</v>
      </c>
      <c r="J470">
        <v>1</v>
      </c>
      <c r="K470">
        <v>1</v>
      </c>
      <c r="L470" t="str">
        <f t="shared" si="91"/>
        <v>C469</v>
      </c>
      <c r="M470" t="str">
        <f t="shared" si="92"/>
        <v>Male</v>
      </c>
      <c r="N470" t="str">
        <f t="shared" si="93"/>
        <v>PhD</v>
      </c>
      <c r="O470" t="str">
        <f t="shared" si="94"/>
        <v>Senior Level</v>
      </c>
      <c r="P470" t="str">
        <f t="shared" si="95"/>
        <v>Strong</v>
      </c>
      <c r="Q470" t="str">
        <f t="shared" si="96"/>
        <v>Advanced</v>
      </c>
      <c r="R470" t="str">
        <f t="shared" si="97"/>
        <v>Needs Improvement</v>
      </c>
      <c r="S470" t="str">
        <f t="shared" si="98"/>
        <v>Hired</v>
      </c>
      <c r="T470">
        <f t="shared" si="99"/>
        <v>65</v>
      </c>
      <c r="U470" t="str">
        <f t="shared" si="100"/>
        <v>Developing</v>
      </c>
      <c r="V470" t="str">
        <f t="shared" si="101"/>
        <v>Technical Skills</v>
      </c>
      <c r="W470" t="str">
        <f t="shared" si="102"/>
        <v>Personality &amp; Communication</v>
      </c>
      <c r="X470" t="str">
        <f t="shared" si="103"/>
        <v>Work on communication and personality development</v>
      </c>
    </row>
    <row r="471" spans="1:24" x14ac:dyDescent="0.3">
      <c r="A471">
        <v>43</v>
      </c>
      <c r="B471">
        <v>1</v>
      </c>
      <c r="C471">
        <v>2</v>
      </c>
      <c r="D471">
        <v>0</v>
      </c>
      <c r="E471">
        <v>5</v>
      </c>
      <c r="F471">
        <v>36.830314948001501</v>
      </c>
      <c r="G471">
        <v>0</v>
      </c>
      <c r="H471">
        <v>94</v>
      </c>
      <c r="I471">
        <v>66</v>
      </c>
      <c r="J471">
        <v>1</v>
      </c>
      <c r="K471">
        <v>1</v>
      </c>
      <c r="L471" t="str">
        <f t="shared" si="91"/>
        <v>C470</v>
      </c>
      <c r="M471" t="str">
        <f t="shared" si="92"/>
        <v>Female</v>
      </c>
      <c r="N471" t="str">
        <f t="shared" si="93"/>
        <v>Bachelor's Type 2</v>
      </c>
      <c r="O471" t="str">
        <f t="shared" si="94"/>
        <v>Entry Level</v>
      </c>
      <c r="P471" t="str">
        <f t="shared" si="95"/>
        <v>Low</v>
      </c>
      <c r="Q471" t="str">
        <f t="shared" si="96"/>
        <v>Advanced</v>
      </c>
      <c r="R471" t="str">
        <f t="shared" si="97"/>
        <v>Good</v>
      </c>
      <c r="S471" t="str">
        <f t="shared" si="98"/>
        <v>Hired</v>
      </c>
      <c r="T471">
        <f t="shared" si="99"/>
        <v>44</v>
      </c>
      <c r="U471" t="str">
        <f t="shared" si="100"/>
        <v>Needs Improvement</v>
      </c>
      <c r="V471" t="str">
        <f t="shared" si="101"/>
        <v>Technical Skills</v>
      </c>
      <c r="W471" t="str">
        <f t="shared" si="102"/>
        <v>Interview Preparation</v>
      </c>
      <c r="X471" t="str">
        <f t="shared" si="103"/>
        <v>Improve interview preparation and communication</v>
      </c>
    </row>
    <row r="472" spans="1:24" x14ac:dyDescent="0.3">
      <c r="A472">
        <v>48</v>
      </c>
      <c r="B472">
        <v>0</v>
      </c>
      <c r="C472">
        <v>1</v>
      </c>
      <c r="D472">
        <v>6</v>
      </c>
      <c r="E472">
        <v>4</v>
      </c>
      <c r="F472">
        <v>18.9330681513229</v>
      </c>
      <c r="G472">
        <v>38</v>
      </c>
      <c r="H472">
        <v>94</v>
      </c>
      <c r="I472">
        <v>37</v>
      </c>
      <c r="J472">
        <v>1</v>
      </c>
      <c r="K472">
        <v>1</v>
      </c>
      <c r="L472" t="str">
        <f t="shared" si="91"/>
        <v>C471</v>
      </c>
      <c r="M472" t="str">
        <f t="shared" si="92"/>
        <v>Male</v>
      </c>
      <c r="N472" t="str">
        <f t="shared" si="93"/>
        <v>Bachelor's Type 1</v>
      </c>
      <c r="O472" t="str">
        <f t="shared" si="94"/>
        <v>Mid Level</v>
      </c>
      <c r="P472" t="str">
        <f t="shared" si="95"/>
        <v>Low</v>
      </c>
      <c r="Q472" t="str">
        <f t="shared" si="96"/>
        <v>Advanced</v>
      </c>
      <c r="R472" t="str">
        <f t="shared" si="97"/>
        <v>Needs Improvement</v>
      </c>
      <c r="S472" t="str">
        <f t="shared" si="98"/>
        <v>Hired</v>
      </c>
      <c r="T472">
        <f t="shared" si="99"/>
        <v>56</v>
      </c>
      <c r="U472" t="str">
        <f t="shared" si="100"/>
        <v>Developing</v>
      </c>
      <c r="V472" t="str">
        <f t="shared" si="101"/>
        <v>Technical Skills</v>
      </c>
      <c r="W472" t="str">
        <f t="shared" si="102"/>
        <v>Personality &amp; Communication</v>
      </c>
      <c r="X472" t="str">
        <f t="shared" si="103"/>
        <v>Work on communication and personality development</v>
      </c>
    </row>
    <row r="473" spans="1:24" x14ac:dyDescent="0.3">
      <c r="A473">
        <v>36</v>
      </c>
      <c r="B473">
        <v>0</v>
      </c>
      <c r="C473">
        <v>2</v>
      </c>
      <c r="D473">
        <v>4</v>
      </c>
      <c r="E473">
        <v>3</v>
      </c>
      <c r="F473">
        <v>14.3896237261316</v>
      </c>
      <c r="G473">
        <v>20</v>
      </c>
      <c r="H473">
        <v>8</v>
      </c>
      <c r="I473">
        <v>28</v>
      </c>
      <c r="J473">
        <v>2</v>
      </c>
      <c r="K473">
        <v>0</v>
      </c>
      <c r="L473" t="str">
        <f t="shared" si="91"/>
        <v>C472</v>
      </c>
      <c r="M473" t="str">
        <f t="shared" si="92"/>
        <v>Male</v>
      </c>
      <c r="N473" t="str">
        <f t="shared" si="93"/>
        <v>Bachelor's Type 2</v>
      </c>
      <c r="O473" t="str">
        <f t="shared" si="94"/>
        <v>Mid Level</v>
      </c>
      <c r="P473" t="str">
        <f t="shared" si="95"/>
        <v>Low</v>
      </c>
      <c r="Q473" t="str">
        <f t="shared" si="96"/>
        <v>Beginner</v>
      </c>
      <c r="R473" t="str">
        <f t="shared" si="97"/>
        <v>Needs Improvement</v>
      </c>
      <c r="S473" t="str">
        <f t="shared" si="98"/>
        <v>Not Hired</v>
      </c>
      <c r="T473">
        <f t="shared" si="99"/>
        <v>21</v>
      </c>
      <c r="U473" t="str">
        <f t="shared" si="100"/>
        <v>Needs Improvement</v>
      </c>
      <c r="V473" t="str">
        <f t="shared" si="101"/>
        <v>Personality</v>
      </c>
      <c r="W473" t="str">
        <f t="shared" si="102"/>
        <v>Technical Skills</v>
      </c>
      <c r="X473" t="str">
        <f t="shared" si="103"/>
        <v>Strengthen technical skills and practical knowledge</v>
      </c>
    </row>
    <row r="474" spans="1:24" x14ac:dyDescent="0.3">
      <c r="A474">
        <v>33</v>
      </c>
      <c r="B474">
        <v>1</v>
      </c>
      <c r="C474">
        <v>1</v>
      </c>
      <c r="D474">
        <v>0</v>
      </c>
      <c r="E474">
        <v>1</v>
      </c>
      <c r="F474">
        <v>22.611552975225401</v>
      </c>
      <c r="G474">
        <v>64</v>
      </c>
      <c r="H474">
        <v>52</v>
      </c>
      <c r="I474">
        <v>14</v>
      </c>
      <c r="J474">
        <v>2</v>
      </c>
      <c r="K474">
        <v>0</v>
      </c>
      <c r="L474" t="str">
        <f t="shared" si="91"/>
        <v>C473</v>
      </c>
      <c r="M474" t="str">
        <f t="shared" si="92"/>
        <v>Female</v>
      </c>
      <c r="N474" t="str">
        <f t="shared" si="93"/>
        <v>Bachelor's Type 1</v>
      </c>
      <c r="O474" t="str">
        <f t="shared" si="94"/>
        <v>Entry Level</v>
      </c>
      <c r="P474" t="str">
        <f t="shared" si="95"/>
        <v>Average</v>
      </c>
      <c r="Q474" t="str">
        <f t="shared" si="96"/>
        <v>Intermediate</v>
      </c>
      <c r="R474" t="str">
        <f t="shared" si="97"/>
        <v>Needs Improvement</v>
      </c>
      <c r="S474" t="str">
        <f t="shared" si="98"/>
        <v>Not Hired</v>
      </c>
      <c r="T474">
        <f t="shared" si="99"/>
        <v>40</v>
      </c>
      <c r="U474" t="str">
        <f t="shared" si="100"/>
        <v>Needs Improvement</v>
      </c>
      <c r="V474" t="str">
        <f t="shared" si="101"/>
        <v>Interview</v>
      </c>
      <c r="W474" t="str">
        <f t="shared" si="102"/>
        <v>Personality &amp; Communication</v>
      </c>
      <c r="X474" t="str">
        <f t="shared" si="103"/>
        <v>Work on communication and personality development</v>
      </c>
    </row>
    <row r="475" spans="1:24" x14ac:dyDescent="0.3">
      <c r="A475">
        <v>40</v>
      </c>
      <c r="B475">
        <v>0</v>
      </c>
      <c r="C475">
        <v>1</v>
      </c>
      <c r="D475">
        <v>0</v>
      </c>
      <c r="E475">
        <v>1</v>
      </c>
      <c r="F475">
        <v>5.5743759193729296</v>
      </c>
      <c r="G475">
        <v>14</v>
      </c>
      <c r="H475">
        <v>76</v>
      </c>
      <c r="I475">
        <v>86</v>
      </c>
      <c r="J475">
        <v>1</v>
      </c>
      <c r="K475">
        <v>1</v>
      </c>
      <c r="L475" t="str">
        <f t="shared" si="91"/>
        <v>C474</v>
      </c>
      <c r="M475" t="str">
        <f t="shared" si="92"/>
        <v>Male</v>
      </c>
      <c r="N475" t="str">
        <f t="shared" si="93"/>
        <v>Bachelor's Type 1</v>
      </c>
      <c r="O475" t="str">
        <f t="shared" si="94"/>
        <v>Entry Level</v>
      </c>
      <c r="P475" t="str">
        <f t="shared" si="95"/>
        <v>Low</v>
      </c>
      <c r="Q475" t="str">
        <f t="shared" si="96"/>
        <v>Advanced</v>
      </c>
      <c r="R475" t="str">
        <f t="shared" si="97"/>
        <v>Strong</v>
      </c>
      <c r="S475" t="str">
        <f t="shared" si="98"/>
        <v>Hired</v>
      </c>
      <c r="T475">
        <f t="shared" si="99"/>
        <v>47</v>
      </c>
      <c r="U475" t="str">
        <f t="shared" si="100"/>
        <v>Needs Improvement</v>
      </c>
      <c r="V475" t="str">
        <f t="shared" si="101"/>
        <v>Personality</v>
      </c>
      <c r="W475" t="str">
        <f t="shared" si="102"/>
        <v>Interview Preparation</v>
      </c>
      <c r="X475" t="str">
        <f t="shared" si="103"/>
        <v>Improve interview preparation and communication</v>
      </c>
    </row>
    <row r="476" spans="1:24" x14ac:dyDescent="0.3">
      <c r="A476">
        <v>50</v>
      </c>
      <c r="B476">
        <v>1</v>
      </c>
      <c r="C476">
        <v>2</v>
      </c>
      <c r="D476">
        <v>13</v>
      </c>
      <c r="E476">
        <v>4</v>
      </c>
      <c r="F476">
        <v>38.330160232210098</v>
      </c>
      <c r="G476">
        <v>3</v>
      </c>
      <c r="H476">
        <v>77</v>
      </c>
      <c r="I476">
        <v>22</v>
      </c>
      <c r="J476">
        <v>2</v>
      </c>
      <c r="K476">
        <v>0</v>
      </c>
      <c r="L476" t="str">
        <f t="shared" si="91"/>
        <v>C475</v>
      </c>
      <c r="M476" t="str">
        <f t="shared" si="92"/>
        <v>Female</v>
      </c>
      <c r="N476" t="str">
        <f t="shared" si="93"/>
        <v>Bachelor's Type 2</v>
      </c>
      <c r="O476" t="str">
        <f t="shared" si="94"/>
        <v>Senior Level</v>
      </c>
      <c r="P476" t="str">
        <f t="shared" si="95"/>
        <v>Low</v>
      </c>
      <c r="Q476" t="str">
        <f t="shared" si="96"/>
        <v>Advanced</v>
      </c>
      <c r="R476" t="str">
        <f t="shared" si="97"/>
        <v>Needs Improvement</v>
      </c>
      <c r="S476" t="str">
        <f t="shared" si="98"/>
        <v>Not Hired</v>
      </c>
      <c r="T476">
        <f t="shared" si="99"/>
        <v>44</v>
      </c>
      <c r="U476" t="str">
        <f t="shared" si="100"/>
        <v>Needs Improvement</v>
      </c>
      <c r="V476" t="str">
        <f t="shared" si="101"/>
        <v>Technical Skills</v>
      </c>
      <c r="W476" t="str">
        <f t="shared" si="102"/>
        <v>Interview Preparation</v>
      </c>
      <c r="X476" t="str">
        <f t="shared" si="103"/>
        <v>Improve interview preparation and communication</v>
      </c>
    </row>
    <row r="477" spans="1:24" x14ac:dyDescent="0.3">
      <c r="A477">
        <v>22</v>
      </c>
      <c r="B477">
        <v>1</v>
      </c>
      <c r="C477">
        <v>2</v>
      </c>
      <c r="D477">
        <v>0</v>
      </c>
      <c r="E477">
        <v>4</v>
      </c>
      <c r="F477">
        <v>1.6298200635893401</v>
      </c>
      <c r="G477">
        <v>59</v>
      </c>
      <c r="H477">
        <v>59</v>
      </c>
      <c r="I477">
        <v>81</v>
      </c>
      <c r="J477">
        <v>2</v>
      </c>
      <c r="K477">
        <v>0</v>
      </c>
      <c r="L477" t="str">
        <f t="shared" si="91"/>
        <v>C476</v>
      </c>
      <c r="M477" t="str">
        <f t="shared" si="92"/>
        <v>Female</v>
      </c>
      <c r="N477" t="str">
        <f t="shared" si="93"/>
        <v>Bachelor's Type 2</v>
      </c>
      <c r="O477" t="str">
        <f t="shared" si="94"/>
        <v>Entry Level</v>
      </c>
      <c r="P477" t="str">
        <f t="shared" si="95"/>
        <v>Average</v>
      </c>
      <c r="Q477" t="str">
        <f t="shared" si="96"/>
        <v>Intermediate</v>
      </c>
      <c r="R477" t="str">
        <f t="shared" si="97"/>
        <v>Strong</v>
      </c>
      <c r="S477" t="str">
        <f t="shared" si="98"/>
        <v>Not Hired</v>
      </c>
      <c r="T477">
        <f t="shared" si="99"/>
        <v>54</v>
      </c>
      <c r="U477" t="str">
        <f t="shared" si="100"/>
        <v>Developing</v>
      </c>
      <c r="V477" t="str">
        <f t="shared" si="101"/>
        <v>Personality</v>
      </c>
      <c r="W477" t="str">
        <f t="shared" si="102"/>
        <v>Interview Preparation</v>
      </c>
      <c r="X477" t="str">
        <f t="shared" si="103"/>
        <v>Improve interview preparation and communication</v>
      </c>
    </row>
    <row r="478" spans="1:24" x14ac:dyDescent="0.3">
      <c r="A478">
        <v>47</v>
      </c>
      <c r="B478">
        <v>1</v>
      </c>
      <c r="C478">
        <v>3</v>
      </c>
      <c r="D478">
        <v>10</v>
      </c>
      <c r="E478">
        <v>3</v>
      </c>
      <c r="F478">
        <v>33.224253076029697</v>
      </c>
      <c r="G478">
        <v>60</v>
      </c>
      <c r="H478">
        <v>45</v>
      </c>
      <c r="I478">
        <v>45</v>
      </c>
      <c r="J478">
        <v>3</v>
      </c>
      <c r="K478">
        <v>0</v>
      </c>
      <c r="L478" t="str">
        <f t="shared" si="91"/>
        <v>C477</v>
      </c>
      <c r="M478" t="str">
        <f t="shared" si="92"/>
        <v>Female</v>
      </c>
      <c r="N478" t="str">
        <f t="shared" si="93"/>
        <v>Master's</v>
      </c>
      <c r="O478" t="str">
        <f t="shared" si="94"/>
        <v>Senior Level</v>
      </c>
      <c r="P478" t="str">
        <f t="shared" si="95"/>
        <v>Average</v>
      </c>
      <c r="Q478" t="str">
        <f t="shared" si="96"/>
        <v>Beginner</v>
      </c>
      <c r="R478" t="str">
        <f t="shared" si="97"/>
        <v>Needs Improvement</v>
      </c>
      <c r="S478" t="str">
        <f t="shared" si="98"/>
        <v>Not Hired</v>
      </c>
      <c r="T478">
        <f t="shared" si="99"/>
        <v>54</v>
      </c>
      <c r="U478" t="str">
        <f t="shared" si="100"/>
        <v>Developing</v>
      </c>
      <c r="V478" t="str">
        <f t="shared" si="101"/>
        <v>Interview</v>
      </c>
      <c r="W478" t="str">
        <f t="shared" si="102"/>
        <v>Technical Skills</v>
      </c>
      <c r="X478" t="str">
        <f t="shared" si="103"/>
        <v>Strengthen technical skills and practical knowledge</v>
      </c>
    </row>
    <row r="479" spans="1:24" x14ac:dyDescent="0.3">
      <c r="A479">
        <v>20</v>
      </c>
      <c r="B479">
        <v>0</v>
      </c>
      <c r="C479">
        <v>4</v>
      </c>
      <c r="D479">
        <v>8</v>
      </c>
      <c r="E479">
        <v>3</v>
      </c>
      <c r="F479">
        <v>10.1432263377436</v>
      </c>
      <c r="G479">
        <v>19</v>
      </c>
      <c r="H479">
        <v>53</v>
      </c>
      <c r="I479">
        <v>82</v>
      </c>
      <c r="J479">
        <v>3</v>
      </c>
      <c r="K479">
        <v>1</v>
      </c>
      <c r="L479" t="str">
        <f t="shared" si="91"/>
        <v>C478</v>
      </c>
      <c r="M479" t="str">
        <f t="shared" si="92"/>
        <v>Male</v>
      </c>
      <c r="N479" t="str">
        <f t="shared" si="93"/>
        <v>PhD</v>
      </c>
      <c r="O479" t="str">
        <f t="shared" si="94"/>
        <v>Senior Level</v>
      </c>
      <c r="P479" t="str">
        <f t="shared" si="95"/>
        <v>Low</v>
      </c>
      <c r="Q479" t="str">
        <f t="shared" si="96"/>
        <v>Intermediate</v>
      </c>
      <c r="R479" t="str">
        <f t="shared" si="97"/>
        <v>Strong</v>
      </c>
      <c r="S479" t="str">
        <f t="shared" si="98"/>
        <v>Hired</v>
      </c>
      <c r="T479">
        <f t="shared" si="99"/>
        <v>51</v>
      </c>
      <c r="U479" t="str">
        <f t="shared" si="100"/>
        <v>Developing</v>
      </c>
      <c r="V479" t="str">
        <f t="shared" si="101"/>
        <v>Personality</v>
      </c>
      <c r="W479" t="str">
        <f t="shared" si="102"/>
        <v>Interview Preparation</v>
      </c>
      <c r="X479" t="str">
        <f t="shared" si="103"/>
        <v>Improve interview preparation and communication</v>
      </c>
    </row>
    <row r="480" spans="1:24" x14ac:dyDescent="0.3">
      <c r="A480">
        <v>39</v>
      </c>
      <c r="B480">
        <v>0</v>
      </c>
      <c r="C480">
        <v>2</v>
      </c>
      <c r="D480">
        <v>10</v>
      </c>
      <c r="E480">
        <v>5</v>
      </c>
      <c r="F480">
        <v>12.6202023107206</v>
      </c>
      <c r="G480">
        <v>9</v>
      </c>
      <c r="H480">
        <v>73</v>
      </c>
      <c r="I480">
        <v>27</v>
      </c>
      <c r="J480">
        <v>2</v>
      </c>
      <c r="K480">
        <v>0</v>
      </c>
      <c r="L480" t="str">
        <f t="shared" si="91"/>
        <v>C479</v>
      </c>
      <c r="M480" t="str">
        <f t="shared" si="92"/>
        <v>Male</v>
      </c>
      <c r="N480" t="str">
        <f t="shared" si="93"/>
        <v>Bachelor's Type 2</v>
      </c>
      <c r="O480" t="str">
        <f t="shared" si="94"/>
        <v>Senior Level</v>
      </c>
      <c r="P480" t="str">
        <f t="shared" si="95"/>
        <v>Low</v>
      </c>
      <c r="Q480" t="str">
        <f t="shared" si="96"/>
        <v>Intermediate</v>
      </c>
      <c r="R480" t="str">
        <f t="shared" si="97"/>
        <v>Needs Improvement</v>
      </c>
      <c r="S480" t="str">
        <f t="shared" si="98"/>
        <v>Not Hired</v>
      </c>
      <c r="T480">
        <f t="shared" si="99"/>
        <v>43</v>
      </c>
      <c r="U480" t="str">
        <f t="shared" si="100"/>
        <v>Needs Improvement</v>
      </c>
      <c r="V480" t="str">
        <f t="shared" si="101"/>
        <v>Technical Skills</v>
      </c>
      <c r="W480" t="str">
        <f t="shared" si="102"/>
        <v>Interview Preparation</v>
      </c>
      <c r="X480" t="str">
        <f t="shared" si="103"/>
        <v>Improve interview preparation and communication</v>
      </c>
    </row>
    <row r="481" spans="1:24" x14ac:dyDescent="0.3">
      <c r="A481">
        <v>50</v>
      </c>
      <c r="B481">
        <v>0</v>
      </c>
      <c r="C481">
        <v>2</v>
      </c>
      <c r="D481">
        <v>12</v>
      </c>
      <c r="E481">
        <v>2</v>
      </c>
      <c r="F481">
        <v>32.781599932001903</v>
      </c>
      <c r="G481">
        <v>86</v>
      </c>
      <c r="H481">
        <v>94</v>
      </c>
      <c r="I481">
        <v>25</v>
      </c>
      <c r="J481">
        <v>1</v>
      </c>
      <c r="K481">
        <v>1</v>
      </c>
      <c r="L481" t="str">
        <f t="shared" si="91"/>
        <v>C480</v>
      </c>
      <c r="M481" t="str">
        <f t="shared" si="92"/>
        <v>Male</v>
      </c>
      <c r="N481" t="str">
        <f t="shared" si="93"/>
        <v>Bachelor's Type 2</v>
      </c>
      <c r="O481" t="str">
        <f t="shared" si="94"/>
        <v>Senior Level</v>
      </c>
      <c r="P481" t="str">
        <f t="shared" si="95"/>
        <v>Strong</v>
      </c>
      <c r="Q481" t="str">
        <f t="shared" si="96"/>
        <v>Advanced</v>
      </c>
      <c r="R481" t="str">
        <f t="shared" si="97"/>
        <v>Needs Improvement</v>
      </c>
      <c r="S481" t="str">
        <f t="shared" si="98"/>
        <v>Hired</v>
      </c>
      <c r="T481">
        <f t="shared" si="99"/>
        <v>74</v>
      </c>
      <c r="U481" t="str">
        <f t="shared" si="100"/>
        <v>Developing</v>
      </c>
      <c r="V481" t="str">
        <f t="shared" si="101"/>
        <v>Technical Skills</v>
      </c>
      <c r="W481" t="str">
        <f t="shared" si="102"/>
        <v>Personality &amp; Communication</v>
      </c>
      <c r="X481" t="str">
        <f t="shared" si="103"/>
        <v>Work on communication and personality development</v>
      </c>
    </row>
    <row r="482" spans="1:24" x14ac:dyDescent="0.3">
      <c r="A482">
        <v>48</v>
      </c>
      <c r="B482">
        <v>1</v>
      </c>
      <c r="C482">
        <v>3</v>
      </c>
      <c r="D482">
        <v>2</v>
      </c>
      <c r="E482">
        <v>3</v>
      </c>
      <c r="F482">
        <v>50.6471732891453</v>
      </c>
      <c r="G482">
        <v>33</v>
      </c>
      <c r="H482">
        <v>36</v>
      </c>
      <c r="I482">
        <v>9</v>
      </c>
      <c r="J482">
        <v>1</v>
      </c>
      <c r="K482">
        <v>0</v>
      </c>
      <c r="L482" t="str">
        <f t="shared" si="91"/>
        <v>C481</v>
      </c>
      <c r="M482" t="str">
        <f t="shared" si="92"/>
        <v>Female</v>
      </c>
      <c r="N482" t="str">
        <f t="shared" si="93"/>
        <v>Master's</v>
      </c>
      <c r="O482" t="str">
        <f t="shared" si="94"/>
        <v>Entry Level</v>
      </c>
      <c r="P482" t="str">
        <f t="shared" si="95"/>
        <v>Low</v>
      </c>
      <c r="Q482" t="str">
        <f t="shared" si="96"/>
        <v>Beginner</v>
      </c>
      <c r="R482" t="str">
        <f t="shared" si="97"/>
        <v>Needs Improvement</v>
      </c>
      <c r="S482" t="str">
        <f t="shared" si="98"/>
        <v>Not Hired</v>
      </c>
      <c r="T482">
        <f t="shared" si="99"/>
        <v>28</v>
      </c>
      <c r="U482" t="str">
        <f t="shared" si="100"/>
        <v>Needs Improvement</v>
      </c>
      <c r="V482" t="str">
        <f t="shared" si="101"/>
        <v>Technical Skills</v>
      </c>
      <c r="W482" t="str">
        <f t="shared" si="102"/>
        <v>Personality &amp; Communication</v>
      </c>
      <c r="X482" t="str">
        <f t="shared" si="103"/>
        <v>Work on communication and personality development</v>
      </c>
    </row>
    <row r="483" spans="1:24" x14ac:dyDescent="0.3">
      <c r="A483">
        <v>40</v>
      </c>
      <c r="B483">
        <v>0</v>
      </c>
      <c r="C483">
        <v>2</v>
      </c>
      <c r="D483">
        <v>14</v>
      </c>
      <c r="E483">
        <v>4</v>
      </c>
      <c r="F483">
        <v>39.885874453627501</v>
      </c>
      <c r="G483">
        <v>47</v>
      </c>
      <c r="H483">
        <v>22</v>
      </c>
      <c r="I483">
        <v>46</v>
      </c>
      <c r="J483">
        <v>2</v>
      </c>
      <c r="K483">
        <v>0</v>
      </c>
      <c r="L483" t="str">
        <f t="shared" si="91"/>
        <v>C482</v>
      </c>
      <c r="M483" t="str">
        <f t="shared" si="92"/>
        <v>Male</v>
      </c>
      <c r="N483" t="str">
        <f t="shared" si="93"/>
        <v>Bachelor's Type 2</v>
      </c>
      <c r="O483" t="str">
        <f t="shared" si="94"/>
        <v>Senior Level</v>
      </c>
      <c r="P483" t="str">
        <f t="shared" si="95"/>
        <v>Low</v>
      </c>
      <c r="Q483" t="str">
        <f t="shared" si="96"/>
        <v>Beginner</v>
      </c>
      <c r="R483" t="str">
        <f t="shared" si="97"/>
        <v>Needs Improvement</v>
      </c>
      <c r="S483" t="str">
        <f t="shared" si="98"/>
        <v>Not Hired</v>
      </c>
      <c r="T483">
        <f t="shared" si="99"/>
        <v>46</v>
      </c>
      <c r="U483" t="str">
        <f t="shared" si="100"/>
        <v>Needs Improvement</v>
      </c>
      <c r="V483" t="str">
        <f t="shared" si="101"/>
        <v>Interview</v>
      </c>
      <c r="W483" t="str">
        <f t="shared" si="102"/>
        <v>Technical Skills</v>
      </c>
      <c r="X483" t="str">
        <f t="shared" si="103"/>
        <v>Strengthen technical skills and practical knowledge</v>
      </c>
    </row>
    <row r="484" spans="1:24" x14ac:dyDescent="0.3">
      <c r="A484">
        <v>42</v>
      </c>
      <c r="B484">
        <v>1</v>
      </c>
      <c r="C484">
        <v>1</v>
      </c>
      <c r="D484">
        <v>12</v>
      </c>
      <c r="E484">
        <v>3</v>
      </c>
      <c r="F484">
        <v>12.2919816111696</v>
      </c>
      <c r="G484">
        <v>32</v>
      </c>
      <c r="H484">
        <v>26</v>
      </c>
      <c r="I484">
        <v>3</v>
      </c>
      <c r="J484">
        <v>3</v>
      </c>
      <c r="K484">
        <v>0</v>
      </c>
      <c r="L484" t="str">
        <f t="shared" si="91"/>
        <v>C483</v>
      </c>
      <c r="M484" t="str">
        <f t="shared" si="92"/>
        <v>Female</v>
      </c>
      <c r="N484" t="str">
        <f t="shared" si="93"/>
        <v>Bachelor's Type 1</v>
      </c>
      <c r="O484" t="str">
        <f t="shared" si="94"/>
        <v>Senior Level</v>
      </c>
      <c r="P484" t="str">
        <f t="shared" si="95"/>
        <v>Low</v>
      </c>
      <c r="Q484" t="str">
        <f t="shared" si="96"/>
        <v>Beginner</v>
      </c>
      <c r="R484" t="str">
        <f t="shared" si="97"/>
        <v>Needs Improvement</v>
      </c>
      <c r="S484" t="str">
        <f t="shared" si="98"/>
        <v>Not Hired</v>
      </c>
      <c r="T484">
        <f t="shared" si="99"/>
        <v>33</v>
      </c>
      <c r="U484" t="str">
        <f t="shared" si="100"/>
        <v>Needs Improvement</v>
      </c>
      <c r="V484" t="str">
        <f t="shared" si="101"/>
        <v>Interview</v>
      </c>
      <c r="W484" t="str">
        <f t="shared" si="102"/>
        <v>Personality &amp; Communication</v>
      </c>
      <c r="X484" t="str">
        <f t="shared" si="103"/>
        <v>Work on communication and personality development</v>
      </c>
    </row>
    <row r="485" spans="1:24" x14ac:dyDescent="0.3">
      <c r="A485">
        <v>20</v>
      </c>
      <c r="B485">
        <v>1</v>
      </c>
      <c r="C485">
        <v>3</v>
      </c>
      <c r="D485">
        <v>4</v>
      </c>
      <c r="E485">
        <v>1</v>
      </c>
      <c r="F485">
        <v>9.8012377520566893</v>
      </c>
      <c r="G485">
        <v>97</v>
      </c>
      <c r="H485">
        <v>69</v>
      </c>
      <c r="I485">
        <v>54</v>
      </c>
      <c r="J485">
        <v>2</v>
      </c>
      <c r="K485">
        <v>0</v>
      </c>
      <c r="L485" t="str">
        <f t="shared" si="91"/>
        <v>C484</v>
      </c>
      <c r="M485" t="str">
        <f t="shared" si="92"/>
        <v>Female</v>
      </c>
      <c r="N485" t="str">
        <f t="shared" si="93"/>
        <v>Master's</v>
      </c>
      <c r="O485" t="str">
        <f t="shared" si="94"/>
        <v>Mid Level</v>
      </c>
      <c r="P485" t="str">
        <f t="shared" si="95"/>
        <v>Strong</v>
      </c>
      <c r="Q485" t="str">
        <f t="shared" si="96"/>
        <v>Intermediate</v>
      </c>
      <c r="R485" t="str">
        <f t="shared" si="97"/>
        <v>Good</v>
      </c>
      <c r="S485" t="str">
        <f t="shared" si="98"/>
        <v>Not Hired</v>
      </c>
      <c r="T485">
        <f t="shared" si="99"/>
        <v>68</v>
      </c>
      <c r="U485" t="str">
        <f t="shared" si="100"/>
        <v>Developing</v>
      </c>
      <c r="V485" t="str">
        <f t="shared" si="101"/>
        <v>Interview</v>
      </c>
      <c r="W485" t="str">
        <f t="shared" si="102"/>
        <v>Personality &amp; Communication</v>
      </c>
      <c r="X485" t="str">
        <f t="shared" si="103"/>
        <v>Work on communication and personality development</v>
      </c>
    </row>
    <row r="486" spans="1:24" x14ac:dyDescent="0.3">
      <c r="A486">
        <v>22</v>
      </c>
      <c r="B486">
        <v>0</v>
      </c>
      <c r="C486">
        <v>1</v>
      </c>
      <c r="D486">
        <v>10</v>
      </c>
      <c r="E486">
        <v>2</v>
      </c>
      <c r="F486">
        <v>44.311643513383501</v>
      </c>
      <c r="G486">
        <v>60</v>
      </c>
      <c r="H486">
        <v>89</v>
      </c>
      <c r="I486">
        <v>65</v>
      </c>
      <c r="J486">
        <v>2</v>
      </c>
      <c r="K486">
        <v>0</v>
      </c>
      <c r="L486" t="str">
        <f t="shared" si="91"/>
        <v>C485</v>
      </c>
      <c r="M486" t="str">
        <f t="shared" si="92"/>
        <v>Male</v>
      </c>
      <c r="N486" t="str">
        <f t="shared" si="93"/>
        <v>Bachelor's Type 1</v>
      </c>
      <c r="O486" t="str">
        <f t="shared" si="94"/>
        <v>Senior Level</v>
      </c>
      <c r="P486" t="str">
        <f t="shared" si="95"/>
        <v>Average</v>
      </c>
      <c r="Q486" t="str">
        <f t="shared" si="96"/>
        <v>Advanced</v>
      </c>
      <c r="R486" t="str">
        <f t="shared" si="97"/>
        <v>Good</v>
      </c>
      <c r="S486" t="str">
        <f t="shared" si="98"/>
        <v>Not Hired</v>
      </c>
      <c r="T486">
        <f t="shared" si="99"/>
        <v>70</v>
      </c>
      <c r="U486" t="str">
        <f t="shared" si="100"/>
        <v>Developing</v>
      </c>
      <c r="V486" t="str">
        <f t="shared" si="101"/>
        <v>Technical Skills</v>
      </c>
      <c r="W486" t="str">
        <f t="shared" si="102"/>
        <v>Interview Preparation</v>
      </c>
      <c r="X486" t="str">
        <f t="shared" si="103"/>
        <v>Improve interview preparation and communication</v>
      </c>
    </row>
    <row r="487" spans="1:24" x14ac:dyDescent="0.3">
      <c r="A487">
        <v>37</v>
      </c>
      <c r="B487">
        <v>1</v>
      </c>
      <c r="C487">
        <v>2</v>
      </c>
      <c r="D487">
        <v>15</v>
      </c>
      <c r="E487">
        <v>5</v>
      </c>
      <c r="F487">
        <v>23.209197396075201</v>
      </c>
      <c r="G487">
        <v>9</v>
      </c>
      <c r="H487">
        <v>65</v>
      </c>
      <c r="I487">
        <v>66</v>
      </c>
      <c r="J487">
        <v>2</v>
      </c>
      <c r="K487">
        <v>0</v>
      </c>
      <c r="L487" t="str">
        <f t="shared" si="91"/>
        <v>C486</v>
      </c>
      <c r="M487" t="str">
        <f t="shared" si="92"/>
        <v>Female</v>
      </c>
      <c r="N487" t="str">
        <f t="shared" si="93"/>
        <v>Bachelor's Type 2</v>
      </c>
      <c r="O487" t="str">
        <f t="shared" si="94"/>
        <v>Senior Level</v>
      </c>
      <c r="P487" t="str">
        <f t="shared" si="95"/>
        <v>Low</v>
      </c>
      <c r="Q487" t="str">
        <f t="shared" si="96"/>
        <v>Intermediate</v>
      </c>
      <c r="R487" t="str">
        <f t="shared" si="97"/>
        <v>Good</v>
      </c>
      <c r="S487" t="str">
        <f t="shared" si="98"/>
        <v>Not Hired</v>
      </c>
      <c r="T487">
        <f t="shared" si="99"/>
        <v>53</v>
      </c>
      <c r="U487" t="str">
        <f t="shared" si="100"/>
        <v>Developing</v>
      </c>
      <c r="V487" t="str">
        <f t="shared" si="101"/>
        <v>Personality</v>
      </c>
      <c r="W487" t="str">
        <f t="shared" si="102"/>
        <v>Interview Preparation</v>
      </c>
      <c r="X487" t="str">
        <f t="shared" si="103"/>
        <v>Improve interview preparation and communication</v>
      </c>
    </row>
    <row r="488" spans="1:24" x14ac:dyDescent="0.3">
      <c r="A488">
        <v>44</v>
      </c>
      <c r="B488">
        <v>0</v>
      </c>
      <c r="C488">
        <v>2</v>
      </c>
      <c r="D488">
        <v>9</v>
      </c>
      <c r="E488">
        <v>1</v>
      </c>
      <c r="F488">
        <v>7.85264014140777</v>
      </c>
      <c r="G488">
        <v>53</v>
      </c>
      <c r="H488">
        <v>60</v>
      </c>
      <c r="I488">
        <v>6</v>
      </c>
      <c r="J488">
        <v>2</v>
      </c>
      <c r="K488">
        <v>0</v>
      </c>
      <c r="L488" t="str">
        <f t="shared" si="91"/>
        <v>C487</v>
      </c>
      <c r="M488" t="str">
        <f t="shared" si="92"/>
        <v>Male</v>
      </c>
      <c r="N488" t="str">
        <f t="shared" si="93"/>
        <v>Bachelor's Type 2</v>
      </c>
      <c r="O488" t="str">
        <f t="shared" si="94"/>
        <v>Senior Level</v>
      </c>
      <c r="P488" t="str">
        <f t="shared" si="95"/>
        <v>Average</v>
      </c>
      <c r="Q488" t="str">
        <f t="shared" si="96"/>
        <v>Intermediate</v>
      </c>
      <c r="R488" t="str">
        <f t="shared" si="97"/>
        <v>Needs Improvement</v>
      </c>
      <c r="S488" t="str">
        <f t="shared" si="98"/>
        <v>Not Hired</v>
      </c>
      <c r="T488">
        <f t="shared" si="99"/>
        <v>47</v>
      </c>
      <c r="U488" t="str">
        <f t="shared" si="100"/>
        <v>Needs Improvement</v>
      </c>
      <c r="V488" t="str">
        <f t="shared" si="101"/>
        <v>Technical Skills</v>
      </c>
      <c r="W488" t="str">
        <f t="shared" si="102"/>
        <v>Personality &amp; Communication</v>
      </c>
      <c r="X488" t="str">
        <f t="shared" si="103"/>
        <v>Work on communication and personality development</v>
      </c>
    </row>
    <row r="489" spans="1:24" x14ac:dyDescent="0.3">
      <c r="A489">
        <v>29</v>
      </c>
      <c r="B489">
        <v>0</v>
      </c>
      <c r="C489">
        <v>2</v>
      </c>
      <c r="D489">
        <v>11</v>
      </c>
      <c r="E489">
        <v>1</v>
      </c>
      <c r="F489">
        <v>44.110571166096904</v>
      </c>
      <c r="G489">
        <v>83</v>
      </c>
      <c r="H489">
        <v>76</v>
      </c>
      <c r="I489">
        <v>54</v>
      </c>
      <c r="J489">
        <v>1</v>
      </c>
      <c r="K489">
        <v>1</v>
      </c>
      <c r="L489" t="str">
        <f t="shared" si="91"/>
        <v>C488</v>
      </c>
      <c r="M489" t="str">
        <f t="shared" si="92"/>
        <v>Male</v>
      </c>
      <c r="N489" t="str">
        <f t="shared" si="93"/>
        <v>Bachelor's Type 2</v>
      </c>
      <c r="O489" t="str">
        <f t="shared" si="94"/>
        <v>Senior Level</v>
      </c>
      <c r="P489" t="str">
        <f t="shared" si="95"/>
        <v>Strong</v>
      </c>
      <c r="Q489" t="str">
        <f t="shared" si="96"/>
        <v>Advanced</v>
      </c>
      <c r="R489" t="str">
        <f t="shared" si="97"/>
        <v>Good</v>
      </c>
      <c r="S489" t="str">
        <f t="shared" si="98"/>
        <v>Hired</v>
      </c>
      <c r="T489">
        <f t="shared" si="99"/>
        <v>72</v>
      </c>
      <c r="U489" t="str">
        <f t="shared" si="100"/>
        <v>Developing</v>
      </c>
      <c r="V489" t="str">
        <f t="shared" si="101"/>
        <v>Interview</v>
      </c>
      <c r="W489" t="str">
        <f t="shared" si="102"/>
        <v>Personality &amp; Communication</v>
      </c>
      <c r="X489" t="str">
        <f t="shared" si="103"/>
        <v>Work on communication and personality development</v>
      </c>
    </row>
    <row r="490" spans="1:24" x14ac:dyDescent="0.3">
      <c r="A490">
        <v>50</v>
      </c>
      <c r="B490">
        <v>0</v>
      </c>
      <c r="C490">
        <v>2</v>
      </c>
      <c r="D490">
        <v>15</v>
      </c>
      <c r="E490">
        <v>2</v>
      </c>
      <c r="F490">
        <v>41.804617645713002</v>
      </c>
      <c r="G490">
        <v>64</v>
      </c>
      <c r="H490">
        <v>50</v>
      </c>
      <c r="I490">
        <v>79</v>
      </c>
      <c r="J490">
        <v>2</v>
      </c>
      <c r="K490">
        <v>0</v>
      </c>
      <c r="L490" t="str">
        <f t="shared" si="91"/>
        <v>C489</v>
      </c>
      <c r="M490" t="str">
        <f t="shared" si="92"/>
        <v>Male</v>
      </c>
      <c r="N490" t="str">
        <f t="shared" si="93"/>
        <v>Bachelor's Type 2</v>
      </c>
      <c r="O490" t="str">
        <f t="shared" si="94"/>
        <v>Senior Level</v>
      </c>
      <c r="P490" t="str">
        <f t="shared" si="95"/>
        <v>Average</v>
      </c>
      <c r="Q490" t="str">
        <f t="shared" si="96"/>
        <v>Intermediate</v>
      </c>
      <c r="R490" t="str">
        <f t="shared" si="97"/>
        <v>Strong</v>
      </c>
      <c r="S490" t="str">
        <f t="shared" si="98"/>
        <v>Not Hired</v>
      </c>
      <c r="T490">
        <f t="shared" si="99"/>
        <v>68</v>
      </c>
      <c r="U490" t="str">
        <f t="shared" si="100"/>
        <v>Developing</v>
      </c>
      <c r="V490" t="str">
        <f t="shared" si="101"/>
        <v>Personality</v>
      </c>
      <c r="W490" t="str">
        <f t="shared" si="102"/>
        <v>Technical Skills</v>
      </c>
      <c r="X490" t="str">
        <f t="shared" si="103"/>
        <v>Strengthen technical skills and practical knowledge</v>
      </c>
    </row>
    <row r="491" spans="1:24" x14ac:dyDescent="0.3">
      <c r="A491">
        <v>41</v>
      </c>
      <c r="B491">
        <v>0</v>
      </c>
      <c r="C491">
        <v>3</v>
      </c>
      <c r="D491">
        <v>8</v>
      </c>
      <c r="E491">
        <v>5</v>
      </c>
      <c r="F491">
        <v>50.195318194858103</v>
      </c>
      <c r="G491">
        <v>76</v>
      </c>
      <c r="H491">
        <v>49</v>
      </c>
      <c r="I491">
        <v>30</v>
      </c>
      <c r="J491">
        <v>1</v>
      </c>
      <c r="K491">
        <v>1</v>
      </c>
      <c r="L491" t="str">
        <f t="shared" si="91"/>
        <v>C490</v>
      </c>
      <c r="M491" t="str">
        <f t="shared" si="92"/>
        <v>Male</v>
      </c>
      <c r="N491" t="str">
        <f t="shared" si="93"/>
        <v>Master's</v>
      </c>
      <c r="O491" t="str">
        <f t="shared" si="94"/>
        <v>Senior Level</v>
      </c>
      <c r="P491" t="str">
        <f t="shared" si="95"/>
        <v>Strong</v>
      </c>
      <c r="Q491" t="str">
        <f t="shared" si="96"/>
        <v>Beginner</v>
      </c>
      <c r="R491" t="str">
        <f t="shared" si="97"/>
        <v>Needs Improvement</v>
      </c>
      <c r="S491" t="str">
        <f t="shared" si="98"/>
        <v>Hired</v>
      </c>
      <c r="T491">
        <f t="shared" si="99"/>
        <v>55</v>
      </c>
      <c r="U491" t="str">
        <f t="shared" si="100"/>
        <v>Developing</v>
      </c>
      <c r="V491" t="str">
        <f t="shared" si="101"/>
        <v>Interview</v>
      </c>
      <c r="W491" t="str">
        <f t="shared" si="102"/>
        <v>Personality &amp; Communication</v>
      </c>
      <c r="X491" t="str">
        <f t="shared" si="103"/>
        <v>Work on communication and personality development</v>
      </c>
    </row>
    <row r="492" spans="1:24" x14ac:dyDescent="0.3">
      <c r="A492">
        <v>45</v>
      </c>
      <c r="B492">
        <v>0</v>
      </c>
      <c r="C492">
        <v>1</v>
      </c>
      <c r="D492">
        <v>5</v>
      </c>
      <c r="E492">
        <v>4</v>
      </c>
      <c r="F492">
        <v>46.487184335634197</v>
      </c>
      <c r="G492">
        <v>0</v>
      </c>
      <c r="H492">
        <v>18</v>
      </c>
      <c r="I492">
        <v>73</v>
      </c>
      <c r="J492">
        <v>1</v>
      </c>
      <c r="K492">
        <v>0</v>
      </c>
      <c r="L492" t="str">
        <f t="shared" si="91"/>
        <v>C491</v>
      </c>
      <c r="M492" t="str">
        <f t="shared" si="92"/>
        <v>Male</v>
      </c>
      <c r="N492" t="str">
        <f t="shared" si="93"/>
        <v>Bachelor's Type 1</v>
      </c>
      <c r="O492" t="str">
        <f t="shared" si="94"/>
        <v>Mid Level</v>
      </c>
      <c r="P492" t="str">
        <f t="shared" si="95"/>
        <v>Low</v>
      </c>
      <c r="Q492" t="str">
        <f t="shared" si="96"/>
        <v>Beginner</v>
      </c>
      <c r="R492" t="str">
        <f t="shared" si="97"/>
        <v>Good</v>
      </c>
      <c r="S492" t="str">
        <f t="shared" si="98"/>
        <v>Not Hired</v>
      </c>
      <c r="T492">
        <f t="shared" si="99"/>
        <v>28</v>
      </c>
      <c r="U492" t="str">
        <f t="shared" si="100"/>
        <v>Needs Improvement</v>
      </c>
      <c r="V492" t="str">
        <f t="shared" si="101"/>
        <v>Personality</v>
      </c>
      <c r="W492" t="str">
        <f t="shared" si="102"/>
        <v>Interview Preparation</v>
      </c>
      <c r="X492" t="str">
        <f t="shared" si="103"/>
        <v>Improve interview preparation and communication</v>
      </c>
    </row>
    <row r="493" spans="1:24" x14ac:dyDescent="0.3">
      <c r="A493">
        <v>22</v>
      </c>
      <c r="B493">
        <v>1</v>
      </c>
      <c r="C493">
        <v>2</v>
      </c>
      <c r="D493">
        <v>11</v>
      </c>
      <c r="E493">
        <v>5</v>
      </c>
      <c r="F493">
        <v>43.589516933026999</v>
      </c>
      <c r="G493">
        <v>4</v>
      </c>
      <c r="H493">
        <v>0</v>
      </c>
      <c r="I493">
        <v>18</v>
      </c>
      <c r="J493">
        <v>2</v>
      </c>
      <c r="K493">
        <v>0</v>
      </c>
      <c r="L493" t="str">
        <f t="shared" si="91"/>
        <v>C492</v>
      </c>
      <c r="M493" t="str">
        <f t="shared" si="92"/>
        <v>Female</v>
      </c>
      <c r="N493" t="str">
        <f t="shared" si="93"/>
        <v>Bachelor's Type 2</v>
      </c>
      <c r="O493" t="str">
        <f t="shared" si="94"/>
        <v>Senior Level</v>
      </c>
      <c r="P493" t="str">
        <f t="shared" si="95"/>
        <v>Low</v>
      </c>
      <c r="Q493" t="str">
        <f t="shared" si="96"/>
        <v>Beginner</v>
      </c>
      <c r="R493" t="str">
        <f t="shared" si="97"/>
        <v>Needs Improvement</v>
      </c>
      <c r="S493" t="str">
        <f t="shared" si="98"/>
        <v>Not Hired</v>
      </c>
      <c r="T493">
        <f t="shared" si="99"/>
        <v>18</v>
      </c>
      <c r="U493" t="str">
        <f t="shared" si="100"/>
        <v>Needs Improvement</v>
      </c>
      <c r="V493" t="str">
        <f t="shared" si="101"/>
        <v>Personality</v>
      </c>
      <c r="W493" t="str">
        <f t="shared" si="102"/>
        <v>Technical Skills</v>
      </c>
      <c r="X493" t="str">
        <f t="shared" si="103"/>
        <v>Strengthen technical skills and practical knowledge</v>
      </c>
    </row>
    <row r="494" spans="1:24" x14ac:dyDescent="0.3">
      <c r="A494">
        <v>27</v>
      </c>
      <c r="B494">
        <v>1</v>
      </c>
      <c r="C494">
        <v>3</v>
      </c>
      <c r="D494">
        <v>8</v>
      </c>
      <c r="E494">
        <v>3</v>
      </c>
      <c r="F494">
        <v>3.6287198905501499</v>
      </c>
      <c r="G494">
        <v>79</v>
      </c>
      <c r="H494">
        <v>39</v>
      </c>
      <c r="I494">
        <v>27</v>
      </c>
      <c r="J494">
        <v>1</v>
      </c>
      <c r="K494">
        <v>1</v>
      </c>
      <c r="L494" t="str">
        <f t="shared" si="91"/>
        <v>C493</v>
      </c>
      <c r="M494" t="str">
        <f t="shared" si="92"/>
        <v>Female</v>
      </c>
      <c r="N494" t="str">
        <f t="shared" si="93"/>
        <v>Master's</v>
      </c>
      <c r="O494" t="str">
        <f t="shared" si="94"/>
        <v>Senior Level</v>
      </c>
      <c r="P494" t="str">
        <f t="shared" si="95"/>
        <v>Strong</v>
      </c>
      <c r="Q494" t="str">
        <f t="shared" si="96"/>
        <v>Beginner</v>
      </c>
      <c r="R494" t="str">
        <f t="shared" si="97"/>
        <v>Needs Improvement</v>
      </c>
      <c r="S494" t="str">
        <f t="shared" si="98"/>
        <v>Hired</v>
      </c>
      <c r="T494">
        <f t="shared" si="99"/>
        <v>53</v>
      </c>
      <c r="U494" t="str">
        <f t="shared" si="100"/>
        <v>Developing</v>
      </c>
      <c r="V494" t="str">
        <f t="shared" si="101"/>
        <v>Interview</v>
      </c>
      <c r="W494" t="str">
        <f t="shared" si="102"/>
        <v>Personality &amp; Communication</v>
      </c>
      <c r="X494" t="str">
        <f t="shared" si="103"/>
        <v>Work on communication and personality development</v>
      </c>
    </row>
    <row r="495" spans="1:24" x14ac:dyDescent="0.3">
      <c r="A495">
        <v>33</v>
      </c>
      <c r="B495">
        <v>1</v>
      </c>
      <c r="C495">
        <v>2</v>
      </c>
      <c r="D495">
        <v>7</v>
      </c>
      <c r="E495">
        <v>1</v>
      </c>
      <c r="F495">
        <v>6.2207684749059</v>
      </c>
      <c r="G495">
        <v>14</v>
      </c>
      <c r="H495">
        <v>31</v>
      </c>
      <c r="I495">
        <v>80</v>
      </c>
      <c r="J495">
        <v>1</v>
      </c>
      <c r="K495">
        <v>1</v>
      </c>
      <c r="L495" t="str">
        <f t="shared" si="91"/>
        <v>C494</v>
      </c>
      <c r="M495" t="str">
        <f t="shared" si="92"/>
        <v>Female</v>
      </c>
      <c r="N495" t="str">
        <f t="shared" si="93"/>
        <v>Bachelor's Type 2</v>
      </c>
      <c r="O495" t="str">
        <f t="shared" si="94"/>
        <v>Senior Level</v>
      </c>
      <c r="P495" t="str">
        <f t="shared" si="95"/>
        <v>Low</v>
      </c>
      <c r="Q495" t="str">
        <f t="shared" si="96"/>
        <v>Beginner</v>
      </c>
      <c r="R495" t="str">
        <f t="shared" si="97"/>
        <v>Strong</v>
      </c>
      <c r="S495" t="str">
        <f t="shared" si="98"/>
        <v>Hired</v>
      </c>
      <c r="T495">
        <f t="shared" si="99"/>
        <v>39</v>
      </c>
      <c r="U495" t="str">
        <f t="shared" si="100"/>
        <v>Needs Improvement</v>
      </c>
      <c r="V495" t="str">
        <f t="shared" si="101"/>
        <v>Personality</v>
      </c>
      <c r="W495" t="str">
        <f t="shared" si="102"/>
        <v>Interview Preparation</v>
      </c>
      <c r="X495" t="str">
        <f t="shared" si="103"/>
        <v>Improve interview preparation and communication</v>
      </c>
    </row>
    <row r="496" spans="1:24" x14ac:dyDescent="0.3">
      <c r="A496">
        <v>43</v>
      </c>
      <c r="B496">
        <v>0</v>
      </c>
      <c r="C496">
        <v>1</v>
      </c>
      <c r="D496">
        <v>7</v>
      </c>
      <c r="E496">
        <v>3</v>
      </c>
      <c r="F496">
        <v>29.4491597152061</v>
      </c>
      <c r="G496">
        <v>27</v>
      </c>
      <c r="H496">
        <v>21</v>
      </c>
      <c r="I496">
        <v>27</v>
      </c>
      <c r="J496">
        <v>1</v>
      </c>
      <c r="K496">
        <v>0</v>
      </c>
      <c r="L496" t="str">
        <f t="shared" si="91"/>
        <v>C495</v>
      </c>
      <c r="M496" t="str">
        <f t="shared" si="92"/>
        <v>Male</v>
      </c>
      <c r="N496" t="str">
        <f t="shared" si="93"/>
        <v>Bachelor's Type 1</v>
      </c>
      <c r="O496" t="str">
        <f t="shared" si="94"/>
        <v>Senior Level</v>
      </c>
      <c r="P496" t="str">
        <f t="shared" si="95"/>
        <v>Low</v>
      </c>
      <c r="Q496" t="str">
        <f t="shared" si="96"/>
        <v>Beginner</v>
      </c>
      <c r="R496" t="str">
        <f t="shared" si="97"/>
        <v>Needs Improvement</v>
      </c>
      <c r="S496" t="str">
        <f t="shared" si="98"/>
        <v>Not Hired</v>
      </c>
      <c r="T496">
        <f t="shared" si="99"/>
        <v>29</v>
      </c>
      <c r="U496" t="str">
        <f t="shared" si="100"/>
        <v>Needs Improvement</v>
      </c>
      <c r="V496" t="str">
        <f t="shared" si="101"/>
        <v>Interview</v>
      </c>
      <c r="W496" t="str">
        <f t="shared" si="102"/>
        <v>Technical Skills</v>
      </c>
      <c r="X496" t="str">
        <f t="shared" si="103"/>
        <v>Strengthen technical skills and practical knowledge</v>
      </c>
    </row>
    <row r="497" spans="1:24" x14ac:dyDescent="0.3">
      <c r="A497">
        <v>37</v>
      </c>
      <c r="B497">
        <v>0</v>
      </c>
      <c r="C497">
        <v>3</v>
      </c>
      <c r="D497">
        <v>0</v>
      </c>
      <c r="E497">
        <v>4</v>
      </c>
      <c r="F497">
        <v>27.573962314090998</v>
      </c>
      <c r="G497">
        <v>94</v>
      </c>
      <c r="H497">
        <v>92</v>
      </c>
      <c r="I497">
        <v>18</v>
      </c>
      <c r="J497">
        <v>3</v>
      </c>
      <c r="K497">
        <v>0</v>
      </c>
      <c r="L497" t="str">
        <f t="shared" si="91"/>
        <v>C496</v>
      </c>
      <c r="M497" t="str">
        <f t="shared" si="92"/>
        <v>Male</v>
      </c>
      <c r="N497" t="str">
        <f t="shared" si="93"/>
        <v>Master's</v>
      </c>
      <c r="O497" t="str">
        <f t="shared" si="94"/>
        <v>Entry Level</v>
      </c>
      <c r="P497" t="str">
        <f t="shared" si="95"/>
        <v>Strong</v>
      </c>
      <c r="Q497" t="str">
        <f t="shared" si="96"/>
        <v>Advanced</v>
      </c>
      <c r="R497" t="str">
        <f t="shared" si="97"/>
        <v>Needs Improvement</v>
      </c>
      <c r="S497" t="str">
        <f t="shared" si="98"/>
        <v>Not Hired</v>
      </c>
      <c r="T497">
        <f t="shared" si="99"/>
        <v>63</v>
      </c>
      <c r="U497" t="str">
        <f t="shared" si="100"/>
        <v>Developing</v>
      </c>
      <c r="V497" t="str">
        <f t="shared" si="101"/>
        <v>Interview</v>
      </c>
      <c r="W497" t="str">
        <f t="shared" si="102"/>
        <v>Personality &amp; Communication</v>
      </c>
      <c r="X497" t="str">
        <f t="shared" si="103"/>
        <v>Work on communication and personality development</v>
      </c>
    </row>
    <row r="498" spans="1:24" x14ac:dyDescent="0.3">
      <c r="A498">
        <v>34</v>
      </c>
      <c r="B498">
        <v>0</v>
      </c>
      <c r="C498">
        <v>2</v>
      </c>
      <c r="D498">
        <v>12</v>
      </c>
      <c r="E498">
        <v>3</v>
      </c>
      <c r="F498">
        <v>23.8981607244767</v>
      </c>
      <c r="G498">
        <v>22</v>
      </c>
      <c r="H498">
        <v>65</v>
      </c>
      <c r="I498">
        <v>100</v>
      </c>
      <c r="J498">
        <v>2</v>
      </c>
      <c r="K498">
        <v>0</v>
      </c>
      <c r="L498" t="str">
        <f t="shared" si="91"/>
        <v>C497</v>
      </c>
      <c r="M498" t="str">
        <f t="shared" si="92"/>
        <v>Male</v>
      </c>
      <c r="N498" t="str">
        <f t="shared" si="93"/>
        <v>Bachelor's Type 2</v>
      </c>
      <c r="O498" t="str">
        <f t="shared" si="94"/>
        <v>Senior Level</v>
      </c>
      <c r="P498" t="str">
        <f t="shared" si="95"/>
        <v>Low</v>
      </c>
      <c r="Q498" t="str">
        <f t="shared" si="96"/>
        <v>Intermediate</v>
      </c>
      <c r="R498" t="str">
        <f t="shared" si="97"/>
        <v>Strong</v>
      </c>
      <c r="S498" t="str">
        <f t="shared" si="98"/>
        <v>Not Hired</v>
      </c>
      <c r="T498">
        <f t="shared" si="99"/>
        <v>61</v>
      </c>
      <c r="U498" t="str">
        <f t="shared" si="100"/>
        <v>Developing</v>
      </c>
      <c r="V498" t="str">
        <f t="shared" si="101"/>
        <v>Personality</v>
      </c>
      <c r="W498" t="str">
        <f t="shared" si="102"/>
        <v>Interview Preparation</v>
      </c>
      <c r="X498" t="str">
        <f t="shared" si="103"/>
        <v>Improve interview preparation and communication</v>
      </c>
    </row>
    <row r="499" spans="1:24" x14ac:dyDescent="0.3">
      <c r="A499">
        <v>41</v>
      </c>
      <c r="B499">
        <v>1</v>
      </c>
      <c r="C499">
        <v>3</v>
      </c>
      <c r="D499">
        <v>8</v>
      </c>
      <c r="E499">
        <v>5</v>
      </c>
      <c r="F499">
        <v>20.839466270729201</v>
      </c>
      <c r="G499">
        <v>16</v>
      </c>
      <c r="H499">
        <v>39</v>
      </c>
      <c r="I499">
        <v>86</v>
      </c>
      <c r="J499">
        <v>1</v>
      </c>
      <c r="K499">
        <v>1</v>
      </c>
      <c r="L499" t="str">
        <f t="shared" si="91"/>
        <v>C498</v>
      </c>
      <c r="M499" t="str">
        <f t="shared" si="92"/>
        <v>Female</v>
      </c>
      <c r="N499" t="str">
        <f t="shared" si="93"/>
        <v>Master's</v>
      </c>
      <c r="O499" t="str">
        <f t="shared" si="94"/>
        <v>Senior Level</v>
      </c>
      <c r="P499" t="str">
        <f t="shared" si="95"/>
        <v>Low</v>
      </c>
      <c r="Q499" t="str">
        <f t="shared" si="96"/>
        <v>Beginner</v>
      </c>
      <c r="R499" t="str">
        <f t="shared" si="97"/>
        <v>Strong</v>
      </c>
      <c r="S499" t="str">
        <f t="shared" si="98"/>
        <v>Hired</v>
      </c>
      <c r="T499">
        <f t="shared" si="99"/>
        <v>45</v>
      </c>
      <c r="U499" t="str">
        <f t="shared" si="100"/>
        <v>Needs Improvement</v>
      </c>
      <c r="V499" t="str">
        <f t="shared" si="101"/>
        <v>Personality</v>
      </c>
      <c r="W499" t="str">
        <f t="shared" si="102"/>
        <v>Interview Preparation</v>
      </c>
      <c r="X499" t="str">
        <f t="shared" si="103"/>
        <v>Improve interview preparation and communication</v>
      </c>
    </row>
    <row r="500" spans="1:24" x14ac:dyDescent="0.3">
      <c r="A500">
        <v>42</v>
      </c>
      <c r="B500">
        <v>0</v>
      </c>
      <c r="C500">
        <v>3</v>
      </c>
      <c r="D500">
        <v>5</v>
      </c>
      <c r="E500">
        <v>3</v>
      </c>
      <c r="F500">
        <v>22.560524243216399</v>
      </c>
      <c r="G500">
        <v>97</v>
      </c>
      <c r="H500">
        <v>37</v>
      </c>
      <c r="I500">
        <v>19</v>
      </c>
      <c r="J500">
        <v>2</v>
      </c>
      <c r="K500">
        <v>0</v>
      </c>
      <c r="L500" t="str">
        <f t="shared" si="91"/>
        <v>C499</v>
      </c>
      <c r="M500" t="str">
        <f t="shared" si="92"/>
        <v>Male</v>
      </c>
      <c r="N500" t="str">
        <f t="shared" si="93"/>
        <v>Master's</v>
      </c>
      <c r="O500" t="str">
        <f t="shared" si="94"/>
        <v>Mid Level</v>
      </c>
      <c r="P500" t="str">
        <f t="shared" si="95"/>
        <v>Strong</v>
      </c>
      <c r="Q500" t="str">
        <f t="shared" si="96"/>
        <v>Beginner</v>
      </c>
      <c r="R500" t="str">
        <f t="shared" si="97"/>
        <v>Needs Improvement</v>
      </c>
      <c r="S500" t="str">
        <f t="shared" si="98"/>
        <v>Not Hired</v>
      </c>
      <c r="T500">
        <f t="shared" si="99"/>
        <v>53</v>
      </c>
      <c r="U500" t="str">
        <f t="shared" si="100"/>
        <v>Developing</v>
      </c>
      <c r="V500" t="str">
        <f t="shared" si="101"/>
        <v>Interview</v>
      </c>
      <c r="W500" t="str">
        <f t="shared" si="102"/>
        <v>Personality &amp; Communication</v>
      </c>
      <c r="X500" t="str">
        <f t="shared" si="103"/>
        <v>Work on communication and personality development</v>
      </c>
    </row>
    <row r="501" spans="1:24" x14ac:dyDescent="0.3">
      <c r="A501">
        <v>21</v>
      </c>
      <c r="B501">
        <v>1</v>
      </c>
      <c r="C501">
        <v>2</v>
      </c>
      <c r="D501">
        <v>15</v>
      </c>
      <c r="E501">
        <v>4</v>
      </c>
      <c r="F501">
        <v>29.464896706739701</v>
      </c>
      <c r="G501">
        <v>12</v>
      </c>
      <c r="H501">
        <v>47</v>
      </c>
      <c r="I501">
        <v>12</v>
      </c>
      <c r="J501">
        <v>1</v>
      </c>
      <c r="K501">
        <v>0</v>
      </c>
      <c r="L501" t="str">
        <f t="shared" si="91"/>
        <v>C500</v>
      </c>
      <c r="M501" t="str">
        <f t="shared" si="92"/>
        <v>Female</v>
      </c>
      <c r="N501" t="str">
        <f t="shared" si="93"/>
        <v>Bachelor's Type 2</v>
      </c>
      <c r="O501" t="str">
        <f t="shared" si="94"/>
        <v>Senior Level</v>
      </c>
      <c r="P501" t="str">
        <f t="shared" si="95"/>
        <v>Low</v>
      </c>
      <c r="Q501" t="str">
        <f t="shared" si="96"/>
        <v>Beginner</v>
      </c>
      <c r="R501" t="str">
        <f t="shared" si="97"/>
        <v>Needs Improvement</v>
      </c>
      <c r="S501" t="str">
        <f t="shared" si="98"/>
        <v>Not Hired</v>
      </c>
      <c r="T501">
        <f t="shared" si="99"/>
        <v>38</v>
      </c>
      <c r="U501" t="str">
        <f t="shared" si="100"/>
        <v>Needs Improvement</v>
      </c>
      <c r="V501" t="str">
        <f t="shared" si="101"/>
        <v>Technical Skills</v>
      </c>
      <c r="W501" t="str">
        <f t="shared" si="102"/>
        <v>Interview Preparation</v>
      </c>
      <c r="X501" t="str">
        <f t="shared" si="103"/>
        <v>Improve interview preparation and communication</v>
      </c>
    </row>
    <row r="502" spans="1:24" x14ac:dyDescent="0.3">
      <c r="A502">
        <v>50</v>
      </c>
      <c r="B502">
        <v>1</v>
      </c>
      <c r="C502">
        <v>2</v>
      </c>
      <c r="D502">
        <v>8</v>
      </c>
      <c r="E502">
        <v>4</v>
      </c>
      <c r="F502">
        <v>1.1038258800040599</v>
      </c>
      <c r="G502">
        <v>13</v>
      </c>
      <c r="H502">
        <v>54</v>
      </c>
      <c r="I502">
        <v>76</v>
      </c>
      <c r="J502">
        <v>2</v>
      </c>
      <c r="K502">
        <v>0</v>
      </c>
      <c r="L502" t="str">
        <f t="shared" si="91"/>
        <v>C501</v>
      </c>
      <c r="M502" t="str">
        <f t="shared" si="92"/>
        <v>Female</v>
      </c>
      <c r="N502" t="str">
        <f t="shared" si="93"/>
        <v>Bachelor's Type 2</v>
      </c>
      <c r="O502" t="str">
        <f t="shared" si="94"/>
        <v>Senior Level</v>
      </c>
      <c r="P502" t="str">
        <f t="shared" si="95"/>
        <v>Low</v>
      </c>
      <c r="Q502" t="str">
        <f t="shared" si="96"/>
        <v>Intermediate</v>
      </c>
      <c r="R502" t="str">
        <f t="shared" si="97"/>
        <v>Strong</v>
      </c>
      <c r="S502" t="str">
        <f t="shared" si="98"/>
        <v>Not Hired</v>
      </c>
      <c r="T502">
        <f t="shared" si="99"/>
        <v>46</v>
      </c>
      <c r="U502" t="str">
        <f t="shared" si="100"/>
        <v>Needs Improvement</v>
      </c>
      <c r="V502" t="str">
        <f t="shared" si="101"/>
        <v>Personality</v>
      </c>
      <c r="W502" t="str">
        <f t="shared" si="102"/>
        <v>Interview Preparation</v>
      </c>
      <c r="X502" t="str">
        <f t="shared" si="103"/>
        <v>Improve interview preparation and communication</v>
      </c>
    </row>
    <row r="503" spans="1:24" x14ac:dyDescent="0.3">
      <c r="A503">
        <v>46</v>
      </c>
      <c r="B503">
        <v>0</v>
      </c>
      <c r="C503">
        <v>4</v>
      </c>
      <c r="D503">
        <v>2</v>
      </c>
      <c r="E503">
        <v>4</v>
      </c>
      <c r="F503">
        <v>14.0354387066426</v>
      </c>
      <c r="G503">
        <v>10</v>
      </c>
      <c r="H503">
        <v>74</v>
      </c>
      <c r="I503">
        <v>42</v>
      </c>
      <c r="J503">
        <v>2</v>
      </c>
      <c r="K503">
        <v>0</v>
      </c>
      <c r="L503" t="str">
        <f t="shared" si="91"/>
        <v>C502</v>
      </c>
      <c r="M503" t="str">
        <f t="shared" si="92"/>
        <v>Male</v>
      </c>
      <c r="N503" t="str">
        <f t="shared" si="93"/>
        <v>PhD</v>
      </c>
      <c r="O503" t="str">
        <f t="shared" si="94"/>
        <v>Entry Level</v>
      </c>
      <c r="P503" t="str">
        <f t="shared" si="95"/>
        <v>Low</v>
      </c>
      <c r="Q503" t="str">
        <f t="shared" si="96"/>
        <v>Intermediate</v>
      </c>
      <c r="R503" t="str">
        <f t="shared" si="97"/>
        <v>Needs Improvement</v>
      </c>
      <c r="S503" t="str">
        <f t="shared" si="98"/>
        <v>Not Hired</v>
      </c>
      <c r="T503">
        <f t="shared" si="99"/>
        <v>41</v>
      </c>
      <c r="U503" t="str">
        <f t="shared" si="100"/>
        <v>Needs Improvement</v>
      </c>
      <c r="V503" t="str">
        <f t="shared" si="101"/>
        <v>Technical Skills</v>
      </c>
      <c r="W503" t="str">
        <f t="shared" si="102"/>
        <v>Interview Preparation</v>
      </c>
      <c r="X503" t="str">
        <f t="shared" si="103"/>
        <v>Improve interview preparation and communication</v>
      </c>
    </row>
    <row r="504" spans="1:24" x14ac:dyDescent="0.3">
      <c r="A504">
        <v>29</v>
      </c>
      <c r="B504">
        <v>0</v>
      </c>
      <c r="C504">
        <v>1</v>
      </c>
      <c r="D504">
        <v>11</v>
      </c>
      <c r="E504">
        <v>5</v>
      </c>
      <c r="F504">
        <v>26.913986034435499</v>
      </c>
      <c r="G504">
        <v>27</v>
      </c>
      <c r="H504">
        <v>80</v>
      </c>
      <c r="I504">
        <v>10</v>
      </c>
      <c r="J504">
        <v>3</v>
      </c>
      <c r="K504">
        <v>0</v>
      </c>
      <c r="L504" t="str">
        <f t="shared" si="91"/>
        <v>C503</v>
      </c>
      <c r="M504" t="str">
        <f t="shared" si="92"/>
        <v>Male</v>
      </c>
      <c r="N504" t="str">
        <f t="shared" si="93"/>
        <v>Bachelor's Type 1</v>
      </c>
      <c r="O504" t="str">
        <f t="shared" si="94"/>
        <v>Senior Level</v>
      </c>
      <c r="P504" t="str">
        <f t="shared" si="95"/>
        <v>Low</v>
      </c>
      <c r="Q504" t="str">
        <f t="shared" si="96"/>
        <v>Advanced</v>
      </c>
      <c r="R504" t="str">
        <f t="shared" si="97"/>
        <v>Needs Improvement</v>
      </c>
      <c r="S504" t="str">
        <f t="shared" si="98"/>
        <v>Not Hired</v>
      </c>
      <c r="T504">
        <f t="shared" si="99"/>
        <v>48</v>
      </c>
      <c r="U504" t="str">
        <f t="shared" si="100"/>
        <v>Needs Improvement</v>
      </c>
      <c r="V504" t="str">
        <f t="shared" si="101"/>
        <v>Technical Skills</v>
      </c>
      <c r="W504" t="str">
        <f t="shared" si="102"/>
        <v>Personality &amp; Communication</v>
      </c>
      <c r="X504" t="str">
        <f t="shared" si="103"/>
        <v>Work on communication and personality development</v>
      </c>
    </row>
    <row r="505" spans="1:24" x14ac:dyDescent="0.3">
      <c r="A505">
        <v>21</v>
      </c>
      <c r="B505">
        <v>1</v>
      </c>
      <c r="C505">
        <v>3</v>
      </c>
      <c r="D505">
        <v>2</v>
      </c>
      <c r="E505">
        <v>4</v>
      </c>
      <c r="F505">
        <v>37.110804933682303</v>
      </c>
      <c r="G505">
        <v>41</v>
      </c>
      <c r="H505">
        <v>54</v>
      </c>
      <c r="I505">
        <v>47</v>
      </c>
      <c r="J505">
        <v>2</v>
      </c>
      <c r="K505">
        <v>0</v>
      </c>
      <c r="L505" t="str">
        <f t="shared" si="91"/>
        <v>C504</v>
      </c>
      <c r="M505" t="str">
        <f t="shared" si="92"/>
        <v>Female</v>
      </c>
      <c r="N505" t="str">
        <f t="shared" si="93"/>
        <v>Master's</v>
      </c>
      <c r="O505" t="str">
        <f t="shared" si="94"/>
        <v>Entry Level</v>
      </c>
      <c r="P505" t="str">
        <f t="shared" si="95"/>
        <v>Low</v>
      </c>
      <c r="Q505" t="str">
        <f t="shared" si="96"/>
        <v>Intermediate</v>
      </c>
      <c r="R505" t="str">
        <f t="shared" si="97"/>
        <v>Needs Improvement</v>
      </c>
      <c r="S505" t="str">
        <f t="shared" si="98"/>
        <v>Not Hired</v>
      </c>
      <c r="T505">
        <f t="shared" si="99"/>
        <v>44</v>
      </c>
      <c r="U505" t="str">
        <f t="shared" si="100"/>
        <v>Needs Improvement</v>
      </c>
      <c r="V505" t="str">
        <f t="shared" si="101"/>
        <v>Technical Skills</v>
      </c>
      <c r="W505" t="str">
        <f t="shared" si="102"/>
        <v>Interview Preparation</v>
      </c>
      <c r="X505" t="str">
        <f t="shared" si="103"/>
        <v>Improve interview preparation and communication</v>
      </c>
    </row>
    <row r="506" spans="1:24" x14ac:dyDescent="0.3">
      <c r="A506">
        <v>45</v>
      </c>
      <c r="B506">
        <v>0</v>
      </c>
      <c r="C506">
        <v>1</v>
      </c>
      <c r="D506">
        <v>5</v>
      </c>
      <c r="E506">
        <v>1</v>
      </c>
      <c r="F506">
        <v>9.7078346197698107</v>
      </c>
      <c r="G506">
        <v>95</v>
      </c>
      <c r="H506">
        <v>50</v>
      </c>
      <c r="I506">
        <v>14</v>
      </c>
      <c r="J506">
        <v>3</v>
      </c>
      <c r="K506">
        <v>0</v>
      </c>
      <c r="L506" t="str">
        <f t="shared" si="91"/>
        <v>C505</v>
      </c>
      <c r="M506" t="str">
        <f t="shared" si="92"/>
        <v>Male</v>
      </c>
      <c r="N506" t="str">
        <f t="shared" si="93"/>
        <v>Bachelor's Type 1</v>
      </c>
      <c r="O506" t="str">
        <f t="shared" si="94"/>
        <v>Mid Level</v>
      </c>
      <c r="P506" t="str">
        <f t="shared" si="95"/>
        <v>Strong</v>
      </c>
      <c r="Q506" t="str">
        <f t="shared" si="96"/>
        <v>Intermediate</v>
      </c>
      <c r="R506" t="str">
        <f t="shared" si="97"/>
        <v>Needs Improvement</v>
      </c>
      <c r="S506" t="str">
        <f t="shared" si="98"/>
        <v>Not Hired</v>
      </c>
      <c r="T506">
        <f t="shared" si="99"/>
        <v>54</v>
      </c>
      <c r="U506" t="str">
        <f t="shared" si="100"/>
        <v>Developing</v>
      </c>
      <c r="V506" t="str">
        <f t="shared" si="101"/>
        <v>Interview</v>
      </c>
      <c r="W506" t="str">
        <f t="shared" si="102"/>
        <v>Personality &amp; Communication</v>
      </c>
      <c r="X506" t="str">
        <f t="shared" si="103"/>
        <v>Work on communication and personality development</v>
      </c>
    </row>
    <row r="507" spans="1:24" x14ac:dyDescent="0.3">
      <c r="A507">
        <v>36</v>
      </c>
      <c r="B507">
        <v>1</v>
      </c>
      <c r="C507">
        <v>2</v>
      </c>
      <c r="D507">
        <v>8</v>
      </c>
      <c r="E507">
        <v>4</v>
      </c>
      <c r="F507">
        <v>28.3440586893716</v>
      </c>
      <c r="G507">
        <v>98</v>
      </c>
      <c r="H507">
        <v>59</v>
      </c>
      <c r="I507">
        <v>16</v>
      </c>
      <c r="J507">
        <v>3</v>
      </c>
      <c r="K507">
        <v>0</v>
      </c>
      <c r="L507" t="str">
        <f t="shared" si="91"/>
        <v>C506</v>
      </c>
      <c r="M507" t="str">
        <f t="shared" si="92"/>
        <v>Female</v>
      </c>
      <c r="N507" t="str">
        <f t="shared" si="93"/>
        <v>Bachelor's Type 2</v>
      </c>
      <c r="O507" t="str">
        <f t="shared" si="94"/>
        <v>Senior Level</v>
      </c>
      <c r="P507" t="str">
        <f t="shared" si="95"/>
        <v>Strong</v>
      </c>
      <c r="Q507" t="str">
        <f t="shared" si="96"/>
        <v>Intermediate</v>
      </c>
      <c r="R507" t="str">
        <f t="shared" si="97"/>
        <v>Needs Improvement</v>
      </c>
      <c r="S507" t="str">
        <f t="shared" si="98"/>
        <v>Not Hired</v>
      </c>
      <c r="T507">
        <f t="shared" si="99"/>
        <v>61</v>
      </c>
      <c r="U507" t="str">
        <f t="shared" si="100"/>
        <v>Developing</v>
      </c>
      <c r="V507" t="str">
        <f t="shared" si="101"/>
        <v>Interview</v>
      </c>
      <c r="W507" t="str">
        <f t="shared" si="102"/>
        <v>Personality &amp; Communication</v>
      </c>
      <c r="X507" t="str">
        <f t="shared" si="103"/>
        <v>Work on communication and personality development</v>
      </c>
    </row>
    <row r="508" spans="1:24" x14ac:dyDescent="0.3">
      <c r="A508">
        <v>27</v>
      </c>
      <c r="B508">
        <v>0</v>
      </c>
      <c r="C508">
        <v>2</v>
      </c>
      <c r="D508">
        <v>6</v>
      </c>
      <c r="E508">
        <v>3</v>
      </c>
      <c r="F508">
        <v>36.722984194288998</v>
      </c>
      <c r="G508">
        <v>60</v>
      </c>
      <c r="H508">
        <v>7</v>
      </c>
      <c r="I508">
        <v>53</v>
      </c>
      <c r="J508">
        <v>3</v>
      </c>
      <c r="K508">
        <v>0</v>
      </c>
      <c r="L508" t="str">
        <f t="shared" si="91"/>
        <v>C507</v>
      </c>
      <c r="M508" t="str">
        <f t="shared" si="92"/>
        <v>Male</v>
      </c>
      <c r="N508" t="str">
        <f t="shared" si="93"/>
        <v>Bachelor's Type 2</v>
      </c>
      <c r="O508" t="str">
        <f t="shared" si="94"/>
        <v>Mid Level</v>
      </c>
      <c r="P508" t="str">
        <f t="shared" si="95"/>
        <v>Average</v>
      </c>
      <c r="Q508" t="str">
        <f t="shared" si="96"/>
        <v>Beginner</v>
      </c>
      <c r="R508" t="str">
        <f t="shared" si="97"/>
        <v>Good</v>
      </c>
      <c r="S508" t="str">
        <f t="shared" si="98"/>
        <v>Not Hired</v>
      </c>
      <c r="T508">
        <f t="shared" si="99"/>
        <v>39</v>
      </c>
      <c r="U508" t="str">
        <f t="shared" si="100"/>
        <v>Needs Improvement</v>
      </c>
      <c r="V508" t="str">
        <f t="shared" si="101"/>
        <v>Interview</v>
      </c>
      <c r="W508" t="str">
        <f t="shared" si="102"/>
        <v>Technical Skills</v>
      </c>
      <c r="X508" t="str">
        <f t="shared" si="103"/>
        <v>Strengthen technical skills and practical knowledge</v>
      </c>
    </row>
    <row r="509" spans="1:24" x14ac:dyDescent="0.3">
      <c r="A509">
        <v>20</v>
      </c>
      <c r="B509">
        <v>0</v>
      </c>
      <c r="C509">
        <v>4</v>
      </c>
      <c r="D509">
        <v>13</v>
      </c>
      <c r="E509">
        <v>3</v>
      </c>
      <c r="F509">
        <v>23.231382895695202</v>
      </c>
      <c r="G509">
        <v>63</v>
      </c>
      <c r="H509">
        <v>85</v>
      </c>
      <c r="I509">
        <v>49</v>
      </c>
      <c r="J509">
        <v>2</v>
      </c>
      <c r="K509">
        <v>0</v>
      </c>
      <c r="L509" t="str">
        <f t="shared" si="91"/>
        <v>C508</v>
      </c>
      <c r="M509" t="str">
        <f t="shared" si="92"/>
        <v>Male</v>
      </c>
      <c r="N509" t="str">
        <f t="shared" si="93"/>
        <v>PhD</v>
      </c>
      <c r="O509" t="str">
        <f t="shared" si="94"/>
        <v>Senior Level</v>
      </c>
      <c r="P509" t="str">
        <f t="shared" si="95"/>
        <v>Average</v>
      </c>
      <c r="Q509" t="str">
        <f t="shared" si="96"/>
        <v>Advanced</v>
      </c>
      <c r="R509" t="str">
        <f t="shared" si="97"/>
        <v>Needs Improvement</v>
      </c>
      <c r="S509" t="str">
        <f t="shared" si="98"/>
        <v>Not Hired</v>
      </c>
      <c r="T509">
        <f t="shared" si="99"/>
        <v>72</v>
      </c>
      <c r="U509" t="str">
        <f t="shared" si="100"/>
        <v>Developing</v>
      </c>
      <c r="V509" t="str">
        <f t="shared" si="101"/>
        <v>Technical Skills</v>
      </c>
      <c r="W509" t="str">
        <f t="shared" si="102"/>
        <v>Personality &amp; Communication</v>
      </c>
      <c r="X509" t="str">
        <f t="shared" si="103"/>
        <v>Work on communication and personality development</v>
      </c>
    </row>
    <row r="510" spans="1:24" x14ac:dyDescent="0.3">
      <c r="A510">
        <v>28</v>
      </c>
      <c r="B510">
        <v>1</v>
      </c>
      <c r="C510">
        <v>4</v>
      </c>
      <c r="D510">
        <v>12</v>
      </c>
      <c r="E510">
        <v>3</v>
      </c>
      <c r="F510">
        <v>2.35405668350255</v>
      </c>
      <c r="G510">
        <v>30</v>
      </c>
      <c r="H510">
        <v>67</v>
      </c>
      <c r="I510">
        <v>27</v>
      </c>
      <c r="J510">
        <v>2</v>
      </c>
      <c r="K510">
        <v>0</v>
      </c>
      <c r="L510" t="str">
        <f t="shared" si="91"/>
        <v>C509</v>
      </c>
      <c r="M510" t="str">
        <f t="shared" si="92"/>
        <v>Female</v>
      </c>
      <c r="N510" t="str">
        <f t="shared" si="93"/>
        <v>PhD</v>
      </c>
      <c r="O510" t="str">
        <f t="shared" si="94"/>
        <v>Senior Level</v>
      </c>
      <c r="P510" t="str">
        <f t="shared" si="95"/>
        <v>Low</v>
      </c>
      <c r="Q510" t="str">
        <f t="shared" si="96"/>
        <v>Intermediate</v>
      </c>
      <c r="R510" t="str">
        <f t="shared" si="97"/>
        <v>Needs Improvement</v>
      </c>
      <c r="S510" t="str">
        <f t="shared" si="98"/>
        <v>Not Hired</v>
      </c>
      <c r="T510">
        <f t="shared" si="99"/>
        <v>52</v>
      </c>
      <c r="U510" t="str">
        <f t="shared" si="100"/>
        <v>Developing</v>
      </c>
      <c r="V510" t="str">
        <f t="shared" si="101"/>
        <v>Technical Skills</v>
      </c>
      <c r="W510" t="str">
        <f t="shared" si="102"/>
        <v>Personality &amp; Communication</v>
      </c>
      <c r="X510" t="str">
        <f t="shared" si="103"/>
        <v>Work on communication and personality development</v>
      </c>
    </row>
    <row r="511" spans="1:24" x14ac:dyDescent="0.3">
      <c r="A511">
        <v>30</v>
      </c>
      <c r="B511">
        <v>0</v>
      </c>
      <c r="C511">
        <v>1</v>
      </c>
      <c r="D511">
        <v>2</v>
      </c>
      <c r="E511">
        <v>5</v>
      </c>
      <c r="F511">
        <v>23.4634079232818</v>
      </c>
      <c r="G511">
        <v>80</v>
      </c>
      <c r="H511">
        <v>74</v>
      </c>
      <c r="I511">
        <v>82</v>
      </c>
      <c r="J511">
        <v>2</v>
      </c>
      <c r="K511">
        <v>0</v>
      </c>
      <c r="L511" t="str">
        <f t="shared" si="91"/>
        <v>C510</v>
      </c>
      <c r="M511" t="str">
        <f t="shared" si="92"/>
        <v>Male</v>
      </c>
      <c r="N511" t="str">
        <f t="shared" si="93"/>
        <v>Bachelor's Type 1</v>
      </c>
      <c r="O511" t="str">
        <f t="shared" si="94"/>
        <v>Entry Level</v>
      </c>
      <c r="P511" t="str">
        <f t="shared" si="95"/>
        <v>Strong</v>
      </c>
      <c r="Q511" t="str">
        <f t="shared" si="96"/>
        <v>Intermediate</v>
      </c>
      <c r="R511" t="str">
        <f t="shared" si="97"/>
        <v>Strong</v>
      </c>
      <c r="S511" t="str">
        <f t="shared" si="98"/>
        <v>Not Hired</v>
      </c>
      <c r="T511">
        <f t="shared" si="99"/>
        <v>67</v>
      </c>
      <c r="U511" t="str">
        <f t="shared" si="100"/>
        <v>Developing</v>
      </c>
      <c r="V511" t="str">
        <f t="shared" si="101"/>
        <v>Personality</v>
      </c>
      <c r="W511" t="str">
        <f t="shared" si="102"/>
        <v>Technical Skills</v>
      </c>
      <c r="X511" t="str">
        <f t="shared" si="103"/>
        <v>Strengthen technical skills and practical knowledge</v>
      </c>
    </row>
    <row r="512" spans="1:24" x14ac:dyDescent="0.3">
      <c r="A512">
        <v>41</v>
      </c>
      <c r="B512">
        <v>1</v>
      </c>
      <c r="C512">
        <v>1</v>
      </c>
      <c r="D512">
        <v>2</v>
      </c>
      <c r="E512">
        <v>3</v>
      </c>
      <c r="F512">
        <v>15.822244387207601</v>
      </c>
      <c r="G512">
        <v>72</v>
      </c>
      <c r="H512">
        <v>71</v>
      </c>
      <c r="I512">
        <v>3</v>
      </c>
      <c r="J512">
        <v>1</v>
      </c>
      <c r="K512">
        <v>1</v>
      </c>
      <c r="L512" t="str">
        <f t="shared" si="91"/>
        <v>C511</v>
      </c>
      <c r="M512" t="str">
        <f t="shared" si="92"/>
        <v>Female</v>
      </c>
      <c r="N512" t="str">
        <f t="shared" si="93"/>
        <v>Bachelor's Type 1</v>
      </c>
      <c r="O512" t="str">
        <f t="shared" si="94"/>
        <v>Entry Level</v>
      </c>
      <c r="P512" t="str">
        <f t="shared" si="95"/>
        <v>Average</v>
      </c>
      <c r="Q512" t="str">
        <f t="shared" si="96"/>
        <v>Intermediate</v>
      </c>
      <c r="R512" t="str">
        <f t="shared" si="97"/>
        <v>Needs Improvement</v>
      </c>
      <c r="S512" t="str">
        <f t="shared" si="98"/>
        <v>Hired</v>
      </c>
      <c r="T512">
        <f t="shared" si="99"/>
        <v>48</v>
      </c>
      <c r="U512" t="str">
        <f t="shared" si="100"/>
        <v>Needs Improvement</v>
      </c>
      <c r="V512" t="str">
        <f t="shared" si="101"/>
        <v>Interview</v>
      </c>
      <c r="W512" t="str">
        <f t="shared" si="102"/>
        <v>Personality &amp; Communication</v>
      </c>
      <c r="X512" t="str">
        <f t="shared" si="103"/>
        <v>Work on communication and personality development</v>
      </c>
    </row>
    <row r="513" spans="1:24" x14ac:dyDescent="0.3">
      <c r="A513">
        <v>35</v>
      </c>
      <c r="B513">
        <v>0</v>
      </c>
      <c r="C513">
        <v>3</v>
      </c>
      <c r="D513">
        <v>1</v>
      </c>
      <c r="E513">
        <v>5</v>
      </c>
      <c r="F513">
        <v>47.482480385066403</v>
      </c>
      <c r="G513">
        <v>9</v>
      </c>
      <c r="H513">
        <v>8</v>
      </c>
      <c r="I513">
        <v>21</v>
      </c>
      <c r="J513">
        <v>1</v>
      </c>
      <c r="K513">
        <v>0</v>
      </c>
      <c r="L513" t="str">
        <f t="shared" si="91"/>
        <v>C512</v>
      </c>
      <c r="M513" t="str">
        <f t="shared" si="92"/>
        <v>Male</v>
      </c>
      <c r="N513" t="str">
        <f t="shared" si="93"/>
        <v>Master's</v>
      </c>
      <c r="O513" t="str">
        <f t="shared" si="94"/>
        <v>Entry Level</v>
      </c>
      <c r="P513" t="str">
        <f t="shared" si="95"/>
        <v>Low</v>
      </c>
      <c r="Q513" t="str">
        <f t="shared" si="96"/>
        <v>Beginner</v>
      </c>
      <c r="R513" t="str">
        <f t="shared" si="97"/>
        <v>Needs Improvement</v>
      </c>
      <c r="S513" t="str">
        <f t="shared" si="98"/>
        <v>Not Hired</v>
      </c>
      <c r="T513">
        <f t="shared" si="99"/>
        <v>14</v>
      </c>
      <c r="U513" t="str">
        <f t="shared" si="100"/>
        <v>Needs Improvement</v>
      </c>
      <c r="V513" t="str">
        <f t="shared" si="101"/>
        <v>Personality</v>
      </c>
      <c r="W513" t="str">
        <f t="shared" si="102"/>
        <v>Technical Skills</v>
      </c>
      <c r="X513" t="str">
        <f t="shared" si="103"/>
        <v>Strengthen technical skills and practical knowledge</v>
      </c>
    </row>
    <row r="514" spans="1:24" x14ac:dyDescent="0.3">
      <c r="A514">
        <v>26</v>
      </c>
      <c r="B514">
        <v>1</v>
      </c>
      <c r="C514">
        <v>2</v>
      </c>
      <c r="D514">
        <v>8</v>
      </c>
      <c r="E514">
        <v>5</v>
      </c>
      <c r="F514">
        <v>7.2306692839163604</v>
      </c>
      <c r="G514">
        <v>7</v>
      </c>
      <c r="H514">
        <v>89</v>
      </c>
      <c r="I514">
        <v>85</v>
      </c>
      <c r="J514">
        <v>2</v>
      </c>
      <c r="K514">
        <v>0</v>
      </c>
      <c r="L514" t="str">
        <f t="shared" si="91"/>
        <v>C513</v>
      </c>
      <c r="M514" t="str">
        <f t="shared" si="92"/>
        <v>Female</v>
      </c>
      <c r="N514" t="str">
        <f t="shared" si="93"/>
        <v>Bachelor's Type 2</v>
      </c>
      <c r="O514" t="str">
        <f t="shared" si="94"/>
        <v>Senior Level</v>
      </c>
      <c r="P514" t="str">
        <f t="shared" si="95"/>
        <v>Low</v>
      </c>
      <c r="Q514" t="str">
        <f t="shared" si="96"/>
        <v>Advanced</v>
      </c>
      <c r="R514" t="str">
        <f t="shared" si="97"/>
        <v>Strong</v>
      </c>
      <c r="S514" t="str">
        <f t="shared" si="98"/>
        <v>Not Hired</v>
      </c>
      <c r="T514">
        <f t="shared" si="99"/>
        <v>56</v>
      </c>
      <c r="U514" t="str">
        <f t="shared" si="100"/>
        <v>Developing</v>
      </c>
      <c r="V514" t="str">
        <f t="shared" si="101"/>
        <v>Technical Skills</v>
      </c>
      <c r="W514" t="str">
        <f t="shared" si="102"/>
        <v>Interview Preparation</v>
      </c>
      <c r="X514" t="str">
        <f t="shared" si="103"/>
        <v>Improve interview preparation and communication</v>
      </c>
    </row>
    <row r="515" spans="1:24" x14ac:dyDescent="0.3">
      <c r="A515">
        <v>48</v>
      </c>
      <c r="B515">
        <v>1</v>
      </c>
      <c r="C515">
        <v>1</v>
      </c>
      <c r="D515">
        <v>12</v>
      </c>
      <c r="E515">
        <v>4</v>
      </c>
      <c r="F515">
        <v>33.623797775361602</v>
      </c>
      <c r="G515">
        <v>20</v>
      </c>
      <c r="H515">
        <v>1</v>
      </c>
      <c r="I515">
        <v>100</v>
      </c>
      <c r="J515">
        <v>2</v>
      </c>
      <c r="K515">
        <v>0</v>
      </c>
      <c r="L515" t="str">
        <f t="shared" ref="L515:L578" si="104">"C"&amp;TEXT(ROW()-1,"000")</f>
        <v>C514</v>
      </c>
      <c r="M515" t="str">
        <f t="shared" ref="M515:M578" si="105">IF(B515=0,"Male","Female")</f>
        <v>Female</v>
      </c>
      <c r="N515" t="str">
        <f t="shared" ref="N515:N578" si="106">IF(C515=1,"Bachelor's Type 1",IF(C515=2,"Bachelor's Type 2",IF(C515=3,"Master's","PhD")))</f>
        <v>Bachelor's Type 1</v>
      </c>
      <c r="O515" t="str">
        <f t="shared" ref="O515:O578" si="107">IF(D515&lt;=2,"Entry Level",IF(D515&lt;=6,"Mid Level","Senior Level"))</f>
        <v>Senior Level</v>
      </c>
      <c r="P515" t="str">
        <f t="shared" ref="P515:P578" si="108">IF(G515&lt;50,"Low",IF(G515&lt;75,"Average","Strong"))</f>
        <v>Low</v>
      </c>
      <c r="Q515" t="str">
        <f t="shared" ref="Q515:Q578" si="109">IF(H515&lt;50,"Beginner",IF(H515&lt;75,"Intermediate","Advanced"))</f>
        <v>Beginner</v>
      </c>
      <c r="R515" t="str">
        <f t="shared" ref="R515:R578" si="110">IF(I515&lt;50,"Needs Improvement",IF(I515&lt;75,"Good","Strong"))</f>
        <v>Strong</v>
      </c>
      <c r="S515" t="str">
        <f t="shared" ref="S515:S578" si="111">IF(K515=1,"Hired","Not Hired")</f>
        <v>Not Hired</v>
      </c>
      <c r="T515">
        <f t="shared" ref="T515:T578" si="112">ROUND((G515*30%)+(H515*30%)+(I515*20%)+((D515/15)*100*15%)+(IF(C515&lt;=2,50,IF(C515=3,75,100))*5%),0)</f>
        <v>41</v>
      </c>
      <c r="U515" t="str">
        <f t="shared" ref="U515:U578" si="113">IF(T515&lt;50,"Needs Improvement",IF(T515&lt;75,"Developing","Job Ready"))</f>
        <v>Needs Improvement</v>
      </c>
      <c r="V515" t="str">
        <f t="shared" ref="V515:V578" si="114">IF(AND(G515&gt;=H515,G515&gt;=I515),"Interview",IF(H515&gt;=I515,"Technical Skills","Personality"))</f>
        <v>Personality</v>
      </c>
      <c r="W515" t="str">
        <f t="shared" ref="W515:W578" si="115">IF(AND(G515&lt;=H515,G515&lt;=I515),"Interview Preparation",IF(H515&lt;=I515,"Technical Skills","Personality &amp; Communication"))</f>
        <v>Technical Skills</v>
      </c>
      <c r="X515" t="str">
        <f t="shared" ref="X515:X578" si="116">IF(W515="Interview Preparation","Improve interview preparation and communication",IF(W515="Technical Skills","Strengthen technical skills and practical knowledge","Work on communication and personality development"))</f>
        <v>Strengthen technical skills and practical knowledge</v>
      </c>
    </row>
    <row r="516" spans="1:24" x14ac:dyDescent="0.3">
      <c r="A516">
        <v>29</v>
      </c>
      <c r="B516">
        <v>0</v>
      </c>
      <c r="C516">
        <v>2</v>
      </c>
      <c r="D516">
        <v>14</v>
      </c>
      <c r="E516">
        <v>1</v>
      </c>
      <c r="F516">
        <v>3.63598831672505</v>
      </c>
      <c r="G516">
        <v>76</v>
      </c>
      <c r="H516">
        <v>79</v>
      </c>
      <c r="I516">
        <v>38</v>
      </c>
      <c r="J516">
        <v>3</v>
      </c>
      <c r="K516">
        <v>0</v>
      </c>
      <c r="L516" t="str">
        <f t="shared" si="104"/>
        <v>C515</v>
      </c>
      <c r="M516" t="str">
        <f t="shared" si="105"/>
        <v>Male</v>
      </c>
      <c r="N516" t="str">
        <f t="shared" si="106"/>
        <v>Bachelor's Type 2</v>
      </c>
      <c r="O516" t="str">
        <f t="shared" si="107"/>
        <v>Senior Level</v>
      </c>
      <c r="P516" t="str">
        <f t="shared" si="108"/>
        <v>Strong</v>
      </c>
      <c r="Q516" t="str">
        <f t="shared" si="109"/>
        <v>Advanced</v>
      </c>
      <c r="R516" t="str">
        <f t="shared" si="110"/>
        <v>Needs Improvement</v>
      </c>
      <c r="S516" t="str">
        <f t="shared" si="111"/>
        <v>Not Hired</v>
      </c>
      <c r="T516">
        <f t="shared" si="112"/>
        <v>71</v>
      </c>
      <c r="U516" t="str">
        <f t="shared" si="113"/>
        <v>Developing</v>
      </c>
      <c r="V516" t="str">
        <f t="shared" si="114"/>
        <v>Technical Skills</v>
      </c>
      <c r="W516" t="str">
        <f t="shared" si="115"/>
        <v>Personality &amp; Communication</v>
      </c>
      <c r="X516" t="str">
        <f t="shared" si="116"/>
        <v>Work on communication and personality development</v>
      </c>
    </row>
    <row r="517" spans="1:24" x14ac:dyDescent="0.3">
      <c r="A517">
        <v>42</v>
      </c>
      <c r="B517">
        <v>1</v>
      </c>
      <c r="C517">
        <v>2</v>
      </c>
      <c r="D517">
        <v>2</v>
      </c>
      <c r="E517">
        <v>4</v>
      </c>
      <c r="F517">
        <v>23.3085218906348</v>
      </c>
      <c r="G517">
        <v>58</v>
      </c>
      <c r="H517">
        <v>94</v>
      </c>
      <c r="I517">
        <v>33</v>
      </c>
      <c r="J517">
        <v>1</v>
      </c>
      <c r="K517">
        <v>0</v>
      </c>
      <c r="L517" t="str">
        <f t="shared" si="104"/>
        <v>C516</v>
      </c>
      <c r="M517" t="str">
        <f t="shared" si="105"/>
        <v>Female</v>
      </c>
      <c r="N517" t="str">
        <f t="shared" si="106"/>
        <v>Bachelor's Type 2</v>
      </c>
      <c r="O517" t="str">
        <f t="shared" si="107"/>
        <v>Entry Level</v>
      </c>
      <c r="P517" t="str">
        <f t="shared" si="108"/>
        <v>Average</v>
      </c>
      <c r="Q517" t="str">
        <f t="shared" si="109"/>
        <v>Advanced</v>
      </c>
      <c r="R517" t="str">
        <f t="shared" si="110"/>
        <v>Needs Improvement</v>
      </c>
      <c r="S517" t="str">
        <f t="shared" si="111"/>
        <v>Not Hired</v>
      </c>
      <c r="T517">
        <f t="shared" si="112"/>
        <v>57</v>
      </c>
      <c r="U517" t="str">
        <f t="shared" si="113"/>
        <v>Developing</v>
      </c>
      <c r="V517" t="str">
        <f t="shared" si="114"/>
        <v>Technical Skills</v>
      </c>
      <c r="W517" t="str">
        <f t="shared" si="115"/>
        <v>Personality &amp; Communication</v>
      </c>
      <c r="X517" t="str">
        <f t="shared" si="116"/>
        <v>Work on communication and personality development</v>
      </c>
    </row>
    <row r="518" spans="1:24" x14ac:dyDescent="0.3">
      <c r="A518">
        <v>45</v>
      </c>
      <c r="B518">
        <v>0</v>
      </c>
      <c r="C518">
        <v>4</v>
      </c>
      <c r="D518">
        <v>10</v>
      </c>
      <c r="E518">
        <v>4</v>
      </c>
      <c r="F518">
        <v>28.698974361004002</v>
      </c>
      <c r="G518">
        <v>49</v>
      </c>
      <c r="H518">
        <v>69</v>
      </c>
      <c r="I518">
        <v>96</v>
      </c>
      <c r="J518">
        <v>1</v>
      </c>
      <c r="K518">
        <v>1</v>
      </c>
      <c r="L518" t="str">
        <f t="shared" si="104"/>
        <v>C517</v>
      </c>
      <c r="M518" t="str">
        <f t="shared" si="105"/>
        <v>Male</v>
      </c>
      <c r="N518" t="str">
        <f t="shared" si="106"/>
        <v>PhD</v>
      </c>
      <c r="O518" t="str">
        <f t="shared" si="107"/>
        <v>Senior Level</v>
      </c>
      <c r="P518" t="str">
        <f t="shared" si="108"/>
        <v>Low</v>
      </c>
      <c r="Q518" t="str">
        <f t="shared" si="109"/>
        <v>Intermediate</v>
      </c>
      <c r="R518" t="str">
        <f t="shared" si="110"/>
        <v>Strong</v>
      </c>
      <c r="S518" t="str">
        <f t="shared" si="111"/>
        <v>Hired</v>
      </c>
      <c r="T518">
        <f t="shared" si="112"/>
        <v>70</v>
      </c>
      <c r="U518" t="str">
        <f t="shared" si="113"/>
        <v>Developing</v>
      </c>
      <c r="V518" t="str">
        <f t="shared" si="114"/>
        <v>Personality</v>
      </c>
      <c r="W518" t="str">
        <f t="shared" si="115"/>
        <v>Interview Preparation</v>
      </c>
      <c r="X518" t="str">
        <f t="shared" si="116"/>
        <v>Improve interview preparation and communication</v>
      </c>
    </row>
    <row r="519" spans="1:24" x14ac:dyDescent="0.3">
      <c r="A519">
        <v>22</v>
      </c>
      <c r="B519">
        <v>0</v>
      </c>
      <c r="C519">
        <v>2</v>
      </c>
      <c r="D519">
        <v>4</v>
      </c>
      <c r="E519">
        <v>5</v>
      </c>
      <c r="F519">
        <v>15.8977465658432</v>
      </c>
      <c r="G519">
        <v>68</v>
      </c>
      <c r="H519">
        <v>84</v>
      </c>
      <c r="I519">
        <v>43</v>
      </c>
      <c r="J519">
        <v>2</v>
      </c>
      <c r="K519">
        <v>0</v>
      </c>
      <c r="L519" t="str">
        <f t="shared" si="104"/>
        <v>C518</v>
      </c>
      <c r="M519" t="str">
        <f t="shared" si="105"/>
        <v>Male</v>
      </c>
      <c r="N519" t="str">
        <f t="shared" si="106"/>
        <v>Bachelor's Type 2</v>
      </c>
      <c r="O519" t="str">
        <f t="shared" si="107"/>
        <v>Mid Level</v>
      </c>
      <c r="P519" t="str">
        <f t="shared" si="108"/>
        <v>Average</v>
      </c>
      <c r="Q519" t="str">
        <f t="shared" si="109"/>
        <v>Advanced</v>
      </c>
      <c r="R519" t="str">
        <f t="shared" si="110"/>
        <v>Needs Improvement</v>
      </c>
      <c r="S519" t="str">
        <f t="shared" si="111"/>
        <v>Not Hired</v>
      </c>
      <c r="T519">
        <f t="shared" si="112"/>
        <v>61</v>
      </c>
      <c r="U519" t="str">
        <f t="shared" si="113"/>
        <v>Developing</v>
      </c>
      <c r="V519" t="str">
        <f t="shared" si="114"/>
        <v>Technical Skills</v>
      </c>
      <c r="W519" t="str">
        <f t="shared" si="115"/>
        <v>Personality &amp; Communication</v>
      </c>
      <c r="X519" t="str">
        <f t="shared" si="116"/>
        <v>Work on communication and personality development</v>
      </c>
    </row>
    <row r="520" spans="1:24" x14ac:dyDescent="0.3">
      <c r="A520">
        <v>37</v>
      </c>
      <c r="B520">
        <v>0</v>
      </c>
      <c r="C520">
        <v>2</v>
      </c>
      <c r="D520">
        <v>13</v>
      </c>
      <c r="E520">
        <v>5</v>
      </c>
      <c r="F520">
        <v>23.753781776019199</v>
      </c>
      <c r="G520">
        <v>69</v>
      </c>
      <c r="H520">
        <v>89</v>
      </c>
      <c r="I520">
        <v>41</v>
      </c>
      <c r="J520">
        <v>2</v>
      </c>
      <c r="K520">
        <v>0</v>
      </c>
      <c r="L520" t="str">
        <f t="shared" si="104"/>
        <v>C519</v>
      </c>
      <c r="M520" t="str">
        <f t="shared" si="105"/>
        <v>Male</v>
      </c>
      <c r="N520" t="str">
        <f t="shared" si="106"/>
        <v>Bachelor's Type 2</v>
      </c>
      <c r="O520" t="str">
        <f t="shared" si="107"/>
        <v>Senior Level</v>
      </c>
      <c r="P520" t="str">
        <f t="shared" si="108"/>
        <v>Average</v>
      </c>
      <c r="Q520" t="str">
        <f t="shared" si="109"/>
        <v>Advanced</v>
      </c>
      <c r="R520" t="str">
        <f t="shared" si="110"/>
        <v>Needs Improvement</v>
      </c>
      <c r="S520" t="str">
        <f t="shared" si="111"/>
        <v>Not Hired</v>
      </c>
      <c r="T520">
        <f t="shared" si="112"/>
        <v>71</v>
      </c>
      <c r="U520" t="str">
        <f t="shared" si="113"/>
        <v>Developing</v>
      </c>
      <c r="V520" t="str">
        <f t="shared" si="114"/>
        <v>Technical Skills</v>
      </c>
      <c r="W520" t="str">
        <f t="shared" si="115"/>
        <v>Personality &amp; Communication</v>
      </c>
      <c r="X520" t="str">
        <f t="shared" si="116"/>
        <v>Work on communication and personality development</v>
      </c>
    </row>
    <row r="521" spans="1:24" x14ac:dyDescent="0.3">
      <c r="A521">
        <v>44</v>
      </c>
      <c r="B521">
        <v>1</v>
      </c>
      <c r="C521">
        <v>2</v>
      </c>
      <c r="D521">
        <v>13</v>
      </c>
      <c r="E521">
        <v>3</v>
      </c>
      <c r="F521">
        <v>9.1776897265093602</v>
      </c>
      <c r="G521">
        <v>29</v>
      </c>
      <c r="H521">
        <v>58</v>
      </c>
      <c r="I521">
        <v>39</v>
      </c>
      <c r="J521">
        <v>1</v>
      </c>
      <c r="K521">
        <v>1</v>
      </c>
      <c r="L521" t="str">
        <f t="shared" si="104"/>
        <v>C520</v>
      </c>
      <c r="M521" t="str">
        <f t="shared" si="105"/>
        <v>Female</v>
      </c>
      <c r="N521" t="str">
        <f t="shared" si="106"/>
        <v>Bachelor's Type 2</v>
      </c>
      <c r="O521" t="str">
        <f t="shared" si="107"/>
        <v>Senior Level</v>
      </c>
      <c r="P521" t="str">
        <f t="shared" si="108"/>
        <v>Low</v>
      </c>
      <c r="Q521" t="str">
        <f t="shared" si="109"/>
        <v>Intermediate</v>
      </c>
      <c r="R521" t="str">
        <f t="shared" si="110"/>
        <v>Needs Improvement</v>
      </c>
      <c r="S521" t="str">
        <f t="shared" si="111"/>
        <v>Hired</v>
      </c>
      <c r="T521">
        <f t="shared" si="112"/>
        <v>49</v>
      </c>
      <c r="U521" t="str">
        <f t="shared" si="113"/>
        <v>Needs Improvement</v>
      </c>
      <c r="V521" t="str">
        <f t="shared" si="114"/>
        <v>Technical Skills</v>
      </c>
      <c r="W521" t="str">
        <f t="shared" si="115"/>
        <v>Interview Preparation</v>
      </c>
      <c r="X521" t="str">
        <f t="shared" si="116"/>
        <v>Improve interview preparation and communication</v>
      </c>
    </row>
    <row r="522" spans="1:24" x14ac:dyDescent="0.3">
      <c r="A522">
        <v>43</v>
      </c>
      <c r="B522">
        <v>1</v>
      </c>
      <c r="C522">
        <v>3</v>
      </c>
      <c r="D522">
        <v>8</v>
      </c>
      <c r="E522">
        <v>3</v>
      </c>
      <c r="F522">
        <v>16.206192473401799</v>
      </c>
      <c r="G522">
        <v>94</v>
      </c>
      <c r="H522">
        <v>18</v>
      </c>
      <c r="I522">
        <v>96</v>
      </c>
      <c r="J522">
        <v>3</v>
      </c>
      <c r="K522">
        <v>1</v>
      </c>
      <c r="L522" t="str">
        <f t="shared" si="104"/>
        <v>C521</v>
      </c>
      <c r="M522" t="str">
        <f t="shared" si="105"/>
        <v>Female</v>
      </c>
      <c r="N522" t="str">
        <f t="shared" si="106"/>
        <v>Master's</v>
      </c>
      <c r="O522" t="str">
        <f t="shared" si="107"/>
        <v>Senior Level</v>
      </c>
      <c r="P522" t="str">
        <f t="shared" si="108"/>
        <v>Strong</v>
      </c>
      <c r="Q522" t="str">
        <f t="shared" si="109"/>
        <v>Beginner</v>
      </c>
      <c r="R522" t="str">
        <f t="shared" si="110"/>
        <v>Strong</v>
      </c>
      <c r="S522" t="str">
        <f t="shared" si="111"/>
        <v>Hired</v>
      </c>
      <c r="T522">
        <f t="shared" si="112"/>
        <v>65</v>
      </c>
      <c r="U522" t="str">
        <f t="shared" si="113"/>
        <v>Developing</v>
      </c>
      <c r="V522" t="str">
        <f t="shared" si="114"/>
        <v>Personality</v>
      </c>
      <c r="W522" t="str">
        <f t="shared" si="115"/>
        <v>Technical Skills</v>
      </c>
      <c r="X522" t="str">
        <f t="shared" si="116"/>
        <v>Strengthen technical skills and practical knowledge</v>
      </c>
    </row>
    <row r="523" spans="1:24" x14ac:dyDescent="0.3">
      <c r="A523">
        <v>32</v>
      </c>
      <c r="B523">
        <v>0</v>
      </c>
      <c r="C523">
        <v>2</v>
      </c>
      <c r="D523">
        <v>7</v>
      </c>
      <c r="E523">
        <v>4</v>
      </c>
      <c r="F523">
        <v>32.055316245510099</v>
      </c>
      <c r="G523">
        <v>16</v>
      </c>
      <c r="H523">
        <v>27</v>
      </c>
      <c r="I523">
        <v>11</v>
      </c>
      <c r="J523">
        <v>2</v>
      </c>
      <c r="K523">
        <v>0</v>
      </c>
      <c r="L523" t="str">
        <f t="shared" si="104"/>
        <v>C522</v>
      </c>
      <c r="M523" t="str">
        <f t="shared" si="105"/>
        <v>Male</v>
      </c>
      <c r="N523" t="str">
        <f t="shared" si="106"/>
        <v>Bachelor's Type 2</v>
      </c>
      <c r="O523" t="str">
        <f t="shared" si="107"/>
        <v>Senior Level</v>
      </c>
      <c r="P523" t="str">
        <f t="shared" si="108"/>
        <v>Low</v>
      </c>
      <c r="Q523" t="str">
        <f t="shared" si="109"/>
        <v>Beginner</v>
      </c>
      <c r="R523" t="str">
        <f t="shared" si="110"/>
        <v>Needs Improvement</v>
      </c>
      <c r="S523" t="str">
        <f t="shared" si="111"/>
        <v>Not Hired</v>
      </c>
      <c r="T523">
        <f t="shared" si="112"/>
        <v>25</v>
      </c>
      <c r="U523" t="str">
        <f t="shared" si="113"/>
        <v>Needs Improvement</v>
      </c>
      <c r="V523" t="str">
        <f t="shared" si="114"/>
        <v>Technical Skills</v>
      </c>
      <c r="W523" t="str">
        <f t="shared" si="115"/>
        <v>Personality &amp; Communication</v>
      </c>
      <c r="X523" t="str">
        <f t="shared" si="116"/>
        <v>Work on communication and personality development</v>
      </c>
    </row>
    <row r="524" spans="1:24" x14ac:dyDescent="0.3">
      <c r="A524">
        <v>47</v>
      </c>
      <c r="B524">
        <v>0</v>
      </c>
      <c r="C524">
        <v>2</v>
      </c>
      <c r="D524">
        <v>1</v>
      </c>
      <c r="E524">
        <v>2</v>
      </c>
      <c r="F524">
        <v>16.0900027930577</v>
      </c>
      <c r="G524">
        <v>74</v>
      </c>
      <c r="H524">
        <v>71</v>
      </c>
      <c r="I524">
        <v>1</v>
      </c>
      <c r="J524">
        <v>2</v>
      </c>
      <c r="K524">
        <v>0</v>
      </c>
      <c r="L524" t="str">
        <f t="shared" si="104"/>
        <v>C523</v>
      </c>
      <c r="M524" t="str">
        <f t="shared" si="105"/>
        <v>Male</v>
      </c>
      <c r="N524" t="str">
        <f t="shared" si="106"/>
        <v>Bachelor's Type 2</v>
      </c>
      <c r="O524" t="str">
        <f t="shared" si="107"/>
        <v>Entry Level</v>
      </c>
      <c r="P524" t="str">
        <f t="shared" si="108"/>
        <v>Average</v>
      </c>
      <c r="Q524" t="str">
        <f t="shared" si="109"/>
        <v>Intermediate</v>
      </c>
      <c r="R524" t="str">
        <f t="shared" si="110"/>
        <v>Needs Improvement</v>
      </c>
      <c r="S524" t="str">
        <f t="shared" si="111"/>
        <v>Not Hired</v>
      </c>
      <c r="T524">
        <f t="shared" si="112"/>
        <v>47</v>
      </c>
      <c r="U524" t="str">
        <f t="shared" si="113"/>
        <v>Needs Improvement</v>
      </c>
      <c r="V524" t="str">
        <f t="shared" si="114"/>
        <v>Interview</v>
      </c>
      <c r="W524" t="str">
        <f t="shared" si="115"/>
        <v>Personality &amp; Communication</v>
      </c>
      <c r="X524" t="str">
        <f t="shared" si="116"/>
        <v>Work on communication and personality development</v>
      </c>
    </row>
    <row r="525" spans="1:24" x14ac:dyDescent="0.3">
      <c r="A525">
        <v>45</v>
      </c>
      <c r="B525">
        <v>1</v>
      </c>
      <c r="C525">
        <v>2</v>
      </c>
      <c r="D525">
        <v>2</v>
      </c>
      <c r="E525">
        <v>2</v>
      </c>
      <c r="F525">
        <v>45.987153920443497</v>
      </c>
      <c r="G525">
        <v>19</v>
      </c>
      <c r="H525">
        <v>13</v>
      </c>
      <c r="I525">
        <v>27</v>
      </c>
      <c r="J525">
        <v>3</v>
      </c>
      <c r="K525">
        <v>0</v>
      </c>
      <c r="L525" t="str">
        <f t="shared" si="104"/>
        <v>C524</v>
      </c>
      <c r="M525" t="str">
        <f t="shared" si="105"/>
        <v>Female</v>
      </c>
      <c r="N525" t="str">
        <f t="shared" si="106"/>
        <v>Bachelor's Type 2</v>
      </c>
      <c r="O525" t="str">
        <f t="shared" si="107"/>
        <v>Entry Level</v>
      </c>
      <c r="P525" t="str">
        <f t="shared" si="108"/>
        <v>Low</v>
      </c>
      <c r="Q525" t="str">
        <f t="shared" si="109"/>
        <v>Beginner</v>
      </c>
      <c r="R525" t="str">
        <f t="shared" si="110"/>
        <v>Needs Improvement</v>
      </c>
      <c r="S525" t="str">
        <f t="shared" si="111"/>
        <v>Not Hired</v>
      </c>
      <c r="T525">
        <f t="shared" si="112"/>
        <v>20</v>
      </c>
      <c r="U525" t="str">
        <f t="shared" si="113"/>
        <v>Needs Improvement</v>
      </c>
      <c r="V525" t="str">
        <f t="shared" si="114"/>
        <v>Personality</v>
      </c>
      <c r="W525" t="str">
        <f t="shared" si="115"/>
        <v>Technical Skills</v>
      </c>
      <c r="X525" t="str">
        <f t="shared" si="116"/>
        <v>Strengthen technical skills and practical knowledge</v>
      </c>
    </row>
    <row r="526" spans="1:24" x14ac:dyDescent="0.3">
      <c r="A526">
        <v>26</v>
      </c>
      <c r="B526">
        <v>0</v>
      </c>
      <c r="C526">
        <v>3</v>
      </c>
      <c r="D526">
        <v>15</v>
      </c>
      <c r="E526">
        <v>3</v>
      </c>
      <c r="F526">
        <v>32.420347882049398</v>
      </c>
      <c r="G526">
        <v>47</v>
      </c>
      <c r="H526">
        <v>23</v>
      </c>
      <c r="I526">
        <v>73</v>
      </c>
      <c r="J526">
        <v>2</v>
      </c>
      <c r="K526">
        <v>0</v>
      </c>
      <c r="L526" t="str">
        <f t="shared" si="104"/>
        <v>C525</v>
      </c>
      <c r="M526" t="str">
        <f t="shared" si="105"/>
        <v>Male</v>
      </c>
      <c r="N526" t="str">
        <f t="shared" si="106"/>
        <v>Master's</v>
      </c>
      <c r="O526" t="str">
        <f t="shared" si="107"/>
        <v>Senior Level</v>
      </c>
      <c r="P526" t="str">
        <f t="shared" si="108"/>
        <v>Low</v>
      </c>
      <c r="Q526" t="str">
        <f t="shared" si="109"/>
        <v>Beginner</v>
      </c>
      <c r="R526" t="str">
        <f t="shared" si="110"/>
        <v>Good</v>
      </c>
      <c r="S526" t="str">
        <f t="shared" si="111"/>
        <v>Not Hired</v>
      </c>
      <c r="T526">
        <f t="shared" si="112"/>
        <v>54</v>
      </c>
      <c r="U526" t="str">
        <f t="shared" si="113"/>
        <v>Developing</v>
      </c>
      <c r="V526" t="str">
        <f t="shared" si="114"/>
        <v>Personality</v>
      </c>
      <c r="W526" t="str">
        <f t="shared" si="115"/>
        <v>Technical Skills</v>
      </c>
      <c r="X526" t="str">
        <f t="shared" si="116"/>
        <v>Strengthen technical skills and practical knowledge</v>
      </c>
    </row>
    <row r="527" spans="1:24" x14ac:dyDescent="0.3">
      <c r="A527">
        <v>44</v>
      </c>
      <c r="B527">
        <v>0</v>
      </c>
      <c r="C527">
        <v>2</v>
      </c>
      <c r="D527">
        <v>15</v>
      </c>
      <c r="E527">
        <v>2</v>
      </c>
      <c r="F527">
        <v>22.932450921799202</v>
      </c>
      <c r="G527">
        <v>72</v>
      </c>
      <c r="H527">
        <v>43</v>
      </c>
      <c r="I527">
        <v>85</v>
      </c>
      <c r="J527">
        <v>2</v>
      </c>
      <c r="K527">
        <v>0</v>
      </c>
      <c r="L527" t="str">
        <f t="shared" si="104"/>
        <v>C526</v>
      </c>
      <c r="M527" t="str">
        <f t="shared" si="105"/>
        <v>Male</v>
      </c>
      <c r="N527" t="str">
        <f t="shared" si="106"/>
        <v>Bachelor's Type 2</v>
      </c>
      <c r="O527" t="str">
        <f t="shared" si="107"/>
        <v>Senior Level</v>
      </c>
      <c r="P527" t="str">
        <f t="shared" si="108"/>
        <v>Average</v>
      </c>
      <c r="Q527" t="str">
        <f t="shared" si="109"/>
        <v>Beginner</v>
      </c>
      <c r="R527" t="str">
        <f t="shared" si="110"/>
        <v>Strong</v>
      </c>
      <c r="S527" t="str">
        <f t="shared" si="111"/>
        <v>Not Hired</v>
      </c>
      <c r="T527">
        <f t="shared" si="112"/>
        <v>69</v>
      </c>
      <c r="U527" t="str">
        <f t="shared" si="113"/>
        <v>Developing</v>
      </c>
      <c r="V527" t="str">
        <f t="shared" si="114"/>
        <v>Personality</v>
      </c>
      <c r="W527" t="str">
        <f t="shared" si="115"/>
        <v>Technical Skills</v>
      </c>
      <c r="X527" t="str">
        <f t="shared" si="116"/>
        <v>Strengthen technical skills and practical knowledge</v>
      </c>
    </row>
    <row r="528" spans="1:24" x14ac:dyDescent="0.3">
      <c r="A528">
        <v>23</v>
      </c>
      <c r="B528">
        <v>1</v>
      </c>
      <c r="C528">
        <v>1</v>
      </c>
      <c r="D528">
        <v>1</v>
      </c>
      <c r="E528">
        <v>3</v>
      </c>
      <c r="F528">
        <v>2.9378467777091202</v>
      </c>
      <c r="G528">
        <v>1</v>
      </c>
      <c r="H528">
        <v>100</v>
      </c>
      <c r="I528">
        <v>80</v>
      </c>
      <c r="J528">
        <v>3</v>
      </c>
      <c r="K528">
        <v>0</v>
      </c>
      <c r="L528" t="str">
        <f t="shared" si="104"/>
        <v>C527</v>
      </c>
      <c r="M528" t="str">
        <f t="shared" si="105"/>
        <v>Female</v>
      </c>
      <c r="N528" t="str">
        <f t="shared" si="106"/>
        <v>Bachelor's Type 1</v>
      </c>
      <c r="O528" t="str">
        <f t="shared" si="107"/>
        <v>Entry Level</v>
      </c>
      <c r="P528" t="str">
        <f t="shared" si="108"/>
        <v>Low</v>
      </c>
      <c r="Q528" t="str">
        <f t="shared" si="109"/>
        <v>Advanced</v>
      </c>
      <c r="R528" t="str">
        <f t="shared" si="110"/>
        <v>Strong</v>
      </c>
      <c r="S528" t="str">
        <f t="shared" si="111"/>
        <v>Not Hired</v>
      </c>
      <c r="T528">
        <f t="shared" si="112"/>
        <v>50</v>
      </c>
      <c r="U528" t="str">
        <f t="shared" si="113"/>
        <v>Developing</v>
      </c>
      <c r="V528" t="str">
        <f t="shared" si="114"/>
        <v>Technical Skills</v>
      </c>
      <c r="W528" t="str">
        <f t="shared" si="115"/>
        <v>Interview Preparation</v>
      </c>
      <c r="X528" t="str">
        <f t="shared" si="116"/>
        <v>Improve interview preparation and communication</v>
      </c>
    </row>
    <row r="529" spans="1:24" x14ac:dyDescent="0.3">
      <c r="A529">
        <v>32</v>
      </c>
      <c r="B529">
        <v>0</v>
      </c>
      <c r="C529">
        <v>2</v>
      </c>
      <c r="D529">
        <v>15</v>
      </c>
      <c r="E529">
        <v>5</v>
      </c>
      <c r="F529">
        <v>25.977416760233499</v>
      </c>
      <c r="G529">
        <v>36</v>
      </c>
      <c r="H529">
        <v>55</v>
      </c>
      <c r="I529">
        <v>89</v>
      </c>
      <c r="J529">
        <v>1</v>
      </c>
      <c r="K529">
        <v>1</v>
      </c>
      <c r="L529" t="str">
        <f t="shared" si="104"/>
        <v>C528</v>
      </c>
      <c r="M529" t="str">
        <f t="shared" si="105"/>
        <v>Male</v>
      </c>
      <c r="N529" t="str">
        <f t="shared" si="106"/>
        <v>Bachelor's Type 2</v>
      </c>
      <c r="O529" t="str">
        <f t="shared" si="107"/>
        <v>Senior Level</v>
      </c>
      <c r="P529" t="str">
        <f t="shared" si="108"/>
        <v>Low</v>
      </c>
      <c r="Q529" t="str">
        <f t="shared" si="109"/>
        <v>Intermediate</v>
      </c>
      <c r="R529" t="str">
        <f t="shared" si="110"/>
        <v>Strong</v>
      </c>
      <c r="S529" t="str">
        <f t="shared" si="111"/>
        <v>Hired</v>
      </c>
      <c r="T529">
        <f t="shared" si="112"/>
        <v>63</v>
      </c>
      <c r="U529" t="str">
        <f t="shared" si="113"/>
        <v>Developing</v>
      </c>
      <c r="V529" t="str">
        <f t="shared" si="114"/>
        <v>Personality</v>
      </c>
      <c r="W529" t="str">
        <f t="shared" si="115"/>
        <v>Interview Preparation</v>
      </c>
      <c r="X529" t="str">
        <f t="shared" si="116"/>
        <v>Improve interview preparation and communication</v>
      </c>
    </row>
    <row r="530" spans="1:24" x14ac:dyDescent="0.3">
      <c r="A530">
        <v>39</v>
      </c>
      <c r="B530">
        <v>1</v>
      </c>
      <c r="C530">
        <v>2</v>
      </c>
      <c r="D530">
        <v>7</v>
      </c>
      <c r="E530">
        <v>4</v>
      </c>
      <c r="F530">
        <v>39.2388121062544</v>
      </c>
      <c r="G530">
        <v>0</v>
      </c>
      <c r="H530">
        <v>89</v>
      </c>
      <c r="I530">
        <v>66</v>
      </c>
      <c r="J530">
        <v>2</v>
      </c>
      <c r="K530">
        <v>0</v>
      </c>
      <c r="L530" t="str">
        <f t="shared" si="104"/>
        <v>C529</v>
      </c>
      <c r="M530" t="str">
        <f t="shared" si="105"/>
        <v>Female</v>
      </c>
      <c r="N530" t="str">
        <f t="shared" si="106"/>
        <v>Bachelor's Type 2</v>
      </c>
      <c r="O530" t="str">
        <f t="shared" si="107"/>
        <v>Senior Level</v>
      </c>
      <c r="P530" t="str">
        <f t="shared" si="108"/>
        <v>Low</v>
      </c>
      <c r="Q530" t="str">
        <f t="shared" si="109"/>
        <v>Advanced</v>
      </c>
      <c r="R530" t="str">
        <f t="shared" si="110"/>
        <v>Good</v>
      </c>
      <c r="S530" t="str">
        <f t="shared" si="111"/>
        <v>Not Hired</v>
      </c>
      <c r="T530">
        <f t="shared" si="112"/>
        <v>49</v>
      </c>
      <c r="U530" t="str">
        <f t="shared" si="113"/>
        <v>Needs Improvement</v>
      </c>
      <c r="V530" t="str">
        <f t="shared" si="114"/>
        <v>Technical Skills</v>
      </c>
      <c r="W530" t="str">
        <f t="shared" si="115"/>
        <v>Interview Preparation</v>
      </c>
      <c r="X530" t="str">
        <f t="shared" si="116"/>
        <v>Improve interview preparation and communication</v>
      </c>
    </row>
    <row r="531" spans="1:24" x14ac:dyDescent="0.3">
      <c r="A531">
        <v>20</v>
      </c>
      <c r="B531">
        <v>0</v>
      </c>
      <c r="C531">
        <v>1</v>
      </c>
      <c r="D531">
        <v>5</v>
      </c>
      <c r="E531">
        <v>1</v>
      </c>
      <c r="F531">
        <v>14.277879900620601</v>
      </c>
      <c r="G531">
        <v>3</v>
      </c>
      <c r="H531">
        <v>94</v>
      </c>
      <c r="I531">
        <v>70</v>
      </c>
      <c r="J531">
        <v>1</v>
      </c>
      <c r="K531">
        <v>1</v>
      </c>
      <c r="L531" t="str">
        <f t="shared" si="104"/>
        <v>C530</v>
      </c>
      <c r="M531" t="str">
        <f t="shared" si="105"/>
        <v>Male</v>
      </c>
      <c r="N531" t="str">
        <f t="shared" si="106"/>
        <v>Bachelor's Type 1</v>
      </c>
      <c r="O531" t="str">
        <f t="shared" si="107"/>
        <v>Mid Level</v>
      </c>
      <c r="P531" t="str">
        <f t="shared" si="108"/>
        <v>Low</v>
      </c>
      <c r="Q531" t="str">
        <f t="shared" si="109"/>
        <v>Advanced</v>
      </c>
      <c r="R531" t="str">
        <f t="shared" si="110"/>
        <v>Good</v>
      </c>
      <c r="S531" t="str">
        <f t="shared" si="111"/>
        <v>Hired</v>
      </c>
      <c r="T531">
        <f t="shared" si="112"/>
        <v>51</v>
      </c>
      <c r="U531" t="str">
        <f t="shared" si="113"/>
        <v>Developing</v>
      </c>
      <c r="V531" t="str">
        <f t="shared" si="114"/>
        <v>Technical Skills</v>
      </c>
      <c r="W531" t="str">
        <f t="shared" si="115"/>
        <v>Interview Preparation</v>
      </c>
      <c r="X531" t="str">
        <f t="shared" si="116"/>
        <v>Improve interview preparation and communication</v>
      </c>
    </row>
    <row r="532" spans="1:24" x14ac:dyDescent="0.3">
      <c r="A532">
        <v>27</v>
      </c>
      <c r="B532">
        <v>1</v>
      </c>
      <c r="C532">
        <v>3</v>
      </c>
      <c r="D532">
        <v>5</v>
      </c>
      <c r="E532">
        <v>4</v>
      </c>
      <c r="F532">
        <v>41.338678482438297</v>
      </c>
      <c r="G532">
        <v>99</v>
      </c>
      <c r="H532">
        <v>50</v>
      </c>
      <c r="I532">
        <v>71</v>
      </c>
      <c r="J532">
        <v>1</v>
      </c>
      <c r="K532">
        <v>1</v>
      </c>
      <c r="L532" t="str">
        <f t="shared" si="104"/>
        <v>C531</v>
      </c>
      <c r="M532" t="str">
        <f t="shared" si="105"/>
        <v>Female</v>
      </c>
      <c r="N532" t="str">
        <f t="shared" si="106"/>
        <v>Master's</v>
      </c>
      <c r="O532" t="str">
        <f t="shared" si="107"/>
        <v>Mid Level</v>
      </c>
      <c r="P532" t="str">
        <f t="shared" si="108"/>
        <v>Strong</v>
      </c>
      <c r="Q532" t="str">
        <f t="shared" si="109"/>
        <v>Intermediate</v>
      </c>
      <c r="R532" t="str">
        <f t="shared" si="110"/>
        <v>Good</v>
      </c>
      <c r="S532" t="str">
        <f t="shared" si="111"/>
        <v>Hired</v>
      </c>
      <c r="T532">
        <f t="shared" si="112"/>
        <v>68</v>
      </c>
      <c r="U532" t="str">
        <f t="shared" si="113"/>
        <v>Developing</v>
      </c>
      <c r="V532" t="str">
        <f t="shared" si="114"/>
        <v>Interview</v>
      </c>
      <c r="W532" t="str">
        <f t="shared" si="115"/>
        <v>Technical Skills</v>
      </c>
      <c r="X532" t="str">
        <f t="shared" si="116"/>
        <v>Strengthen technical skills and practical knowledge</v>
      </c>
    </row>
    <row r="533" spans="1:24" x14ac:dyDescent="0.3">
      <c r="A533">
        <v>33</v>
      </c>
      <c r="B533">
        <v>0</v>
      </c>
      <c r="C533">
        <v>2</v>
      </c>
      <c r="D533">
        <v>11</v>
      </c>
      <c r="E533">
        <v>3</v>
      </c>
      <c r="F533">
        <v>13.590338302544</v>
      </c>
      <c r="G533">
        <v>53</v>
      </c>
      <c r="H533">
        <v>31</v>
      </c>
      <c r="I533">
        <v>83</v>
      </c>
      <c r="J533">
        <v>3</v>
      </c>
      <c r="K533">
        <v>0</v>
      </c>
      <c r="L533" t="str">
        <f t="shared" si="104"/>
        <v>C532</v>
      </c>
      <c r="M533" t="str">
        <f t="shared" si="105"/>
        <v>Male</v>
      </c>
      <c r="N533" t="str">
        <f t="shared" si="106"/>
        <v>Bachelor's Type 2</v>
      </c>
      <c r="O533" t="str">
        <f t="shared" si="107"/>
        <v>Senior Level</v>
      </c>
      <c r="P533" t="str">
        <f t="shared" si="108"/>
        <v>Average</v>
      </c>
      <c r="Q533" t="str">
        <f t="shared" si="109"/>
        <v>Beginner</v>
      </c>
      <c r="R533" t="str">
        <f t="shared" si="110"/>
        <v>Strong</v>
      </c>
      <c r="S533" t="str">
        <f t="shared" si="111"/>
        <v>Not Hired</v>
      </c>
      <c r="T533">
        <f t="shared" si="112"/>
        <v>55</v>
      </c>
      <c r="U533" t="str">
        <f t="shared" si="113"/>
        <v>Developing</v>
      </c>
      <c r="V533" t="str">
        <f t="shared" si="114"/>
        <v>Personality</v>
      </c>
      <c r="W533" t="str">
        <f t="shared" si="115"/>
        <v>Technical Skills</v>
      </c>
      <c r="X533" t="str">
        <f t="shared" si="116"/>
        <v>Strengthen technical skills and practical knowledge</v>
      </c>
    </row>
    <row r="534" spans="1:24" x14ac:dyDescent="0.3">
      <c r="A534">
        <v>35</v>
      </c>
      <c r="B534">
        <v>0</v>
      </c>
      <c r="C534">
        <v>3</v>
      </c>
      <c r="D534">
        <v>14</v>
      </c>
      <c r="E534">
        <v>3</v>
      </c>
      <c r="F534">
        <v>42.187319397540001</v>
      </c>
      <c r="G534">
        <v>24</v>
      </c>
      <c r="H534">
        <v>49</v>
      </c>
      <c r="I534">
        <v>75</v>
      </c>
      <c r="J534">
        <v>2</v>
      </c>
      <c r="K534">
        <v>0</v>
      </c>
      <c r="L534" t="str">
        <f t="shared" si="104"/>
        <v>C533</v>
      </c>
      <c r="M534" t="str">
        <f t="shared" si="105"/>
        <v>Male</v>
      </c>
      <c r="N534" t="str">
        <f t="shared" si="106"/>
        <v>Master's</v>
      </c>
      <c r="O534" t="str">
        <f t="shared" si="107"/>
        <v>Senior Level</v>
      </c>
      <c r="P534" t="str">
        <f t="shared" si="108"/>
        <v>Low</v>
      </c>
      <c r="Q534" t="str">
        <f t="shared" si="109"/>
        <v>Beginner</v>
      </c>
      <c r="R534" t="str">
        <f t="shared" si="110"/>
        <v>Strong</v>
      </c>
      <c r="S534" t="str">
        <f t="shared" si="111"/>
        <v>Not Hired</v>
      </c>
      <c r="T534">
        <f t="shared" si="112"/>
        <v>55</v>
      </c>
      <c r="U534" t="str">
        <f t="shared" si="113"/>
        <v>Developing</v>
      </c>
      <c r="V534" t="str">
        <f t="shared" si="114"/>
        <v>Personality</v>
      </c>
      <c r="W534" t="str">
        <f t="shared" si="115"/>
        <v>Interview Preparation</v>
      </c>
      <c r="X534" t="str">
        <f t="shared" si="116"/>
        <v>Improve interview preparation and communication</v>
      </c>
    </row>
    <row r="535" spans="1:24" x14ac:dyDescent="0.3">
      <c r="A535">
        <v>33</v>
      </c>
      <c r="B535">
        <v>1</v>
      </c>
      <c r="C535">
        <v>2</v>
      </c>
      <c r="D535">
        <v>8</v>
      </c>
      <c r="E535">
        <v>4</v>
      </c>
      <c r="F535">
        <v>5.2634170805838698</v>
      </c>
      <c r="G535">
        <v>2</v>
      </c>
      <c r="H535">
        <v>40</v>
      </c>
      <c r="I535">
        <v>98</v>
      </c>
      <c r="J535">
        <v>2</v>
      </c>
      <c r="K535">
        <v>0</v>
      </c>
      <c r="L535" t="str">
        <f t="shared" si="104"/>
        <v>C534</v>
      </c>
      <c r="M535" t="str">
        <f t="shared" si="105"/>
        <v>Female</v>
      </c>
      <c r="N535" t="str">
        <f t="shared" si="106"/>
        <v>Bachelor's Type 2</v>
      </c>
      <c r="O535" t="str">
        <f t="shared" si="107"/>
        <v>Senior Level</v>
      </c>
      <c r="P535" t="str">
        <f t="shared" si="108"/>
        <v>Low</v>
      </c>
      <c r="Q535" t="str">
        <f t="shared" si="109"/>
        <v>Beginner</v>
      </c>
      <c r="R535" t="str">
        <f t="shared" si="110"/>
        <v>Strong</v>
      </c>
      <c r="S535" t="str">
        <f t="shared" si="111"/>
        <v>Not Hired</v>
      </c>
      <c r="T535">
        <f t="shared" si="112"/>
        <v>43</v>
      </c>
      <c r="U535" t="str">
        <f t="shared" si="113"/>
        <v>Needs Improvement</v>
      </c>
      <c r="V535" t="str">
        <f t="shared" si="114"/>
        <v>Personality</v>
      </c>
      <c r="W535" t="str">
        <f t="shared" si="115"/>
        <v>Interview Preparation</v>
      </c>
      <c r="X535" t="str">
        <f t="shared" si="116"/>
        <v>Improve interview preparation and communication</v>
      </c>
    </row>
    <row r="536" spans="1:24" x14ac:dyDescent="0.3">
      <c r="A536">
        <v>31</v>
      </c>
      <c r="B536">
        <v>0</v>
      </c>
      <c r="C536">
        <v>3</v>
      </c>
      <c r="D536">
        <v>7</v>
      </c>
      <c r="E536">
        <v>3</v>
      </c>
      <c r="F536">
        <v>44.309185443451398</v>
      </c>
      <c r="G536">
        <v>8</v>
      </c>
      <c r="H536">
        <v>65</v>
      </c>
      <c r="I536">
        <v>80</v>
      </c>
      <c r="J536">
        <v>3</v>
      </c>
      <c r="K536">
        <v>1</v>
      </c>
      <c r="L536" t="str">
        <f t="shared" si="104"/>
        <v>C535</v>
      </c>
      <c r="M536" t="str">
        <f t="shared" si="105"/>
        <v>Male</v>
      </c>
      <c r="N536" t="str">
        <f t="shared" si="106"/>
        <v>Master's</v>
      </c>
      <c r="O536" t="str">
        <f t="shared" si="107"/>
        <v>Senior Level</v>
      </c>
      <c r="P536" t="str">
        <f t="shared" si="108"/>
        <v>Low</v>
      </c>
      <c r="Q536" t="str">
        <f t="shared" si="109"/>
        <v>Intermediate</v>
      </c>
      <c r="R536" t="str">
        <f t="shared" si="110"/>
        <v>Strong</v>
      </c>
      <c r="S536" t="str">
        <f t="shared" si="111"/>
        <v>Hired</v>
      </c>
      <c r="T536">
        <f t="shared" si="112"/>
        <v>49</v>
      </c>
      <c r="U536" t="str">
        <f t="shared" si="113"/>
        <v>Needs Improvement</v>
      </c>
      <c r="V536" t="str">
        <f t="shared" si="114"/>
        <v>Personality</v>
      </c>
      <c r="W536" t="str">
        <f t="shared" si="115"/>
        <v>Interview Preparation</v>
      </c>
      <c r="X536" t="str">
        <f t="shared" si="116"/>
        <v>Improve interview preparation and communication</v>
      </c>
    </row>
    <row r="537" spans="1:24" x14ac:dyDescent="0.3">
      <c r="A537">
        <v>38</v>
      </c>
      <c r="B537">
        <v>1</v>
      </c>
      <c r="C537">
        <v>1</v>
      </c>
      <c r="D537">
        <v>3</v>
      </c>
      <c r="E537">
        <v>2</v>
      </c>
      <c r="F537">
        <v>25.959322546666499</v>
      </c>
      <c r="G537">
        <v>85</v>
      </c>
      <c r="H537">
        <v>24</v>
      </c>
      <c r="I537">
        <v>91</v>
      </c>
      <c r="J537">
        <v>3</v>
      </c>
      <c r="K537">
        <v>0</v>
      </c>
      <c r="L537" t="str">
        <f t="shared" si="104"/>
        <v>C536</v>
      </c>
      <c r="M537" t="str">
        <f t="shared" si="105"/>
        <v>Female</v>
      </c>
      <c r="N537" t="str">
        <f t="shared" si="106"/>
        <v>Bachelor's Type 1</v>
      </c>
      <c r="O537" t="str">
        <f t="shared" si="107"/>
        <v>Mid Level</v>
      </c>
      <c r="P537" t="str">
        <f t="shared" si="108"/>
        <v>Strong</v>
      </c>
      <c r="Q537" t="str">
        <f t="shared" si="109"/>
        <v>Beginner</v>
      </c>
      <c r="R537" t="str">
        <f t="shared" si="110"/>
        <v>Strong</v>
      </c>
      <c r="S537" t="str">
        <f t="shared" si="111"/>
        <v>Not Hired</v>
      </c>
      <c r="T537">
        <f t="shared" si="112"/>
        <v>56</v>
      </c>
      <c r="U537" t="str">
        <f t="shared" si="113"/>
        <v>Developing</v>
      </c>
      <c r="V537" t="str">
        <f t="shared" si="114"/>
        <v>Personality</v>
      </c>
      <c r="W537" t="str">
        <f t="shared" si="115"/>
        <v>Technical Skills</v>
      </c>
      <c r="X537" t="str">
        <f t="shared" si="116"/>
        <v>Strengthen technical skills and practical knowledge</v>
      </c>
    </row>
    <row r="538" spans="1:24" x14ac:dyDescent="0.3">
      <c r="A538">
        <v>42</v>
      </c>
      <c r="B538">
        <v>0</v>
      </c>
      <c r="C538">
        <v>2</v>
      </c>
      <c r="D538">
        <v>14</v>
      </c>
      <c r="E538">
        <v>2</v>
      </c>
      <c r="F538">
        <v>15.826879481013099</v>
      </c>
      <c r="G538">
        <v>86</v>
      </c>
      <c r="H538">
        <v>60</v>
      </c>
      <c r="I538">
        <v>9</v>
      </c>
      <c r="J538">
        <v>3</v>
      </c>
      <c r="K538">
        <v>0</v>
      </c>
      <c r="L538" t="str">
        <f t="shared" si="104"/>
        <v>C537</v>
      </c>
      <c r="M538" t="str">
        <f t="shared" si="105"/>
        <v>Male</v>
      </c>
      <c r="N538" t="str">
        <f t="shared" si="106"/>
        <v>Bachelor's Type 2</v>
      </c>
      <c r="O538" t="str">
        <f t="shared" si="107"/>
        <v>Senior Level</v>
      </c>
      <c r="P538" t="str">
        <f t="shared" si="108"/>
        <v>Strong</v>
      </c>
      <c r="Q538" t="str">
        <f t="shared" si="109"/>
        <v>Intermediate</v>
      </c>
      <c r="R538" t="str">
        <f t="shared" si="110"/>
        <v>Needs Improvement</v>
      </c>
      <c r="S538" t="str">
        <f t="shared" si="111"/>
        <v>Not Hired</v>
      </c>
      <c r="T538">
        <f t="shared" si="112"/>
        <v>62</v>
      </c>
      <c r="U538" t="str">
        <f t="shared" si="113"/>
        <v>Developing</v>
      </c>
      <c r="V538" t="str">
        <f t="shared" si="114"/>
        <v>Interview</v>
      </c>
      <c r="W538" t="str">
        <f t="shared" si="115"/>
        <v>Personality &amp; Communication</v>
      </c>
      <c r="X538" t="str">
        <f t="shared" si="116"/>
        <v>Work on communication and personality development</v>
      </c>
    </row>
    <row r="539" spans="1:24" x14ac:dyDescent="0.3">
      <c r="A539">
        <v>34</v>
      </c>
      <c r="B539">
        <v>1</v>
      </c>
      <c r="C539">
        <v>4</v>
      </c>
      <c r="D539">
        <v>11</v>
      </c>
      <c r="E539">
        <v>3</v>
      </c>
      <c r="F539">
        <v>14.255662520757401</v>
      </c>
      <c r="G539">
        <v>75</v>
      </c>
      <c r="H539">
        <v>65</v>
      </c>
      <c r="I539">
        <v>85</v>
      </c>
      <c r="J539">
        <v>2</v>
      </c>
      <c r="K539">
        <v>1</v>
      </c>
      <c r="L539" t="str">
        <f t="shared" si="104"/>
        <v>C538</v>
      </c>
      <c r="M539" t="str">
        <f t="shared" si="105"/>
        <v>Female</v>
      </c>
      <c r="N539" t="str">
        <f t="shared" si="106"/>
        <v>PhD</v>
      </c>
      <c r="O539" t="str">
        <f t="shared" si="107"/>
        <v>Senior Level</v>
      </c>
      <c r="P539" t="str">
        <f t="shared" si="108"/>
        <v>Strong</v>
      </c>
      <c r="Q539" t="str">
        <f t="shared" si="109"/>
        <v>Intermediate</v>
      </c>
      <c r="R539" t="str">
        <f t="shared" si="110"/>
        <v>Strong</v>
      </c>
      <c r="S539" t="str">
        <f t="shared" si="111"/>
        <v>Hired</v>
      </c>
      <c r="T539">
        <f t="shared" si="112"/>
        <v>75</v>
      </c>
      <c r="U539" t="str">
        <f t="shared" si="113"/>
        <v>Job Ready</v>
      </c>
      <c r="V539" t="str">
        <f t="shared" si="114"/>
        <v>Personality</v>
      </c>
      <c r="W539" t="str">
        <f t="shared" si="115"/>
        <v>Technical Skills</v>
      </c>
      <c r="X539" t="str">
        <f t="shared" si="116"/>
        <v>Strengthen technical skills and practical knowledge</v>
      </c>
    </row>
    <row r="540" spans="1:24" x14ac:dyDescent="0.3">
      <c r="A540">
        <v>47</v>
      </c>
      <c r="B540">
        <v>1</v>
      </c>
      <c r="C540">
        <v>3</v>
      </c>
      <c r="D540">
        <v>3</v>
      </c>
      <c r="E540">
        <v>3</v>
      </c>
      <c r="F540">
        <v>22.600527946518099</v>
      </c>
      <c r="G540">
        <v>73</v>
      </c>
      <c r="H540">
        <v>41</v>
      </c>
      <c r="I540">
        <v>56</v>
      </c>
      <c r="J540">
        <v>2</v>
      </c>
      <c r="K540">
        <v>0</v>
      </c>
      <c r="L540" t="str">
        <f t="shared" si="104"/>
        <v>C539</v>
      </c>
      <c r="M540" t="str">
        <f t="shared" si="105"/>
        <v>Female</v>
      </c>
      <c r="N540" t="str">
        <f t="shared" si="106"/>
        <v>Master's</v>
      </c>
      <c r="O540" t="str">
        <f t="shared" si="107"/>
        <v>Mid Level</v>
      </c>
      <c r="P540" t="str">
        <f t="shared" si="108"/>
        <v>Average</v>
      </c>
      <c r="Q540" t="str">
        <f t="shared" si="109"/>
        <v>Beginner</v>
      </c>
      <c r="R540" t="str">
        <f t="shared" si="110"/>
        <v>Good</v>
      </c>
      <c r="S540" t="str">
        <f t="shared" si="111"/>
        <v>Not Hired</v>
      </c>
      <c r="T540">
        <f t="shared" si="112"/>
        <v>52</v>
      </c>
      <c r="U540" t="str">
        <f t="shared" si="113"/>
        <v>Developing</v>
      </c>
      <c r="V540" t="str">
        <f t="shared" si="114"/>
        <v>Interview</v>
      </c>
      <c r="W540" t="str">
        <f t="shared" si="115"/>
        <v>Technical Skills</v>
      </c>
      <c r="X540" t="str">
        <f t="shared" si="116"/>
        <v>Strengthen technical skills and practical knowledge</v>
      </c>
    </row>
    <row r="541" spans="1:24" x14ac:dyDescent="0.3">
      <c r="A541">
        <v>21</v>
      </c>
      <c r="B541">
        <v>1</v>
      </c>
      <c r="C541">
        <v>2</v>
      </c>
      <c r="D541">
        <v>8</v>
      </c>
      <c r="E541">
        <v>2</v>
      </c>
      <c r="F541">
        <v>50.9524749051822</v>
      </c>
      <c r="G541">
        <v>33</v>
      </c>
      <c r="H541">
        <v>64</v>
      </c>
      <c r="I541">
        <v>96</v>
      </c>
      <c r="J541">
        <v>1</v>
      </c>
      <c r="K541">
        <v>1</v>
      </c>
      <c r="L541" t="str">
        <f t="shared" si="104"/>
        <v>C540</v>
      </c>
      <c r="M541" t="str">
        <f t="shared" si="105"/>
        <v>Female</v>
      </c>
      <c r="N541" t="str">
        <f t="shared" si="106"/>
        <v>Bachelor's Type 2</v>
      </c>
      <c r="O541" t="str">
        <f t="shared" si="107"/>
        <v>Senior Level</v>
      </c>
      <c r="P541" t="str">
        <f t="shared" si="108"/>
        <v>Low</v>
      </c>
      <c r="Q541" t="str">
        <f t="shared" si="109"/>
        <v>Intermediate</v>
      </c>
      <c r="R541" t="str">
        <f t="shared" si="110"/>
        <v>Strong</v>
      </c>
      <c r="S541" t="str">
        <f t="shared" si="111"/>
        <v>Hired</v>
      </c>
      <c r="T541">
        <f t="shared" si="112"/>
        <v>59</v>
      </c>
      <c r="U541" t="str">
        <f t="shared" si="113"/>
        <v>Developing</v>
      </c>
      <c r="V541" t="str">
        <f t="shared" si="114"/>
        <v>Personality</v>
      </c>
      <c r="W541" t="str">
        <f t="shared" si="115"/>
        <v>Interview Preparation</v>
      </c>
      <c r="X541" t="str">
        <f t="shared" si="116"/>
        <v>Improve interview preparation and communication</v>
      </c>
    </row>
    <row r="542" spans="1:24" x14ac:dyDescent="0.3">
      <c r="A542">
        <v>21</v>
      </c>
      <c r="B542">
        <v>1</v>
      </c>
      <c r="C542">
        <v>2</v>
      </c>
      <c r="D542">
        <v>0</v>
      </c>
      <c r="E542">
        <v>3</v>
      </c>
      <c r="F542">
        <v>12.016369671879101</v>
      </c>
      <c r="G542">
        <v>42</v>
      </c>
      <c r="H542">
        <v>35</v>
      </c>
      <c r="I542">
        <v>85</v>
      </c>
      <c r="J542">
        <v>2</v>
      </c>
      <c r="K542">
        <v>0</v>
      </c>
      <c r="L542" t="str">
        <f t="shared" si="104"/>
        <v>C541</v>
      </c>
      <c r="M542" t="str">
        <f t="shared" si="105"/>
        <v>Female</v>
      </c>
      <c r="N542" t="str">
        <f t="shared" si="106"/>
        <v>Bachelor's Type 2</v>
      </c>
      <c r="O542" t="str">
        <f t="shared" si="107"/>
        <v>Entry Level</v>
      </c>
      <c r="P542" t="str">
        <f t="shared" si="108"/>
        <v>Low</v>
      </c>
      <c r="Q542" t="str">
        <f t="shared" si="109"/>
        <v>Beginner</v>
      </c>
      <c r="R542" t="str">
        <f t="shared" si="110"/>
        <v>Strong</v>
      </c>
      <c r="S542" t="str">
        <f t="shared" si="111"/>
        <v>Not Hired</v>
      </c>
      <c r="T542">
        <f t="shared" si="112"/>
        <v>43</v>
      </c>
      <c r="U542" t="str">
        <f t="shared" si="113"/>
        <v>Needs Improvement</v>
      </c>
      <c r="V542" t="str">
        <f t="shared" si="114"/>
        <v>Personality</v>
      </c>
      <c r="W542" t="str">
        <f t="shared" si="115"/>
        <v>Technical Skills</v>
      </c>
      <c r="X542" t="str">
        <f t="shared" si="116"/>
        <v>Strengthen technical skills and practical knowledge</v>
      </c>
    </row>
    <row r="543" spans="1:24" x14ac:dyDescent="0.3">
      <c r="A543">
        <v>42</v>
      </c>
      <c r="B543">
        <v>0</v>
      </c>
      <c r="C543">
        <v>3</v>
      </c>
      <c r="D543">
        <v>12</v>
      </c>
      <c r="E543">
        <v>3</v>
      </c>
      <c r="F543">
        <v>6.16083244394998</v>
      </c>
      <c r="G543">
        <v>73</v>
      </c>
      <c r="H543">
        <v>75</v>
      </c>
      <c r="I543">
        <v>36</v>
      </c>
      <c r="J543">
        <v>2</v>
      </c>
      <c r="K543">
        <v>1</v>
      </c>
      <c r="L543" t="str">
        <f t="shared" si="104"/>
        <v>C542</v>
      </c>
      <c r="M543" t="str">
        <f t="shared" si="105"/>
        <v>Male</v>
      </c>
      <c r="N543" t="str">
        <f t="shared" si="106"/>
        <v>Master's</v>
      </c>
      <c r="O543" t="str">
        <f t="shared" si="107"/>
        <v>Senior Level</v>
      </c>
      <c r="P543" t="str">
        <f t="shared" si="108"/>
        <v>Average</v>
      </c>
      <c r="Q543" t="str">
        <f t="shared" si="109"/>
        <v>Advanced</v>
      </c>
      <c r="R543" t="str">
        <f t="shared" si="110"/>
        <v>Needs Improvement</v>
      </c>
      <c r="S543" t="str">
        <f t="shared" si="111"/>
        <v>Hired</v>
      </c>
      <c r="T543">
        <f t="shared" si="112"/>
        <v>67</v>
      </c>
      <c r="U543" t="str">
        <f t="shared" si="113"/>
        <v>Developing</v>
      </c>
      <c r="V543" t="str">
        <f t="shared" si="114"/>
        <v>Technical Skills</v>
      </c>
      <c r="W543" t="str">
        <f t="shared" si="115"/>
        <v>Personality &amp; Communication</v>
      </c>
      <c r="X543" t="str">
        <f t="shared" si="116"/>
        <v>Work on communication and personality development</v>
      </c>
    </row>
    <row r="544" spans="1:24" x14ac:dyDescent="0.3">
      <c r="A544">
        <v>50</v>
      </c>
      <c r="B544">
        <v>0</v>
      </c>
      <c r="C544">
        <v>2</v>
      </c>
      <c r="D544">
        <v>1</v>
      </c>
      <c r="E544">
        <v>4</v>
      </c>
      <c r="F544">
        <v>30.251758435932999</v>
      </c>
      <c r="G544">
        <v>93</v>
      </c>
      <c r="H544">
        <v>8</v>
      </c>
      <c r="I544">
        <v>76</v>
      </c>
      <c r="J544">
        <v>2</v>
      </c>
      <c r="K544">
        <v>0</v>
      </c>
      <c r="L544" t="str">
        <f t="shared" si="104"/>
        <v>C543</v>
      </c>
      <c r="M544" t="str">
        <f t="shared" si="105"/>
        <v>Male</v>
      </c>
      <c r="N544" t="str">
        <f t="shared" si="106"/>
        <v>Bachelor's Type 2</v>
      </c>
      <c r="O544" t="str">
        <f t="shared" si="107"/>
        <v>Entry Level</v>
      </c>
      <c r="P544" t="str">
        <f t="shared" si="108"/>
        <v>Strong</v>
      </c>
      <c r="Q544" t="str">
        <f t="shared" si="109"/>
        <v>Beginner</v>
      </c>
      <c r="R544" t="str">
        <f t="shared" si="110"/>
        <v>Strong</v>
      </c>
      <c r="S544" t="str">
        <f t="shared" si="111"/>
        <v>Not Hired</v>
      </c>
      <c r="T544">
        <f t="shared" si="112"/>
        <v>49</v>
      </c>
      <c r="U544" t="str">
        <f t="shared" si="113"/>
        <v>Needs Improvement</v>
      </c>
      <c r="V544" t="str">
        <f t="shared" si="114"/>
        <v>Interview</v>
      </c>
      <c r="W544" t="str">
        <f t="shared" si="115"/>
        <v>Technical Skills</v>
      </c>
      <c r="X544" t="str">
        <f t="shared" si="116"/>
        <v>Strengthen technical skills and practical knowledge</v>
      </c>
    </row>
    <row r="545" spans="1:24" x14ac:dyDescent="0.3">
      <c r="A545">
        <v>41</v>
      </c>
      <c r="B545">
        <v>1</v>
      </c>
      <c r="C545">
        <v>3</v>
      </c>
      <c r="D545">
        <v>1</v>
      </c>
      <c r="E545">
        <v>1</v>
      </c>
      <c r="F545">
        <v>25.4271233220128</v>
      </c>
      <c r="G545">
        <v>21</v>
      </c>
      <c r="H545">
        <v>35</v>
      </c>
      <c r="I545">
        <v>90</v>
      </c>
      <c r="J545">
        <v>2</v>
      </c>
      <c r="K545">
        <v>0</v>
      </c>
      <c r="L545" t="str">
        <f t="shared" si="104"/>
        <v>C544</v>
      </c>
      <c r="M545" t="str">
        <f t="shared" si="105"/>
        <v>Female</v>
      </c>
      <c r="N545" t="str">
        <f t="shared" si="106"/>
        <v>Master's</v>
      </c>
      <c r="O545" t="str">
        <f t="shared" si="107"/>
        <v>Entry Level</v>
      </c>
      <c r="P545" t="str">
        <f t="shared" si="108"/>
        <v>Low</v>
      </c>
      <c r="Q545" t="str">
        <f t="shared" si="109"/>
        <v>Beginner</v>
      </c>
      <c r="R545" t="str">
        <f t="shared" si="110"/>
        <v>Strong</v>
      </c>
      <c r="S545" t="str">
        <f t="shared" si="111"/>
        <v>Not Hired</v>
      </c>
      <c r="T545">
        <f t="shared" si="112"/>
        <v>40</v>
      </c>
      <c r="U545" t="str">
        <f t="shared" si="113"/>
        <v>Needs Improvement</v>
      </c>
      <c r="V545" t="str">
        <f t="shared" si="114"/>
        <v>Personality</v>
      </c>
      <c r="W545" t="str">
        <f t="shared" si="115"/>
        <v>Interview Preparation</v>
      </c>
      <c r="X545" t="str">
        <f t="shared" si="116"/>
        <v>Improve interview preparation and communication</v>
      </c>
    </row>
    <row r="546" spans="1:24" x14ac:dyDescent="0.3">
      <c r="A546">
        <v>38</v>
      </c>
      <c r="B546">
        <v>1</v>
      </c>
      <c r="C546">
        <v>3</v>
      </c>
      <c r="D546">
        <v>12</v>
      </c>
      <c r="E546">
        <v>2</v>
      </c>
      <c r="F546">
        <v>27.209813553165301</v>
      </c>
      <c r="G546">
        <v>69</v>
      </c>
      <c r="H546">
        <v>91</v>
      </c>
      <c r="I546">
        <v>63</v>
      </c>
      <c r="J546">
        <v>3</v>
      </c>
      <c r="K546">
        <v>1</v>
      </c>
      <c r="L546" t="str">
        <f t="shared" si="104"/>
        <v>C545</v>
      </c>
      <c r="M546" t="str">
        <f t="shared" si="105"/>
        <v>Female</v>
      </c>
      <c r="N546" t="str">
        <f t="shared" si="106"/>
        <v>Master's</v>
      </c>
      <c r="O546" t="str">
        <f t="shared" si="107"/>
        <v>Senior Level</v>
      </c>
      <c r="P546" t="str">
        <f t="shared" si="108"/>
        <v>Average</v>
      </c>
      <c r="Q546" t="str">
        <f t="shared" si="109"/>
        <v>Advanced</v>
      </c>
      <c r="R546" t="str">
        <f t="shared" si="110"/>
        <v>Good</v>
      </c>
      <c r="S546" t="str">
        <f t="shared" si="111"/>
        <v>Hired</v>
      </c>
      <c r="T546">
        <f t="shared" si="112"/>
        <v>76</v>
      </c>
      <c r="U546" t="str">
        <f t="shared" si="113"/>
        <v>Job Ready</v>
      </c>
      <c r="V546" t="str">
        <f t="shared" si="114"/>
        <v>Technical Skills</v>
      </c>
      <c r="W546" t="str">
        <f t="shared" si="115"/>
        <v>Personality &amp; Communication</v>
      </c>
      <c r="X546" t="str">
        <f t="shared" si="116"/>
        <v>Work on communication and personality development</v>
      </c>
    </row>
    <row r="547" spans="1:24" x14ac:dyDescent="0.3">
      <c r="A547">
        <v>44</v>
      </c>
      <c r="B547">
        <v>1</v>
      </c>
      <c r="C547">
        <v>1</v>
      </c>
      <c r="D547">
        <v>12</v>
      </c>
      <c r="E547">
        <v>4</v>
      </c>
      <c r="F547">
        <v>34.346770877860799</v>
      </c>
      <c r="G547">
        <v>1</v>
      </c>
      <c r="H547">
        <v>37</v>
      </c>
      <c r="I547">
        <v>78</v>
      </c>
      <c r="J547">
        <v>2</v>
      </c>
      <c r="K547">
        <v>0</v>
      </c>
      <c r="L547" t="str">
        <f t="shared" si="104"/>
        <v>C546</v>
      </c>
      <c r="M547" t="str">
        <f t="shared" si="105"/>
        <v>Female</v>
      </c>
      <c r="N547" t="str">
        <f t="shared" si="106"/>
        <v>Bachelor's Type 1</v>
      </c>
      <c r="O547" t="str">
        <f t="shared" si="107"/>
        <v>Senior Level</v>
      </c>
      <c r="P547" t="str">
        <f t="shared" si="108"/>
        <v>Low</v>
      </c>
      <c r="Q547" t="str">
        <f t="shared" si="109"/>
        <v>Beginner</v>
      </c>
      <c r="R547" t="str">
        <f t="shared" si="110"/>
        <v>Strong</v>
      </c>
      <c r="S547" t="str">
        <f t="shared" si="111"/>
        <v>Not Hired</v>
      </c>
      <c r="T547">
        <f t="shared" si="112"/>
        <v>42</v>
      </c>
      <c r="U547" t="str">
        <f t="shared" si="113"/>
        <v>Needs Improvement</v>
      </c>
      <c r="V547" t="str">
        <f t="shared" si="114"/>
        <v>Personality</v>
      </c>
      <c r="W547" t="str">
        <f t="shared" si="115"/>
        <v>Interview Preparation</v>
      </c>
      <c r="X547" t="str">
        <f t="shared" si="116"/>
        <v>Improve interview preparation and communication</v>
      </c>
    </row>
    <row r="548" spans="1:24" x14ac:dyDescent="0.3">
      <c r="A548">
        <v>45</v>
      </c>
      <c r="B548">
        <v>0</v>
      </c>
      <c r="C548">
        <v>1</v>
      </c>
      <c r="D548">
        <v>5</v>
      </c>
      <c r="E548">
        <v>1</v>
      </c>
      <c r="F548">
        <v>14.357203493532401</v>
      </c>
      <c r="G548">
        <v>93</v>
      </c>
      <c r="H548">
        <v>32</v>
      </c>
      <c r="I548">
        <v>85</v>
      </c>
      <c r="J548">
        <v>2</v>
      </c>
      <c r="K548">
        <v>0</v>
      </c>
      <c r="L548" t="str">
        <f t="shared" si="104"/>
        <v>C547</v>
      </c>
      <c r="M548" t="str">
        <f t="shared" si="105"/>
        <v>Male</v>
      </c>
      <c r="N548" t="str">
        <f t="shared" si="106"/>
        <v>Bachelor's Type 1</v>
      </c>
      <c r="O548" t="str">
        <f t="shared" si="107"/>
        <v>Mid Level</v>
      </c>
      <c r="P548" t="str">
        <f t="shared" si="108"/>
        <v>Strong</v>
      </c>
      <c r="Q548" t="str">
        <f t="shared" si="109"/>
        <v>Beginner</v>
      </c>
      <c r="R548" t="str">
        <f t="shared" si="110"/>
        <v>Strong</v>
      </c>
      <c r="S548" t="str">
        <f t="shared" si="111"/>
        <v>Not Hired</v>
      </c>
      <c r="T548">
        <f t="shared" si="112"/>
        <v>62</v>
      </c>
      <c r="U548" t="str">
        <f t="shared" si="113"/>
        <v>Developing</v>
      </c>
      <c r="V548" t="str">
        <f t="shared" si="114"/>
        <v>Interview</v>
      </c>
      <c r="W548" t="str">
        <f t="shared" si="115"/>
        <v>Technical Skills</v>
      </c>
      <c r="X548" t="str">
        <f t="shared" si="116"/>
        <v>Strengthen technical skills and practical knowledge</v>
      </c>
    </row>
    <row r="549" spans="1:24" x14ac:dyDescent="0.3">
      <c r="A549">
        <v>50</v>
      </c>
      <c r="B549">
        <v>0</v>
      </c>
      <c r="C549">
        <v>2</v>
      </c>
      <c r="D549">
        <v>14</v>
      </c>
      <c r="E549">
        <v>3</v>
      </c>
      <c r="F549">
        <v>46.533249769194398</v>
      </c>
      <c r="G549">
        <v>65</v>
      </c>
      <c r="H549">
        <v>41</v>
      </c>
      <c r="I549">
        <v>93</v>
      </c>
      <c r="J549">
        <v>2</v>
      </c>
      <c r="K549">
        <v>0</v>
      </c>
      <c r="L549" t="str">
        <f t="shared" si="104"/>
        <v>C548</v>
      </c>
      <c r="M549" t="str">
        <f t="shared" si="105"/>
        <v>Male</v>
      </c>
      <c r="N549" t="str">
        <f t="shared" si="106"/>
        <v>Bachelor's Type 2</v>
      </c>
      <c r="O549" t="str">
        <f t="shared" si="107"/>
        <v>Senior Level</v>
      </c>
      <c r="P549" t="str">
        <f t="shared" si="108"/>
        <v>Average</v>
      </c>
      <c r="Q549" t="str">
        <f t="shared" si="109"/>
        <v>Beginner</v>
      </c>
      <c r="R549" t="str">
        <f t="shared" si="110"/>
        <v>Strong</v>
      </c>
      <c r="S549" t="str">
        <f t="shared" si="111"/>
        <v>Not Hired</v>
      </c>
      <c r="T549">
        <f t="shared" si="112"/>
        <v>67</v>
      </c>
      <c r="U549" t="str">
        <f t="shared" si="113"/>
        <v>Developing</v>
      </c>
      <c r="V549" t="str">
        <f t="shared" si="114"/>
        <v>Personality</v>
      </c>
      <c r="W549" t="str">
        <f t="shared" si="115"/>
        <v>Technical Skills</v>
      </c>
      <c r="X549" t="str">
        <f t="shared" si="116"/>
        <v>Strengthen technical skills and practical knowledge</v>
      </c>
    </row>
    <row r="550" spans="1:24" x14ac:dyDescent="0.3">
      <c r="A550">
        <v>49</v>
      </c>
      <c r="B550">
        <v>0</v>
      </c>
      <c r="C550">
        <v>1</v>
      </c>
      <c r="D550">
        <v>3</v>
      </c>
      <c r="E550">
        <v>3</v>
      </c>
      <c r="F550">
        <v>22.7836033061145</v>
      </c>
      <c r="G550">
        <v>31</v>
      </c>
      <c r="H550">
        <v>60</v>
      </c>
      <c r="I550">
        <v>39</v>
      </c>
      <c r="J550">
        <v>1</v>
      </c>
      <c r="K550">
        <v>0</v>
      </c>
      <c r="L550" t="str">
        <f t="shared" si="104"/>
        <v>C549</v>
      </c>
      <c r="M550" t="str">
        <f t="shared" si="105"/>
        <v>Male</v>
      </c>
      <c r="N550" t="str">
        <f t="shared" si="106"/>
        <v>Bachelor's Type 1</v>
      </c>
      <c r="O550" t="str">
        <f t="shared" si="107"/>
        <v>Mid Level</v>
      </c>
      <c r="P550" t="str">
        <f t="shared" si="108"/>
        <v>Low</v>
      </c>
      <c r="Q550" t="str">
        <f t="shared" si="109"/>
        <v>Intermediate</v>
      </c>
      <c r="R550" t="str">
        <f t="shared" si="110"/>
        <v>Needs Improvement</v>
      </c>
      <c r="S550" t="str">
        <f t="shared" si="111"/>
        <v>Not Hired</v>
      </c>
      <c r="T550">
        <f t="shared" si="112"/>
        <v>41</v>
      </c>
      <c r="U550" t="str">
        <f t="shared" si="113"/>
        <v>Needs Improvement</v>
      </c>
      <c r="V550" t="str">
        <f t="shared" si="114"/>
        <v>Technical Skills</v>
      </c>
      <c r="W550" t="str">
        <f t="shared" si="115"/>
        <v>Interview Preparation</v>
      </c>
      <c r="X550" t="str">
        <f t="shared" si="116"/>
        <v>Improve interview preparation and communication</v>
      </c>
    </row>
    <row r="551" spans="1:24" x14ac:dyDescent="0.3">
      <c r="A551">
        <v>48</v>
      </c>
      <c r="B551">
        <v>0</v>
      </c>
      <c r="C551">
        <v>2</v>
      </c>
      <c r="D551">
        <v>15</v>
      </c>
      <c r="E551">
        <v>4</v>
      </c>
      <c r="F551">
        <v>7.4543097571230801</v>
      </c>
      <c r="G551">
        <v>15</v>
      </c>
      <c r="H551">
        <v>45</v>
      </c>
      <c r="I551">
        <v>100</v>
      </c>
      <c r="J551">
        <v>1</v>
      </c>
      <c r="K551">
        <v>1</v>
      </c>
      <c r="L551" t="str">
        <f t="shared" si="104"/>
        <v>C550</v>
      </c>
      <c r="M551" t="str">
        <f t="shared" si="105"/>
        <v>Male</v>
      </c>
      <c r="N551" t="str">
        <f t="shared" si="106"/>
        <v>Bachelor's Type 2</v>
      </c>
      <c r="O551" t="str">
        <f t="shared" si="107"/>
        <v>Senior Level</v>
      </c>
      <c r="P551" t="str">
        <f t="shared" si="108"/>
        <v>Low</v>
      </c>
      <c r="Q551" t="str">
        <f t="shared" si="109"/>
        <v>Beginner</v>
      </c>
      <c r="R551" t="str">
        <f t="shared" si="110"/>
        <v>Strong</v>
      </c>
      <c r="S551" t="str">
        <f t="shared" si="111"/>
        <v>Hired</v>
      </c>
      <c r="T551">
        <f t="shared" si="112"/>
        <v>56</v>
      </c>
      <c r="U551" t="str">
        <f t="shared" si="113"/>
        <v>Developing</v>
      </c>
      <c r="V551" t="str">
        <f t="shared" si="114"/>
        <v>Personality</v>
      </c>
      <c r="W551" t="str">
        <f t="shared" si="115"/>
        <v>Interview Preparation</v>
      </c>
      <c r="X551" t="str">
        <f t="shared" si="116"/>
        <v>Improve interview preparation and communication</v>
      </c>
    </row>
    <row r="552" spans="1:24" x14ac:dyDescent="0.3">
      <c r="A552">
        <v>41</v>
      </c>
      <c r="B552">
        <v>1</v>
      </c>
      <c r="C552">
        <v>4</v>
      </c>
      <c r="D552">
        <v>12</v>
      </c>
      <c r="E552">
        <v>3</v>
      </c>
      <c r="F552">
        <v>38.114937836697202</v>
      </c>
      <c r="G552">
        <v>75</v>
      </c>
      <c r="H552">
        <v>85</v>
      </c>
      <c r="I552">
        <v>97</v>
      </c>
      <c r="J552">
        <v>2</v>
      </c>
      <c r="K552">
        <v>1</v>
      </c>
      <c r="L552" t="str">
        <f t="shared" si="104"/>
        <v>C551</v>
      </c>
      <c r="M552" t="str">
        <f t="shared" si="105"/>
        <v>Female</v>
      </c>
      <c r="N552" t="str">
        <f t="shared" si="106"/>
        <v>PhD</v>
      </c>
      <c r="O552" t="str">
        <f t="shared" si="107"/>
        <v>Senior Level</v>
      </c>
      <c r="P552" t="str">
        <f t="shared" si="108"/>
        <v>Strong</v>
      </c>
      <c r="Q552" t="str">
        <f t="shared" si="109"/>
        <v>Advanced</v>
      </c>
      <c r="R552" t="str">
        <f t="shared" si="110"/>
        <v>Strong</v>
      </c>
      <c r="S552" t="str">
        <f t="shared" si="111"/>
        <v>Hired</v>
      </c>
      <c r="T552">
        <f t="shared" si="112"/>
        <v>84</v>
      </c>
      <c r="U552" t="str">
        <f t="shared" si="113"/>
        <v>Job Ready</v>
      </c>
      <c r="V552" t="str">
        <f t="shared" si="114"/>
        <v>Personality</v>
      </c>
      <c r="W552" t="str">
        <f t="shared" si="115"/>
        <v>Interview Preparation</v>
      </c>
      <c r="X552" t="str">
        <f t="shared" si="116"/>
        <v>Improve interview preparation and communication</v>
      </c>
    </row>
    <row r="553" spans="1:24" x14ac:dyDescent="0.3">
      <c r="A553">
        <v>45</v>
      </c>
      <c r="B553">
        <v>1</v>
      </c>
      <c r="C553">
        <v>2</v>
      </c>
      <c r="D553">
        <v>10</v>
      </c>
      <c r="E553">
        <v>5</v>
      </c>
      <c r="F553">
        <v>33.155217630892501</v>
      </c>
      <c r="G553">
        <v>0</v>
      </c>
      <c r="H553">
        <v>88</v>
      </c>
      <c r="I553">
        <v>59</v>
      </c>
      <c r="J553">
        <v>1</v>
      </c>
      <c r="K553">
        <v>1</v>
      </c>
      <c r="L553" t="str">
        <f t="shared" si="104"/>
        <v>C552</v>
      </c>
      <c r="M553" t="str">
        <f t="shared" si="105"/>
        <v>Female</v>
      </c>
      <c r="N553" t="str">
        <f t="shared" si="106"/>
        <v>Bachelor's Type 2</v>
      </c>
      <c r="O553" t="str">
        <f t="shared" si="107"/>
        <v>Senior Level</v>
      </c>
      <c r="P553" t="str">
        <f t="shared" si="108"/>
        <v>Low</v>
      </c>
      <c r="Q553" t="str">
        <f t="shared" si="109"/>
        <v>Advanced</v>
      </c>
      <c r="R553" t="str">
        <f t="shared" si="110"/>
        <v>Good</v>
      </c>
      <c r="S553" t="str">
        <f t="shared" si="111"/>
        <v>Hired</v>
      </c>
      <c r="T553">
        <f t="shared" si="112"/>
        <v>51</v>
      </c>
      <c r="U553" t="str">
        <f t="shared" si="113"/>
        <v>Developing</v>
      </c>
      <c r="V553" t="str">
        <f t="shared" si="114"/>
        <v>Technical Skills</v>
      </c>
      <c r="W553" t="str">
        <f t="shared" si="115"/>
        <v>Interview Preparation</v>
      </c>
      <c r="X553" t="str">
        <f t="shared" si="116"/>
        <v>Improve interview preparation and communication</v>
      </c>
    </row>
    <row r="554" spans="1:24" x14ac:dyDescent="0.3">
      <c r="A554">
        <v>45</v>
      </c>
      <c r="B554">
        <v>1</v>
      </c>
      <c r="C554">
        <v>3</v>
      </c>
      <c r="D554">
        <v>9</v>
      </c>
      <c r="E554">
        <v>4</v>
      </c>
      <c r="F554">
        <v>16.787170124201801</v>
      </c>
      <c r="G554">
        <v>71</v>
      </c>
      <c r="H554">
        <v>60</v>
      </c>
      <c r="I554">
        <v>97</v>
      </c>
      <c r="J554">
        <v>2</v>
      </c>
      <c r="K554">
        <v>1</v>
      </c>
      <c r="L554" t="str">
        <f t="shared" si="104"/>
        <v>C553</v>
      </c>
      <c r="M554" t="str">
        <f t="shared" si="105"/>
        <v>Female</v>
      </c>
      <c r="N554" t="str">
        <f t="shared" si="106"/>
        <v>Master's</v>
      </c>
      <c r="O554" t="str">
        <f t="shared" si="107"/>
        <v>Senior Level</v>
      </c>
      <c r="P554" t="str">
        <f t="shared" si="108"/>
        <v>Average</v>
      </c>
      <c r="Q554" t="str">
        <f t="shared" si="109"/>
        <v>Intermediate</v>
      </c>
      <c r="R554" t="str">
        <f t="shared" si="110"/>
        <v>Strong</v>
      </c>
      <c r="S554" t="str">
        <f t="shared" si="111"/>
        <v>Hired</v>
      </c>
      <c r="T554">
        <f t="shared" si="112"/>
        <v>71</v>
      </c>
      <c r="U554" t="str">
        <f t="shared" si="113"/>
        <v>Developing</v>
      </c>
      <c r="V554" t="str">
        <f t="shared" si="114"/>
        <v>Personality</v>
      </c>
      <c r="W554" t="str">
        <f t="shared" si="115"/>
        <v>Technical Skills</v>
      </c>
      <c r="X554" t="str">
        <f t="shared" si="116"/>
        <v>Strengthen technical skills and practical knowledge</v>
      </c>
    </row>
    <row r="555" spans="1:24" x14ac:dyDescent="0.3">
      <c r="A555">
        <v>41</v>
      </c>
      <c r="B555">
        <v>0</v>
      </c>
      <c r="C555">
        <v>2</v>
      </c>
      <c r="D555">
        <v>12</v>
      </c>
      <c r="E555">
        <v>1</v>
      </c>
      <c r="F555">
        <v>32.075936201702397</v>
      </c>
      <c r="G555">
        <v>47</v>
      </c>
      <c r="H555">
        <v>17</v>
      </c>
      <c r="I555">
        <v>47</v>
      </c>
      <c r="J555">
        <v>2</v>
      </c>
      <c r="K555">
        <v>0</v>
      </c>
      <c r="L555" t="str">
        <f t="shared" si="104"/>
        <v>C554</v>
      </c>
      <c r="M555" t="str">
        <f t="shared" si="105"/>
        <v>Male</v>
      </c>
      <c r="N555" t="str">
        <f t="shared" si="106"/>
        <v>Bachelor's Type 2</v>
      </c>
      <c r="O555" t="str">
        <f t="shared" si="107"/>
        <v>Senior Level</v>
      </c>
      <c r="P555" t="str">
        <f t="shared" si="108"/>
        <v>Low</v>
      </c>
      <c r="Q555" t="str">
        <f t="shared" si="109"/>
        <v>Beginner</v>
      </c>
      <c r="R555" t="str">
        <f t="shared" si="110"/>
        <v>Needs Improvement</v>
      </c>
      <c r="S555" t="str">
        <f t="shared" si="111"/>
        <v>Not Hired</v>
      </c>
      <c r="T555">
        <f t="shared" si="112"/>
        <v>43</v>
      </c>
      <c r="U555" t="str">
        <f t="shared" si="113"/>
        <v>Needs Improvement</v>
      </c>
      <c r="V555" t="str">
        <f t="shared" si="114"/>
        <v>Interview</v>
      </c>
      <c r="W555" t="str">
        <f t="shared" si="115"/>
        <v>Technical Skills</v>
      </c>
      <c r="X555" t="str">
        <f t="shared" si="116"/>
        <v>Strengthen technical skills and practical knowledge</v>
      </c>
    </row>
    <row r="556" spans="1:24" x14ac:dyDescent="0.3">
      <c r="A556">
        <v>36</v>
      </c>
      <c r="B556">
        <v>0</v>
      </c>
      <c r="C556">
        <v>2</v>
      </c>
      <c r="D556">
        <v>2</v>
      </c>
      <c r="E556">
        <v>4</v>
      </c>
      <c r="F556">
        <v>11.993097818448801</v>
      </c>
      <c r="G556">
        <v>49</v>
      </c>
      <c r="H556">
        <v>69</v>
      </c>
      <c r="I556">
        <v>98</v>
      </c>
      <c r="J556">
        <v>1</v>
      </c>
      <c r="K556">
        <v>1</v>
      </c>
      <c r="L556" t="str">
        <f t="shared" si="104"/>
        <v>C555</v>
      </c>
      <c r="M556" t="str">
        <f t="shared" si="105"/>
        <v>Male</v>
      </c>
      <c r="N556" t="str">
        <f t="shared" si="106"/>
        <v>Bachelor's Type 2</v>
      </c>
      <c r="O556" t="str">
        <f t="shared" si="107"/>
        <v>Entry Level</v>
      </c>
      <c r="P556" t="str">
        <f t="shared" si="108"/>
        <v>Low</v>
      </c>
      <c r="Q556" t="str">
        <f t="shared" si="109"/>
        <v>Intermediate</v>
      </c>
      <c r="R556" t="str">
        <f t="shared" si="110"/>
        <v>Strong</v>
      </c>
      <c r="S556" t="str">
        <f t="shared" si="111"/>
        <v>Hired</v>
      </c>
      <c r="T556">
        <f t="shared" si="112"/>
        <v>60</v>
      </c>
      <c r="U556" t="str">
        <f t="shared" si="113"/>
        <v>Developing</v>
      </c>
      <c r="V556" t="str">
        <f t="shared" si="114"/>
        <v>Personality</v>
      </c>
      <c r="W556" t="str">
        <f t="shared" si="115"/>
        <v>Interview Preparation</v>
      </c>
      <c r="X556" t="str">
        <f t="shared" si="116"/>
        <v>Improve interview preparation and communication</v>
      </c>
    </row>
    <row r="557" spans="1:24" x14ac:dyDescent="0.3">
      <c r="A557">
        <v>39</v>
      </c>
      <c r="B557">
        <v>0</v>
      </c>
      <c r="C557">
        <v>1</v>
      </c>
      <c r="D557">
        <v>2</v>
      </c>
      <c r="E557">
        <v>2</v>
      </c>
      <c r="F557">
        <v>23.241967967026401</v>
      </c>
      <c r="G557">
        <v>12</v>
      </c>
      <c r="H557">
        <v>81</v>
      </c>
      <c r="I557">
        <v>18</v>
      </c>
      <c r="J557">
        <v>1</v>
      </c>
      <c r="K557">
        <v>0</v>
      </c>
      <c r="L557" t="str">
        <f t="shared" si="104"/>
        <v>C556</v>
      </c>
      <c r="M557" t="str">
        <f t="shared" si="105"/>
        <v>Male</v>
      </c>
      <c r="N557" t="str">
        <f t="shared" si="106"/>
        <v>Bachelor's Type 1</v>
      </c>
      <c r="O557" t="str">
        <f t="shared" si="107"/>
        <v>Entry Level</v>
      </c>
      <c r="P557" t="str">
        <f t="shared" si="108"/>
        <v>Low</v>
      </c>
      <c r="Q557" t="str">
        <f t="shared" si="109"/>
        <v>Advanced</v>
      </c>
      <c r="R557" t="str">
        <f t="shared" si="110"/>
        <v>Needs Improvement</v>
      </c>
      <c r="S557" t="str">
        <f t="shared" si="111"/>
        <v>Not Hired</v>
      </c>
      <c r="T557">
        <f t="shared" si="112"/>
        <v>36</v>
      </c>
      <c r="U557" t="str">
        <f t="shared" si="113"/>
        <v>Needs Improvement</v>
      </c>
      <c r="V557" t="str">
        <f t="shared" si="114"/>
        <v>Technical Skills</v>
      </c>
      <c r="W557" t="str">
        <f t="shared" si="115"/>
        <v>Interview Preparation</v>
      </c>
      <c r="X557" t="str">
        <f t="shared" si="116"/>
        <v>Improve interview preparation and communication</v>
      </c>
    </row>
    <row r="558" spans="1:24" x14ac:dyDescent="0.3">
      <c r="A558">
        <v>29</v>
      </c>
      <c r="B558">
        <v>1</v>
      </c>
      <c r="C558">
        <v>2</v>
      </c>
      <c r="D558">
        <v>2</v>
      </c>
      <c r="E558">
        <v>4</v>
      </c>
      <c r="F558">
        <v>45.970626108366197</v>
      </c>
      <c r="G558">
        <v>14</v>
      </c>
      <c r="H558">
        <v>79</v>
      </c>
      <c r="I558">
        <v>71</v>
      </c>
      <c r="J558">
        <v>2</v>
      </c>
      <c r="K558">
        <v>0</v>
      </c>
      <c r="L558" t="str">
        <f t="shared" si="104"/>
        <v>C557</v>
      </c>
      <c r="M558" t="str">
        <f t="shared" si="105"/>
        <v>Female</v>
      </c>
      <c r="N558" t="str">
        <f t="shared" si="106"/>
        <v>Bachelor's Type 2</v>
      </c>
      <c r="O558" t="str">
        <f t="shared" si="107"/>
        <v>Entry Level</v>
      </c>
      <c r="P558" t="str">
        <f t="shared" si="108"/>
        <v>Low</v>
      </c>
      <c r="Q558" t="str">
        <f t="shared" si="109"/>
        <v>Advanced</v>
      </c>
      <c r="R558" t="str">
        <f t="shared" si="110"/>
        <v>Good</v>
      </c>
      <c r="S558" t="str">
        <f t="shared" si="111"/>
        <v>Not Hired</v>
      </c>
      <c r="T558">
        <f t="shared" si="112"/>
        <v>47</v>
      </c>
      <c r="U558" t="str">
        <f t="shared" si="113"/>
        <v>Needs Improvement</v>
      </c>
      <c r="V558" t="str">
        <f t="shared" si="114"/>
        <v>Technical Skills</v>
      </c>
      <c r="W558" t="str">
        <f t="shared" si="115"/>
        <v>Interview Preparation</v>
      </c>
      <c r="X558" t="str">
        <f t="shared" si="116"/>
        <v>Improve interview preparation and communication</v>
      </c>
    </row>
    <row r="559" spans="1:24" x14ac:dyDescent="0.3">
      <c r="A559">
        <v>25</v>
      </c>
      <c r="B559">
        <v>1</v>
      </c>
      <c r="C559">
        <v>2</v>
      </c>
      <c r="D559">
        <v>5</v>
      </c>
      <c r="E559">
        <v>3</v>
      </c>
      <c r="F559">
        <v>7.6767116580374699</v>
      </c>
      <c r="G559">
        <v>52</v>
      </c>
      <c r="H559">
        <v>14</v>
      </c>
      <c r="I559">
        <v>32</v>
      </c>
      <c r="J559">
        <v>2</v>
      </c>
      <c r="K559">
        <v>0</v>
      </c>
      <c r="L559" t="str">
        <f t="shared" si="104"/>
        <v>C558</v>
      </c>
      <c r="M559" t="str">
        <f t="shared" si="105"/>
        <v>Female</v>
      </c>
      <c r="N559" t="str">
        <f t="shared" si="106"/>
        <v>Bachelor's Type 2</v>
      </c>
      <c r="O559" t="str">
        <f t="shared" si="107"/>
        <v>Mid Level</v>
      </c>
      <c r="P559" t="str">
        <f t="shared" si="108"/>
        <v>Average</v>
      </c>
      <c r="Q559" t="str">
        <f t="shared" si="109"/>
        <v>Beginner</v>
      </c>
      <c r="R559" t="str">
        <f t="shared" si="110"/>
        <v>Needs Improvement</v>
      </c>
      <c r="S559" t="str">
        <f t="shared" si="111"/>
        <v>Not Hired</v>
      </c>
      <c r="T559">
        <f t="shared" si="112"/>
        <v>34</v>
      </c>
      <c r="U559" t="str">
        <f t="shared" si="113"/>
        <v>Needs Improvement</v>
      </c>
      <c r="V559" t="str">
        <f t="shared" si="114"/>
        <v>Interview</v>
      </c>
      <c r="W559" t="str">
        <f t="shared" si="115"/>
        <v>Technical Skills</v>
      </c>
      <c r="X559" t="str">
        <f t="shared" si="116"/>
        <v>Strengthen technical skills and practical knowledge</v>
      </c>
    </row>
    <row r="560" spans="1:24" x14ac:dyDescent="0.3">
      <c r="A560">
        <v>34</v>
      </c>
      <c r="B560">
        <v>0</v>
      </c>
      <c r="C560">
        <v>2</v>
      </c>
      <c r="D560">
        <v>13</v>
      </c>
      <c r="E560">
        <v>3</v>
      </c>
      <c r="F560">
        <v>20.3348224993731</v>
      </c>
      <c r="G560">
        <v>43</v>
      </c>
      <c r="H560">
        <v>47</v>
      </c>
      <c r="I560">
        <v>43</v>
      </c>
      <c r="J560">
        <v>2</v>
      </c>
      <c r="K560">
        <v>0</v>
      </c>
      <c r="L560" t="str">
        <f t="shared" si="104"/>
        <v>C559</v>
      </c>
      <c r="M560" t="str">
        <f t="shared" si="105"/>
        <v>Male</v>
      </c>
      <c r="N560" t="str">
        <f t="shared" si="106"/>
        <v>Bachelor's Type 2</v>
      </c>
      <c r="O560" t="str">
        <f t="shared" si="107"/>
        <v>Senior Level</v>
      </c>
      <c r="P560" t="str">
        <f t="shared" si="108"/>
        <v>Low</v>
      </c>
      <c r="Q560" t="str">
        <f t="shared" si="109"/>
        <v>Beginner</v>
      </c>
      <c r="R560" t="str">
        <f t="shared" si="110"/>
        <v>Needs Improvement</v>
      </c>
      <c r="S560" t="str">
        <f t="shared" si="111"/>
        <v>Not Hired</v>
      </c>
      <c r="T560">
        <f t="shared" si="112"/>
        <v>51</v>
      </c>
      <c r="U560" t="str">
        <f t="shared" si="113"/>
        <v>Developing</v>
      </c>
      <c r="V560" t="str">
        <f t="shared" si="114"/>
        <v>Technical Skills</v>
      </c>
      <c r="W560" t="str">
        <f t="shared" si="115"/>
        <v>Interview Preparation</v>
      </c>
      <c r="X560" t="str">
        <f t="shared" si="116"/>
        <v>Improve interview preparation and communication</v>
      </c>
    </row>
    <row r="561" spans="1:24" x14ac:dyDescent="0.3">
      <c r="A561">
        <v>41</v>
      </c>
      <c r="B561">
        <v>1</v>
      </c>
      <c r="C561">
        <v>3</v>
      </c>
      <c r="D561">
        <v>15</v>
      </c>
      <c r="E561">
        <v>5</v>
      </c>
      <c r="F561">
        <v>42.057121236017302</v>
      </c>
      <c r="G561">
        <v>7</v>
      </c>
      <c r="H561">
        <v>71</v>
      </c>
      <c r="I561">
        <v>91</v>
      </c>
      <c r="J561">
        <v>2</v>
      </c>
      <c r="K561">
        <v>1</v>
      </c>
      <c r="L561" t="str">
        <f t="shared" si="104"/>
        <v>C560</v>
      </c>
      <c r="M561" t="str">
        <f t="shared" si="105"/>
        <v>Female</v>
      </c>
      <c r="N561" t="str">
        <f t="shared" si="106"/>
        <v>Master's</v>
      </c>
      <c r="O561" t="str">
        <f t="shared" si="107"/>
        <v>Senior Level</v>
      </c>
      <c r="P561" t="str">
        <f t="shared" si="108"/>
        <v>Low</v>
      </c>
      <c r="Q561" t="str">
        <f t="shared" si="109"/>
        <v>Intermediate</v>
      </c>
      <c r="R561" t="str">
        <f t="shared" si="110"/>
        <v>Strong</v>
      </c>
      <c r="S561" t="str">
        <f t="shared" si="111"/>
        <v>Hired</v>
      </c>
      <c r="T561">
        <f t="shared" si="112"/>
        <v>60</v>
      </c>
      <c r="U561" t="str">
        <f t="shared" si="113"/>
        <v>Developing</v>
      </c>
      <c r="V561" t="str">
        <f t="shared" si="114"/>
        <v>Personality</v>
      </c>
      <c r="W561" t="str">
        <f t="shared" si="115"/>
        <v>Interview Preparation</v>
      </c>
      <c r="X561" t="str">
        <f t="shared" si="116"/>
        <v>Improve interview preparation and communication</v>
      </c>
    </row>
    <row r="562" spans="1:24" x14ac:dyDescent="0.3">
      <c r="A562">
        <v>30</v>
      </c>
      <c r="B562">
        <v>0</v>
      </c>
      <c r="C562">
        <v>2</v>
      </c>
      <c r="D562">
        <v>7</v>
      </c>
      <c r="E562">
        <v>5</v>
      </c>
      <c r="F562">
        <v>49.474544970308898</v>
      </c>
      <c r="G562">
        <v>73</v>
      </c>
      <c r="H562">
        <v>12</v>
      </c>
      <c r="I562">
        <v>36</v>
      </c>
      <c r="J562">
        <v>2</v>
      </c>
      <c r="K562">
        <v>0</v>
      </c>
      <c r="L562" t="str">
        <f t="shared" si="104"/>
        <v>C561</v>
      </c>
      <c r="M562" t="str">
        <f t="shared" si="105"/>
        <v>Male</v>
      </c>
      <c r="N562" t="str">
        <f t="shared" si="106"/>
        <v>Bachelor's Type 2</v>
      </c>
      <c r="O562" t="str">
        <f t="shared" si="107"/>
        <v>Senior Level</v>
      </c>
      <c r="P562" t="str">
        <f t="shared" si="108"/>
        <v>Average</v>
      </c>
      <c r="Q562" t="str">
        <f t="shared" si="109"/>
        <v>Beginner</v>
      </c>
      <c r="R562" t="str">
        <f t="shared" si="110"/>
        <v>Needs Improvement</v>
      </c>
      <c r="S562" t="str">
        <f t="shared" si="111"/>
        <v>Not Hired</v>
      </c>
      <c r="T562">
        <f t="shared" si="112"/>
        <v>42</v>
      </c>
      <c r="U562" t="str">
        <f t="shared" si="113"/>
        <v>Needs Improvement</v>
      </c>
      <c r="V562" t="str">
        <f t="shared" si="114"/>
        <v>Interview</v>
      </c>
      <c r="W562" t="str">
        <f t="shared" si="115"/>
        <v>Technical Skills</v>
      </c>
      <c r="X562" t="str">
        <f t="shared" si="116"/>
        <v>Strengthen technical skills and practical knowledge</v>
      </c>
    </row>
    <row r="563" spans="1:24" x14ac:dyDescent="0.3">
      <c r="A563">
        <v>47</v>
      </c>
      <c r="B563">
        <v>0</v>
      </c>
      <c r="C563">
        <v>2</v>
      </c>
      <c r="D563">
        <v>10</v>
      </c>
      <c r="E563">
        <v>5</v>
      </c>
      <c r="F563">
        <v>23.696306821089699</v>
      </c>
      <c r="G563">
        <v>45</v>
      </c>
      <c r="H563">
        <v>42</v>
      </c>
      <c r="I563">
        <v>88</v>
      </c>
      <c r="J563">
        <v>3</v>
      </c>
      <c r="K563">
        <v>0</v>
      </c>
      <c r="L563" t="str">
        <f t="shared" si="104"/>
        <v>C562</v>
      </c>
      <c r="M563" t="str">
        <f t="shared" si="105"/>
        <v>Male</v>
      </c>
      <c r="N563" t="str">
        <f t="shared" si="106"/>
        <v>Bachelor's Type 2</v>
      </c>
      <c r="O563" t="str">
        <f t="shared" si="107"/>
        <v>Senior Level</v>
      </c>
      <c r="P563" t="str">
        <f t="shared" si="108"/>
        <v>Low</v>
      </c>
      <c r="Q563" t="str">
        <f t="shared" si="109"/>
        <v>Beginner</v>
      </c>
      <c r="R563" t="str">
        <f t="shared" si="110"/>
        <v>Strong</v>
      </c>
      <c r="S563" t="str">
        <f t="shared" si="111"/>
        <v>Not Hired</v>
      </c>
      <c r="T563">
        <f t="shared" si="112"/>
        <v>56</v>
      </c>
      <c r="U563" t="str">
        <f t="shared" si="113"/>
        <v>Developing</v>
      </c>
      <c r="V563" t="str">
        <f t="shared" si="114"/>
        <v>Personality</v>
      </c>
      <c r="W563" t="str">
        <f t="shared" si="115"/>
        <v>Technical Skills</v>
      </c>
      <c r="X563" t="str">
        <f t="shared" si="116"/>
        <v>Strengthen technical skills and practical knowledge</v>
      </c>
    </row>
    <row r="564" spans="1:24" x14ac:dyDescent="0.3">
      <c r="A564">
        <v>24</v>
      </c>
      <c r="B564">
        <v>1</v>
      </c>
      <c r="C564">
        <v>2</v>
      </c>
      <c r="D564">
        <v>6</v>
      </c>
      <c r="E564">
        <v>1</v>
      </c>
      <c r="F564">
        <v>26.349981007167301</v>
      </c>
      <c r="G564">
        <v>68</v>
      </c>
      <c r="H564">
        <v>59</v>
      </c>
      <c r="I564">
        <v>35</v>
      </c>
      <c r="J564">
        <v>2</v>
      </c>
      <c r="K564">
        <v>0</v>
      </c>
      <c r="L564" t="str">
        <f t="shared" si="104"/>
        <v>C563</v>
      </c>
      <c r="M564" t="str">
        <f t="shared" si="105"/>
        <v>Female</v>
      </c>
      <c r="N564" t="str">
        <f t="shared" si="106"/>
        <v>Bachelor's Type 2</v>
      </c>
      <c r="O564" t="str">
        <f t="shared" si="107"/>
        <v>Mid Level</v>
      </c>
      <c r="P564" t="str">
        <f t="shared" si="108"/>
        <v>Average</v>
      </c>
      <c r="Q564" t="str">
        <f t="shared" si="109"/>
        <v>Intermediate</v>
      </c>
      <c r="R564" t="str">
        <f t="shared" si="110"/>
        <v>Needs Improvement</v>
      </c>
      <c r="S564" t="str">
        <f t="shared" si="111"/>
        <v>Not Hired</v>
      </c>
      <c r="T564">
        <f t="shared" si="112"/>
        <v>54</v>
      </c>
      <c r="U564" t="str">
        <f t="shared" si="113"/>
        <v>Developing</v>
      </c>
      <c r="V564" t="str">
        <f t="shared" si="114"/>
        <v>Interview</v>
      </c>
      <c r="W564" t="str">
        <f t="shared" si="115"/>
        <v>Personality &amp; Communication</v>
      </c>
      <c r="X564" t="str">
        <f t="shared" si="116"/>
        <v>Work on communication and personality development</v>
      </c>
    </row>
    <row r="565" spans="1:24" x14ac:dyDescent="0.3">
      <c r="A565">
        <v>20</v>
      </c>
      <c r="B565">
        <v>0</v>
      </c>
      <c r="C565">
        <v>1</v>
      </c>
      <c r="D565">
        <v>13</v>
      </c>
      <c r="E565">
        <v>5</v>
      </c>
      <c r="F565">
        <v>29.608598089188401</v>
      </c>
      <c r="G565">
        <v>18</v>
      </c>
      <c r="H565">
        <v>56</v>
      </c>
      <c r="I565">
        <v>80</v>
      </c>
      <c r="J565">
        <v>3</v>
      </c>
      <c r="K565">
        <v>0</v>
      </c>
      <c r="L565" t="str">
        <f t="shared" si="104"/>
        <v>C564</v>
      </c>
      <c r="M565" t="str">
        <f t="shared" si="105"/>
        <v>Male</v>
      </c>
      <c r="N565" t="str">
        <f t="shared" si="106"/>
        <v>Bachelor's Type 1</v>
      </c>
      <c r="O565" t="str">
        <f t="shared" si="107"/>
        <v>Senior Level</v>
      </c>
      <c r="P565" t="str">
        <f t="shared" si="108"/>
        <v>Low</v>
      </c>
      <c r="Q565" t="str">
        <f t="shared" si="109"/>
        <v>Intermediate</v>
      </c>
      <c r="R565" t="str">
        <f t="shared" si="110"/>
        <v>Strong</v>
      </c>
      <c r="S565" t="str">
        <f t="shared" si="111"/>
        <v>Not Hired</v>
      </c>
      <c r="T565">
        <f t="shared" si="112"/>
        <v>54</v>
      </c>
      <c r="U565" t="str">
        <f t="shared" si="113"/>
        <v>Developing</v>
      </c>
      <c r="V565" t="str">
        <f t="shared" si="114"/>
        <v>Personality</v>
      </c>
      <c r="W565" t="str">
        <f t="shared" si="115"/>
        <v>Interview Preparation</v>
      </c>
      <c r="X565" t="str">
        <f t="shared" si="116"/>
        <v>Improve interview preparation and communication</v>
      </c>
    </row>
    <row r="566" spans="1:24" x14ac:dyDescent="0.3">
      <c r="A566">
        <v>27</v>
      </c>
      <c r="B566">
        <v>1</v>
      </c>
      <c r="C566">
        <v>2</v>
      </c>
      <c r="D566">
        <v>3</v>
      </c>
      <c r="E566">
        <v>1</v>
      </c>
      <c r="F566">
        <v>47.617407081685499</v>
      </c>
      <c r="G566">
        <v>37</v>
      </c>
      <c r="H566">
        <v>70</v>
      </c>
      <c r="I566">
        <v>87</v>
      </c>
      <c r="J566">
        <v>1</v>
      </c>
      <c r="K566">
        <v>1</v>
      </c>
      <c r="L566" t="str">
        <f t="shared" si="104"/>
        <v>C565</v>
      </c>
      <c r="M566" t="str">
        <f t="shared" si="105"/>
        <v>Female</v>
      </c>
      <c r="N566" t="str">
        <f t="shared" si="106"/>
        <v>Bachelor's Type 2</v>
      </c>
      <c r="O566" t="str">
        <f t="shared" si="107"/>
        <v>Mid Level</v>
      </c>
      <c r="P566" t="str">
        <f t="shared" si="108"/>
        <v>Low</v>
      </c>
      <c r="Q566" t="str">
        <f t="shared" si="109"/>
        <v>Intermediate</v>
      </c>
      <c r="R566" t="str">
        <f t="shared" si="110"/>
        <v>Strong</v>
      </c>
      <c r="S566" t="str">
        <f t="shared" si="111"/>
        <v>Hired</v>
      </c>
      <c r="T566">
        <f t="shared" si="112"/>
        <v>55</v>
      </c>
      <c r="U566" t="str">
        <f t="shared" si="113"/>
        <v>Developing</v>
      </c>
      <c r="V566" t="str">
        <f t="shared" si="114"/>
        <v>Personality</v>
      </c>
      <c r="W566" t="str">
        <f t="shared" si="115"/>
        <v>Interview Preparation</v>
      </c>
      <c r="X566" t="str">
        <f t="shared" si="116"/>
        <v>Improve interview preparation and communication</v>
      </c>
    </row>
    <row r="567" spans="1:24" x14ac:dyDescent="0.3">
      <c r="A567">
        <v>40</v>
      </c>
      <c r="B567">
        <v>0</v>
      </c>
      <c r="C567">
        <v>1</v>
      </c>
      <c r="D567">
        <v>10</v>
      </c>
      <c r="E567">
        <v>5</v>
      </c>
      <c r="F567">
        <v>43.910339548851397</v>
      </c>
      <c r="G567">
        <v>10</v>
      </c>
      <c r="H567">
        <v>16</v>
      </c>
      <c r="I567">
        <v>20</v>
      </c>
      <c r="J567">
        <v>2</v>
      </c>
      <c r="K567">
        <v>0</v>
      </c>
      <c r="L567" t="str">
        <f t="shared" si="104"/>
        <v>C566</v>
      </c>
      <c r="M567" t="str">
        <f t="shared" si="105"/>
        <v>Male</v>
      </c>
      <c r="N567" t="str">
        <f t="shared" si="106"/>
        <v>Bachelor's Type 1</v>
      </c>
      <c r="O567" t="str">
        <f t="shared" si="107"/>
        <v>Senior Level</v>
      </c>
      <c r="P567" t="str">
        <f t="shared" si="108"/>
        <v>Low</v>
      </c>
      <c r="Q567" t="str">
        <f t="shared" si="109"/>
        <v>Beginner</v>
      </c>
      <c r="R567" t="str">
        <f t="shared" si="110"/>
        <v>Needs Improvement</v>
      </c>
      <c r="S567" t="str">
        <f t="shared" si="111"/>
        <v>Not Hired</v>
      </c>
      <c r="T567">
        <f t="shared" si="112"/>
        <v>24</v>
      </c>
      <c r="U567" t="str">
        <f t="shared" si="113"/>
        <v>Needs Improvement</v>
      </c>
      <c r="V567" t="str">
        <f t="shared" si="114"/>
        <v>Personality</v>
      </c>
      <c r="W567" t="str">
        <f t="shared" si="115"/>
        <v>Interview Preparation</v>
      </c>
      <c r="X567" t="str">
        <f t="shared" si="116"/>
        <v>Improve interview preparation and communication</v>
      </c>
    </row>
    <row r="568" spans="1:24" x14ac:dyDescent="0.3">
      <c r="A568">
        <v>47</v>
      </c>
      <c r="B568">
        <v>1</v>
      </c>
      <c r="C568">
        <v>1</v>
      </c>
      <c r="D568">
        <v>11</v>
      </c>
      <c r="E568">
        <v>1</v>
      </c>
      <c r="F568">
        <v>9.5300562310822095</v>
      </c>
      <c r="G568">
        <v>42</v>
      </c>
      <c r="H568">
        <v>49</v>
      </c>
      <c r="I568">
        <v>1</v>
      </c>
      <c r="J568">
        <v>2</v>
      </c>
      <c r="K568">
        <v>0</v>
      </c>
      <c r="L568" t="str">
        <f t="shared" si="104"/>
        <v>C567</v>
      </c>
      <c r="M568" t="str">
        <f t="shared" si="105"/>
        <v>Female</v>
      </c>
      <c r="N568" t="str">
        <f t="shared" si="106"/>
        <v>Bachelor's Type 1</v>
      </c>
      <c r="O568" t="str">
        <f t="shared" si="107"/>
        <v>Senior Level</v>
      </c>
      <c r="P568" t="str">
        <f t="shared" si="108"/>
        <v>Low</v>
      </c>
      <c r="Q568" t="str">
        <f t="shared" si="109"/>
        <v>Beginner</v>
      </c>
      <c r="R568" t="str">
        <f t="shared" si="110"/>
        <v>Needs Improvement</v>
      </c>
      <c r="S568" t="str">
        <f t="shared" si="111"/>
        <v>Not Hired</v>
      </c>
      <c r="T568">
        <f t="shared" si="112"/>
        <v>41</v>
      </c>
      <c r="U568" t="str">
        <f t="shared" si="113"/>
        <v>Needs Improvement</v>
      </c>
      <c r="V568" t="str">
        <f t="shared" si="114"/>
        <v>Technical Skills</v>
      </c>
      <c r="W568" t="str">
        <f t="shared" si="115"/>
        <v>Personality &amp; Communication</v>
      </c>
      <c r="X568" t="str">
        <f t="shared" si="116"/>
        <v>Work on communication and personality development</v>
      </c>
    </row>
    <row r="569" spans="1:24" x14ac:dyDescent="0.3">
      <c r="A569">
        <v>31</v>
      </c>
      <c r="B569">
        <v>1</v>
      </c>
      <c r="C569">
        <v>1</v>
      </c>
      <c r="D569">
        <v>3</v>
      </c>
      <c r="E569">
        <v>4</v>
      </c>
      <c r="F569">
        <v>22.837890892353698</v>
      </c>
      <c r="G569">
        <v>19</v>
      </c>
      <c r="H569">
        <v>31</v>
      </c>
      <c r="I569">
        <v>30</v>
      </c>
      <c r="J569">
        <v>1</v>
      </c>
      <c r="K569">
        <v>0</v>
      </c>
      <c r="L569" t="str">
        <f t="shared" si="104"/>
        <v>C568</v>
      </c>
      <c r="M569" t="str">
        <f t="shared" si="105"/>
        <v>Female</v>
      </c>
      <c r="N569" t="str">
        <f t="shared" si="106"/>
        <v>Bachelor's Type 1</v>
      </c>
      <c r="O569" t="str">
        <f t="shared" si="107"/>
        <v>Mid Level</v>
      </c>
      <c r="P569" t="str">
        <f t="shared" si="108"/>
        <v>Low</v>
      </c>
      <c r="Q569" t="str">
        <f t="shared" si="109"/>
        <v>Beginner</v>
      </c>
      <c r="R569" t="str">
        <f t="shared" si="110"/>
        <v>Needs Improvement</v>
      </c>
      <c r="S569" t="str">
        <f t="shared" si="111"/>
        <v>Not Hired</v>
      </c>
      <c r="T569">
        <f t="shared" si="112"/>
        <v>27</v>
      </c>
      <c r="U569" t="str">
        <f t="shared" si="113"/>
        <v>Needs Improvement</v>
      </c>
      <c r="V569" t="str">
        <f t="shared" si="114"/>
        <v>Technical Skills</v>
      </c>
      <c r="W569" t="str">
        <f t="shared" si="115"/>
        <v>Interview Preparation</v>
      </c>
      <c r="X569" t="str">
        <f t="shared" si="116"/>
        <v>Improve interview preparation and communication</v>
      </c>
    </row>
    <row r="570" spans="1:24" x14ac:dyDescent="0.3">
      <c r="A570">
        <v>31</v>
      </c>
      <c r="B570">
        <v>1</v>
      </c>
      <c r="C570">
        <v>2</v>
      </c>
      <c r="D570">
        <v>10</v>
      </c>
      <c r="E570">
        <v>4</v>
      </c>
      <c r="F570">
        <v>24.2000214098213</v>
      </c>
      <c r="G570">
        <v>19</v>
      </c>
      <c r="H570">
        <v>21</v>
      </c>
      <c r="I570">
        <v>96</v>
      </c>
      <c r="J570">
        <v>1</v>
      </c>
      <c r="K570">
        <v>1</v>
      </c>
      <c r="L570" t="str">
        <f t="shared" si="104"/>
        <v>C569</v>
      </c>
      <c r="M570" t="str">
        <f t="shared" si="105"/>
        <v>Female</v>
      </c>
      <c r="N570" t="str">
        <f t="shared" si="106"/>
        <v>Bachelor's Type 2</v>
      </c>
      <c r="O570" t="str">
        <f t="shared" si="107"/>
        <v>Senior Level</v>
      </c>
      <c r="P570" t="str">
        <f t="shared" si="108"/>
        <v>Low</v>
      </c>
      <c r="Q570" t="str">
        <f t="shared" si="109"/>
        <v>Beginner</v>
      </c>
      <c r="R570" t="str">
        <f t="shared" si="110"/>
        <v>Strong</v>
      </c>
      <c r="S570" t="str">
        <f t="shared" si="111"/>
        <v>Hired</v>
      </c>
      <c r="T570">
        <f t="shared" si="112"/>
        <v>44</v>
      </c>
      <c r="U570" t="str">
        <f t="shared" si="113"/>
        <v>Needs Improvement</v>
      </c>
      <c r="V570" t="str">
        <f t="shared" si="114"/>
        <v>Personality</v>
      </c>
      <c r="W570" t="str">
        <f t="shared" si="115"/>
        <v>Interview Preparation</v>
      </c>
      <c r="X570" t="str">
        <f t="shared" si="116"/>
        <v>Improve interview preparation and communication</v>
      </c>
    </row>
    <row r="571" spans="1:24" x14ac:dyDescent="0.3">
      <c r="A571">
        <v>24</v>
      </c>
      <c r="B571">
        <v>0</v>
      </c>
      <c r="C571">
        <v>3</v>
      </c>
      <c r="D571">
        <v>9</v>
      </c>
      <c r="E571">
        <v>3</v>
      </c>
      <c r="F571">
        <v>40.4548055824378</v>
      </c>
      <c r="G571">
        <v>20</v>
      </c>
      <c r="H571">
        <v>54</v>
      </c>
      <c r="I571">
        <v>29</v>
      </c>
      <c r="J571">
        <v>2</v>
      </c>
      <c r="K571">
        <v>0</v>
      </c>
      <c r="L571" t="str">
        <f t="shared" si="104"/>
        <v>C570</v>
      </c>
      <c r="M571" t="str">
        <f t="shared" si="105"/>
        <v>Male</v>
      </c>
      <c r="N571" t="str">
        <f t="shared" si="106"/>
        <v>Master's</v>
      </c>
      <c r="O571" t="str">
        <f t="shared" si="107"/>
        <v>Senior Level</v>
      </c>
      <c r="P571" t="str">
        <f t="shared" si="108"/>
        <v>Low</v>
      </c>
      <c r="Q571" t="str">
        <f t="shared" si="109"/>
        <v>Intermediate</v>
      </c>
      <c r="R571" t="str">
        <f t="shared" si="110"/>
        <v>Needs Improvement</v>
      </c>
      <c r="S571" t="str">
        <f t="shared" si="111"/>
        <v>Not Hired</v>
      </c>
      <c r="T571">
        <f t="shared" si="112"/>
        <v>41</v>
      </c>
      <c r="U571" t="str">
        <f t="shared" si="113"/>
        <v>Needs Improvement</v>
      </c>
      <c r="V571" t="str">
        <f t="shared" si="114"/>
        <v>Technical Skills</v>
      </c>
      <c r="W571" t="str">
        <f t="shared" si="115"/>
        <v>Interview Preparation</v>
      </c>
      <c r="X571" t="str">
        <f t="shared" si="116"/>
        <v>Improve interview preparation and communication</v>
      </c>
    </row>
    <row r="572" spans="1:24" x14ac:dyDescent="0.3">
      <c r="A572">
        <v>26</v>
      </c>
      <c r="B572">
        <v>0</v>
      </c>
      <c r="C572">
        <v>2</v>
      </c>
      <c r="D572">
        <v>14</v>
      </c>
      <c r="E572">
        <v>1</v>
      </c>
      <c r="F572">
        <v>31.144644130271701</v>
      </c>
      <c r="G572">
        <v>81</v>
      </c>
      <c r="H572">
        <v>56</v>
      </c>
      <c r="I572">
        <v>75</v>
      </c>
      <c r="J572">
        <v>1</v>
      </c>
      <c r="K572">
        <v>1</v>
      </c>
      <c r="L572" t="str">
        <f t="shared" si="104"/>
        <v>C571</v>
      </c>
      <c r="M572" t="str">
        <f t="shared" si="105"/>
        <v>Male</v>
      </c>
      <c r="N572" t="str">
        <f t="shared" si="106"/>
        <v>Bachelor's Type 2</v>
      </c>
      <c r="O572" t="str">
        <f t="shared" si="107"/>
        <v>Senior Level</v>
      </c>
      <c r="P572" t="str">
        <f t="shared" si="108"/>
        <v>Strong</v>
      </c>
      <c r="Q572" t="str">
        <f t="shared" si="109"/>
        <v>Intermediate</v>
      </c>
      <c r="R572" t="str">
        <f t="shared" si="110"/>
        <v>Strong</v>
      </c>
      <c r="S572" t="str">
        <f t="shared" si="111"/>
        <v>Hired</v>
      </c>
      <c r="T572">
        <f t="shared" si="112"/>
        <v>73</v>
      </c>
      <c r="U572" t="str">
        <f t="shared" si="113"/>
        <v>Developing</v>
      </c>
      <c r="V572" t="str">
        <f t="shared" si="114"/>
        <v>Interview</v>
      </c>
      <c r="W572" t="str">
        <f t="shared" si="115"/>
        <v>Technical Skills</v>
      </c>
      <c r="X572" t="str">
        <f t="shared" si="116"/>
        <v>Strengthen technical skills and practical knowledge</v>
      </c>
    </row>
    <row r="573" spans="1:24" x14ac:dyDescent="0.3">
      <c r="A573">
        <v>23</v>
      </c>
      <c r="B573">
        <v>1</v>
      </c>
      <c r="C573">
        <v>2</v>
      </c>
      <c r="D573">
        <v>10</v>
      </c>
      <c r="E573">
        <v>2</v>
      </c>
      <c r="F573">
        <v>33.7110231014506</v>
      </c>
      <c r="G573">
        <v>56</v>
      </c>
      <c r="H573">
        <v>12</v>
      </c>
      <c r="I573">
        <v>43</v>
      </c>
      <c r="J573">
        <v>1</v>
      </c>
      <c r="K573">
        <v>0</v>
      </c>
      <c r="L573" t="str">
        <f t="shared" si="104"/>
        <v>C572</v>
      </c>
      <c r="M573" t="str">
        <f t="shared" si="105"/>
        <v>Female</v>
      </c>
      <c r="N573" t="str">
        <f t="shared" si="106"/>
        <v>Bachelor's Type 2</v>
      </c>
      <c r="O573" t="str">
        <f t="shared" si="107"/>
        <v>Senior Level</v>
      </c>
      <c r="P573" t="str">
        <f t="shared" si="108"/>
        <v>Average</v>
      </c>
      <c r="Q573" t="str">
        <f t="shared" si="109"/>
        <v>Beginner</v>
      </c>
      <c r="R573" t="str">
        <f t="shared" si="110"/>
        <v>Needs Improvement</v>
      </c>
      <c r="S573" t="str">
        <f t="shared" si="111"/>
        <v>Not Hired</v>
      </c>
      <c r="T573">
        <f t="shared" si="112"/>
        <v>42</v>
      </c>
      <c r="U573" t="str">
        <f t="shared" si="113"/>
        <v>Needs Improvement</v>
      </c>
      <c r="V573" t="str">
        <f t="shared" si="114"/>
        <v>Interview</v>
      </c>
      <c r="W573" t="str">
        <f t="shared" si="115"/>
        <v>Technical Skills</v>
      </c>
      <c r="X573" t="str">
        <f t="shared" si="116"/>
        <v>Strengthen technical skills and practical knowledge</v>
      </c>
    </row>
    <row r="574" spans="1:24" x14ac:dyDescent="0.3">
      <c r="A574">
        <v>25</v>
      </c>
      <c r="B574">
        <v>1</v>
      </c>
      <c r="C574">
        <v>2</v>
      </c>
      <c r="D574">
        <v>15</v>
      </c>
      <c r="E574">
        <v>3</v>
      </c>
      <c r="F574">
        <v>50.909995383280801</v>
      </c>
      <c r="G574">
        <v>49</v>
      </c>
      <c r="H574">
        <v>46</v>
      </c>
      <c r="I574">
        <v>11</v>
      </c>
      <c r="J574">
        <v>3</v>
      </c>
      <c r="K574">
        <v>0</v>
      </c>
      <c r="L574" t="str">
        <f t="shared" si="104"/>
        <v>C573</v>
      </c>
      <c r="M574" t="str">
        <f t="shared" si="105"/>
        <v>Female</v>
      </c>
      <c r="N574" t="str">
        <f t="shared" si="106"/>
        <v>Bachelor's Type 2</v>
      </c>
      <c r="O574" t="str">
        <f t="shared" si="107"/>
        <v>Senior Level</v>
      </c>
      <c r="P574" t="str">
        <f t="shared" si="108"/>
        <v>Low</v>
      </c>
      <c r="Q574" t="str">
        <f t="shared" si="109"/>
        <v>Beginner</v>
      </c>
      <c r="R574" t="str">
        <f t="shared" si="110"/>
        <v>Needs Improvement</v>
      </c>
      <c r="S574" t="str">
        <f t="shared" si="111"/>
        <v>Not Hired</v>
      </c>
      <c r="T574">
        <f t="shared" si="112"/>
        <v>48</v>
      </c>
      <c r="U574" t="str">
        <f t="shared" si="113"/>
        <v>Needs Improvement</v>
      </c>
      <c r="V574" t="str">
        <f t="shared" si="114"/>
        <v>Interview</v>
      </c>
      <c r="W574" t="str">
        <f t="shared" si="115"/>
        <v>Personality &amp; Communication</v>
      </c>
      <c r="X574" t="str">
        <f t="shared" si="116"/>
        <v>Work on communication and personality development</v>
      </c>
    </row>
    <row r="575" spans="1:24" x14ac:dyDescent="0.3">
      <c r="A575">
        <v>32</v>
      </c>
      <c r="B575">
        <v>0</v>
      </c>
      <c r="C575">
        <v>1</v>
      </c>
      <c r="D575">
        <v>10</v>
      </c>
      <c r="E575">
        <v>4</v>
      </c>
      <c r="F575">
        <v>4.7480021735006499</v>
      </c>
      <c r="G575">
        <v>73</v>
      </c>
      <c r="H575">
        <v>86</v>
      </c>
      <c r="I575">
        <v>50</v>
      </c>
      <c r="J575">
        <v>3</v>
      </c>
      <c r="K575">
        <v>0</v>
      </c>
      <c r="L575" t="str">
        <f t="shared" si="104"/>
        <v>C574</v>
      </c>
      <c r="M575" t="str">
        <f t="shared" si="105"/>
        <v>Male</v>
      </c>
      <c r="N575" t="str">
        <f t="shared" si="106"/>
        <v>Bachelor's Type 1</v>
      </c>
      <c r="O575" t="str">
        <f t="shared" si="107"/>
        <v>Senior Level</v>
      </c>
      <c r="P575" t="str">
        <f t="shared" si="108"/>
        <v>Average</v>
      </c>
      <c r="Q575" t="str">
        <f t="shared" si="109"/>
        <v>Advanced</v>
      </c>
      <c r="R575" t="str">
        <f t="shared" si="110"/>
        <v>Good</v>
      </c>
      <c r="S575" t="str">
        <f t="shared" si="111"/>
        <v>Not Hired</v>
      </c>
      <c r="T575">
        <f t="shared" si="112"/>
        <v>70</v>
      </c>
      <c r="U575" t="str">
        <f t="shared" si="113"/>
        <v>Developing</v>
      </c>
      <c r="V575" t="str">
        <f t="shared" si="114"/>
        <v>Technical Skills</v>
      </c>
      <c r="W575" t="str">
        <f t="shared" si="115"/>
        <v>Personality &amp; Communication</v>
      </c>
      <c r="X575" t="str">
        <f t="shared" si="116"/>
        <v>Work on communication and personality development</v>
      </c>
    </row>
    <row r="576" spans="1:24" x14ac:dyDescent="0.3">
      <c r="A576">
        <v>39</v>
      </c>
      <c r="B576">
        <v>0</v>
      </c>
      <c r="C576">
        <v>3</v>
      </c>
      <c r="D576">
        <v>13</v>
      </c>
      <c r="E576">
        <v>1</v>
      </c>
      <c r="F576">
        <v>12.1504911766866</v>
      </c>
      <c r="G576">
        <v>97</v>
      </c>
      <c r="H576">
        <v>61</v>
      </c>
      <c r="I576">
        <v>48</v>
      </c>
      <c r="J576">
        <v>2</v>
      </c>
      <c r="K576">
        <v>1</v>
      </c>
      <c r="L576" t="str">
        <f t="shared" si="104"/>
        <v>C575</v>
      </c>
      <c r="M576" t="str">
        <f t="shared" si="105"/>
        <v>Male</v>
      </c>
      <c r="N576" t="str">
        <f t="shared" si="106"/>
        <v>Master's</v>
      </c>
      <c r="O576" t="str">
        <f t="shared" si="107"/>
        <v>Senior Level</v>
      </c>
      <c r="P576" t="str">
        <f t="shared" si="108"/>
        <v>Strong</v>
      </c>
      <c r="Q576" t="str">
        <f t="shared" si="109"/>
        <v>Intermediate</v>
      </c>
      <c r="R576" t="str">
        <f t="shared" si="110"/>
        <v>Needs Improvement</v>
      </c>
      <c r="S576" t="str">
        <f t="shared" si="111"/>
        <v>Hired</v>
      </c>
      <c r="T576">
        <f t="shared" si="112"/>
        <v>74</v>
      </c>
      <c r="U576" t="str">
        <f t="shared" si="113"/>
        <v>Developing</v>
      </c>
      <c r="V576" t="str">
        <f t="shared" si="114"/>
        <v>Interview</v>
      </c>
      <c r="W576" t="str">
        <f t="shared" si="115"/>
        <v>Personality &amp; Communication</v>
      </c>
      <c r="X576" t="str">
        <f t="shared" si="116"/>
        <v>Work on communication and personality development</v>
      </c>
    </row>
    <row r="577" spans="1:24" x14ac:dyDescent="0.3">
      <c r="A577">
        <v>49</v>
      </c>
      <c r="B577">
        <v>0</v>
      </c>
      <c r="C577">
        <v>2</v>
      </c>
      <c r="D577">
        <v>10</v>
      </c>
      <c r="E577">
        <v>5</v>
      </c>
      <c r="F577">
        <v>21.394796868577298</v>
      </c>
      <c r="G577">
        <v>25</v>
      </c>
      <c r="H577">
        <v>53</v>
      </c>
      <c r="I577">
        <v>23</v>
      </c>
      <c r="J577">
        <v>2</v>
      </c>
      <c r="K577">
        <v>0</v>
      </c>
      <c r="L577" t="str">
        <f t="shared" si="104"/>
        <v>C576</v>
      </c>
      <c r="M577" t="str">
        <f t="shared" si="105"/>
        <v>Male</v>
      </c>
      <c r="N577" t="str">
        <f t="shared" si="106"/>
        <v>Bachelor's Type 2</v>
      </c>
      <c r="O577" t="str">
        <f t="shared" si="107"/>
        <v>Senior Level</v>
      </c>
      <c r="P577" t="str">
        <f t="shared" si="108"/>
        <v>Low</v>
      </c>
      <c r="Q577" t="str">
        <f t="shared" si="109"/>
        <v>Intermediate</v>
      </c>
      <c r="R577" t="str">
        <f t="shared" si="110"/>
        <v>Needs Improvement</v>
      </c>
      <c r="S577" t="str">
        <f t="shared" si="111"/>
        <v>Not Hired</v>
      </c>
      <c r="T577">
        <f t="shared" si="112"/>
        <v>41</v>
      </c>
      <c r="U577" t="str">
        <f t="shared" si="113"/>
        <v>Needs Improvement</v>
      </c>
      <c r="V577" t="str">
        <f t="shared" si="114"/>
        <v>Technical Skills</v>
      </c>
      <c r="W577" t="str">
        <f t="shared" si="115"/>
        <v>Personality &amp; Communication</v>
      </c>
      <c r="X577" t="str">
        <f t="shared" si="116"/>
        <v>Work on communication and personality development</v>
      </c>
    </row>
    <row r="578" spans="1:24" x14ac:dyDescent="0.3">
      <c r="A578">
        <v>34</v>
      </c>
      <c r="B578">
        <v>1</v>
      </c>
      <c r="C578">
        <v>2</v>
      </c>
      <c r="D578">
        <v>1</v>
      </c>
      <c r="E578">
        <v>2</v>
      </c>
      <c r="F578">
        <v>18.389120152444299</v>
      </c>
      <c r="G578">
        <v>29</v>
      </c>
      <c r="H578">
        <v>28</v>
      </c>
      <c r="I578">
        <v>23</v>
      </c>
      <c r="J578">
        <v>3</v>
      </c>
      <c r="K578">
        <v>0</v>
      </c>
      <c r="L578" t="str">
        <f t="shared" si="104"/>
        <v>C577</v>
      </c>
      <c r="M578" t="str">
        <f t="shared" si="105"/>
        <v>Female</v>
      </c>
      <c r="N578" t="str">
        <f t="shared" si="106"/>
        <v>Bachelor's Type 2</v>
      </c>
      <c r="O578" t="str">
        <f t="shared" si="107"/>
        <v>Entry Level</v>
      </c>
      <c r="P578" t="str">
        <f t="shared" si="108"/>
        <v>Low</v>
      </c>
      <c r="Q578" t="str">
        <f t="shared" si="109"/>
        <v>Beginner</v>
      </c>
      <c r="R578" t="str">
        <f t="shared" si="110"/>
        <v>Needs Improvement</v>
      </c>
      <c r="S578" t="str">
        <f t="shared" si="111"/>
        <v>Not Hired</v>
      </c>
      <c r="T578">
        <f t="shared" si="112"/>
        <v>25</v>
      </c>
      <c r="U578" t="str">
        <f t="shared" si="113"/>
        <v>Needs Improvement</v>
      </c>
      <c r="V578" t="str">
        <f t="shared" si="114"/>
        <v>Interview</v>
      </c>
      <c r="W578" t="str">
        <f t="shared" si="115"/>
        <v>Personality &amp; Communication</v>
      </c>
      <c r="X578" t="str">
        <f t="shared" si="116"/>
        <v>Work on communication and personality development</v>
      </c>
    </row>
    <row r="579" spans="1:24" x14ac:dyDescent="0.3">
      <c r="A579">
        <v>22</v>
      </c>
      <c r="B579">
        <v>0</v>
      </c>
      <c r="C579">
        <v>2</v>
      </c>
      <c r="D579">
        <v>13</v>
      </c>
      <c r="E579">
        <v>4</v>
      </c>
      <c r="F579">
        <v>2.0822780673491699</v>
      </c>
      <c r="G579">
        <v>72</v>
      </c>
      <c r="H579">
        <v>21</v>
      </c>
      <c r="I579">
        <v>59</v>
      </c>
      <c r="J579">
        <v>2</v>
      </c>
      <c r="K579">
        <v>0</v>
      </c>
      <c r="L579" t="str">
        <f t="shared" ref="L579:L642" si="117">"C"&amp;TEXT(ROW()-1,"000")</f>
        <v>C578</v>
      </c>
      <c r="M579" t="str">
        <f t="shared" ref="M579:M642" si="118">IF(B579=0,"Male","Female")</f>
        <v>Male</v>
      </c>
      <c r="N579" t="str">
        <f t="shared" ref="N579:N642" si="119">IF(C579=1,"Bachelor's Type 1",IF(C579=2,"Bachelor's Type 2",IF(C579=3,"Master's","PhD")))</f>
        <v>Bachelor's Type 2</v>
      </c>
      <c r="O579" t="str">
        <f t="shared" ref="O579:O642" si="120">IF(D579&lt;=2,"Entry Level",IF(D579&lt;=6,"Mid Level","Senior Level"))</f>
        <v>Senior Level</v>
      </c>
      <c r="P579" t="str">
        <f t="shared" ref="P579:P642" si="121">IF(G579&lt;50,"Low",IF(G579&lt;75,"Average","Strong"))</f>
        <v>Average</v>
      </c>
      <c r="Q579" t="str">
        <f t="shared" ref="Q579:Q642" si="122">IF(H579&lt;50,"Beginner",IF(H579&lt;75,"Intermediate","Advanced"))</f>
        <v>Beginner</v>
      </c>
      <c r="R579" t="str">
        <f t="shared" ref="R579:R642" si="123">IF(I579&lt;50,"Needs Improvement",IF(I579&lt;75,"Good","Strong"))</f>
        <v>Good</v>
      </c>
      <c r="S579" t="str">
        <f t="shared" ref="S579:S642" si="124">IF(K579=1,"Hired","Not Hired")</f>
        <v>Not Hired</v>
      </c>
      <c r="T579">
        <f t="shared" ref="T579:T642" si="125">ROUND((G579*30%)+(H579*30%)+(I579*20%)+((D579/15)*100*15%)+(IF(C579&lt;=2,50,IF(C579=3,75,100))*5%),0)</f>
        <v>55</v>
      </c>
      <c r="U579" t="str">
        <f t="shared" ref="U579:U642" si="126">IF(T579&lt;50,"Needs Improvement",IF(T579&lt;75,"Developing","Job Ready"))</f>
        <v>Developing</v>
      </c>
      <c r="V579" t="str">
        <f t="shared" ref="V579:V642" si="127">IF(AND(G579&gt;=H579,G579&gt;=I579),"Interview",IF(H579&gt;=I579,"Technical Skills","Personality"))</f>
        <v>Interview</v>
      </c>
      <c r="W579" t="str">
        <f t="shared" ref="W579:W642" si="128">IF(AND(G579&lt;=H579,G579&lt;=I579),"Interview Preparation",IF(H579&lt;=I579,"Technical Skills","Personality &amp; Communication"))</f>
        <v>Technical Skills</v>
      </c>
      <c r="X579" t="str">
        <f t="shared" ref="X579:X642" si="129">IF(W579="Interview Preparation","Improve interview preparation and communication",IF(W579="Technical Skills","Strengthen technical skills and practical knowledge","Work on communication and personality development"))</f>
        <v>Strengthen technical skills and practical knowledge</v>
      </c>
    </row>
    <row r="580" spans="1:24" x14ac:dyDescent="0.3">
      <c r="A580">
        <v>42</v>
      </c>
      <c r="B580">
        <v>0</v>
      </c>
      <c r="C580">
        <v>1</v>
      </c>
      <c r="D580">
        <v>15</v>
      </c>
      <c r="E580">
        <v>3</v>
      </c>
      <c r="F580">
        <v>5.5888803235587901</v>
      </c>
      <c r="G580">
        <v>30</v>
      </c>
      <c r="H580">
        <v>64</v>
      </c>
      <c r="I580">
        <v>10</v>
      </c>
      <c r="J580">
        <v>1</v>
      </c>
      <c r="K580">
        <v>1</v>
      </c>
      <c r="L580" t="str">
        <f t="shared" si="117"/>
        <v>C579</v>
      </c>
      <c r="M580" t="str">
        <f t="shared" si="118"/>
        <v>Male</v>
      </c>
      <c r="N580" t="str">
        <f t="shared" si="119"/>
        <v>Bachelor's Type 1</v>
      </c>
      <c r="O580" t="str">
        <f t="shared" si="120"/>
        <v>Senior Level</v>
      </c>
      <c r="P580" t="str">
        <f t="shared" si="121"/>
        <v>Low</v>
      </c>
      <c r="Q580" t="str">
        <f t="shared" si="122"/>
        <v>Intermediate</v>
      </c>
      <c r="R580" t="str">
        <f t="shared" si="123"/>
        <v>Needs Improvement</v>
      </c>
      <c r="S580" t="str">
        <f t="shared" si="124"/>
        <v>Hired</v>
      </c>
      <c r="T580">
        <f t="shared" si="125"/>
        <v>48</v>
      </c>
      <c r="U580" t="str">
        <f t="shared" si="126"/>
        <v>Needs Improvement</v>
      </c>
      <c r="V580" t="str">
        <f t="shared" si="127"/>
        <v>Technical Skills</v>
      </c>
      <c r="W580" t="str">
        <f t="shared" si="128"/>
        <v>Personality &amp; Communication</v>
      </c>
      <c r="X580" t="str">
        <f t="shared" si="129"/>
        <v>Work on communication and personality development</v>
      </c>
    </row>
    <row r="581" spans="1:24" x14ac:dyDescent="0.3">
      <c r="A581">
        <v>27</v>
      </c>
      <c r="B581">
        <v>1</v>
      </c>
      <c r="C581">
        <v>2</v>
      </c>
      <c r="D581">
        <v>0</v>
      </c>
      <c r="E581">
        <v>1</v>
      </c>
      <c r="F581">
        <v>35.047664570178803</v>
      </c>
      <c r="G581">
        <v>41</v>
      </c>
      <c r="H581">
        <v>28</v>
      </c>
      <c r="I581">
        <v>12</v>
      </c>
      <c r="J581">
        <v>3</v>
      </c>
      <c r="K581">
        <v>0</v>
      </c>
      <c r="L581" t="str">
        <f t="shared" si="117"/>
        <v>C580</v>
      </c>
      <c r="M581" t="str">
        <f t="shared" si="118"/>
        <v>Female</v>
      </c>
      <c r="N581" t="str">
        <f t="shared" si="119"/>
        <v>Bachelor's Type 2</v>
      </c>
      <c r="O581" t="str">
        <f t="shared" si="120"/>
        <v>Entry Level</v>
      </c>
      <c r="P581" t="str">
        <f t="shared" si="121"/>
        <v>Low</v>
      </c>
      <c r="Q581" t="str">
        <f t="shared" si="122"/>
        <v>Beginner</v>
      </c>
      <c r="R581" t="str">
        <f t="shared" si="123"/>
        <v>Needs Improvement</v>
      </c>
      <c r="S581" t="str">
        <f t="shared" si="124"/>
        <v>Not Hired</v>
      </c>
      <c r="T581">
        <f t="shared" si="125"/>
        <v>26</v>
      </c>
      <c r="U581" t="str">
        <f t="shared" si="126"/>
        <v>Needs Improvement</v>
      </c>
      <c r="V581" t="str">
        <f t="shared" si="127"/>
        <v>Interview</v>
      </c>
      <c r="W581" t="str">
        <f t="shared" si="128"/>
        <v>Personality &amp; Communication</v>
      </c>
      <c r="X581" t="str">
        <f t="shared" si="129"/>
        <v>Work on communication and personality development</v>
      </c>
    </row>
    <row r="582" spans="1:24" x14ac:dyDescent="0.3">
      <c r="A582">
        <v>39</v>
      </c>
      <c r="B582">
        <v>0</v>
      </c>
      <c r="C582">
        <v>2</v>
      </c>
      <c r="D582">
        <v>8</v>
      </c>
      <c r="E582">
        <v>2</v>
      </c>
      <c r="F582">
        <v>44.966223168128003</v>
      </c>
      <c r="G582">
        <v>67</v>
      </c>
      <c r="H582">
        <v>47</v>
      </c>
      <c r="I582">
        <v>90</v>
      </c>
      <c r="J582">
        <v>2</v>
      </c>
      <c r="K582">
        <v>0</v>
      </c>
      <c r="L582" t="str">
        <f t="shared" si="117"/>
        <v>C581</v>
      </c>
      <c r="M582" t="str">
        <f t="shared" si="118"/>
        <v>Male</v>
      </c>
      <c r="N582" t="str">
        <f t="shared" si="119"/>
        <v>Bachelor's Type 2</v>
      </c>
      <c r="O582" t="str">
        <f t="shared" si="120"/>
        <v>Senior Level</v>
      </c>
      <c r="P582" t="str">
        <f t="shared" si="121"/>
        <v>Average</v>
      </c>
      <c r="Q582" t="str">
        <f t="shared" si="122"/>
        <v>Beginner</v>
      </c>
      <c r="R582" t="str">
        <f t="shared" si="123"/>
        <v>Strong</v>
      </c>
      <c r="S582" t="str">
        <f t="shared" si="124"/>
        <v>Not Hired</v>
      </c>
      <c r="T582">
        <f t="shared" si="125"/>
        <v>63</v>
      </c>
      <c r="U582" t="str">
        <f t="shared" si="126"/>
        <v>Developing</v>
      </c>
      <c r="V582" t="str">
        <f t="shared" si="127"/>
        <v>Personality</v>
      </c>
      <c r="W582" t="str">
        <f t="shared" si="128"/>
        <v>Technical Skills</v>
      </c>
      <c r="X582" t="str">
        <f t="shared" si="129"/>
        <v>Strengthen technical skills and practical knowledge</v>
      </c>
    </row>
    <row r="583" spans="1:24" x14ac:dyDescent="0.3">
      <c r="A583">
        <v>35</v>
      </c>
      <c r="B583">
        <v>0</v>
      </c>
      <c r="C583">
        <v>3</v>
      </c>
      <c r="D583">
        <v>11</v>
      </c>
      <c r="E583">
        <v>1</v>
      </c>
      <c r="F583">
        <v>26.711350563298801</v>
      </c>
      <c r="G583">
        <v>60</v>
      </c>
      <c r="H583">
        <v>4</v>
      </c>
      <c r="I583">
        <v>71</v>
      </c>
      <c r="J583">
        <v>2</v>
      </c>
      <c r="K583">
        <v>0</v>
      </c>
      <c r="L583" t="str">
        <f t="shared" si="117"/>
        <v>C582</v>
      </c>
      <c r="M583" t="str">
        <f t="shared" si="118"/>
        <v>Male</v>
      </c>
      <c r="N583" t="str">
        <f t="shared" si="119"/>
        <v>Master's</v>
      </c>
      <c r="O583" t="str">
        <f t="shared" si="120"/>
        <v>Senior Level</v>
      </c>
      <c r="P583" t="str">
        <f t="shared" si="121"/>
        <v>Average</v>
      </c>
      <c r="Q583" t="str">
        <f t="shared" si="122"/>
        <v>Beginner</v>
      </c>
      <c r="R583" t="str">
        <f t="shared" si="123"/>
        <v>Good</v>
      </c>
      <c r="S583" t="str">
        <f t="shared" si="124"/>
        <v>Not Hired</v>
      </c>
      <c r="T583">
        <f t="shared" si="125"/>
        <v>48</v>
      </c>
      <c r="U583" t="str">
        <f t="shared" si="126"/>
        <v>Needs Improvement</v>
      </c>
      <c r="V583" t="str">
        <f t="shared" si="127"/>
        <v>Personality</v>
      </c>
      <c r="W583" t="str">
        <f t="shared" si="128"/>
        <v>Technical Skills</v>
      </c>
      <c r="X583" t="str">
        <f t="shared" si="129"/>
        <v>Strengthen technical skills and practical knowledge</v>
      </c>
    </row>
    <row r="584" spans="1:24" x14ac:dyDescent="0.3">
      <c r="A584">
        <v>32</v>
      </c>
      <c r="B584">
        <v>0</v>
      </c>
      <c r="C584">
        <v>1</v>
      </c>
      <c r="D584">
        <v>14</v>
      </c>
      <c r="E584">
        <v>5</v>
      </c>
      <c r="F584">
        <v>27.959553975681601</v>
      </c>
      <c r="G584">
        <v>60</v>
      </c>
      <c r="H584">
        <v>34</v>
      </c>
      <c r="I584">
        <v>73</v>
      </c>
      <c r="J584">
        <v>2</v>
      </c>
      <c r="K584">
        <v>0</v>
      </c>
      <c r="L584" t="str">
        <f t="shared" si="117"/>
        <v>C583</v>
      </c>
      <c r="M584" t="str">
        <f t="shared" si="118"/>
        <v>Male</v>
      </c>
      <c r="N584" t="str">
        <f t="shared" si="119"/>
        <v>Bachelor's Type 1</v>
      </c>
      <c r="O584" t="str">
        <f t="shared" si="120"/>
        <v>Senior Level</v>
      </c>
      <c r="P584" t="str">
        <f t="shared" si="121"/>
        <v>Average</v>
      </c>
      <c r="Q584" t="str">
        <f t="shared" si="122"/>
        <v>Beginner</v>
      </c>
      <c r="R584" t="str">
        <f t="shared" si="123"/>
        <v>Good</v>
      </c>
      <c r="S584" t="str">
        <f t="shared" si="124"/>
        <v>Not Hired</v>
      </c>
      <c r="T584">
        <f t="shared" si="125"/>
        <v>59</v>
      </c>
      <c r="U584" t="str">
        <f t="shared" si="126"/>
        <v>Developing</v>
      </c>
      <c r="V584" t="str">
        <f t="shared" si="127"/>
        <v>Personality</v>
      </c>
      <c r="W584" t="str">
        <f t="shared" si="128"/>
        <v>Technical Skills</v>
      </c>
      <c r="X584" t="str">
        <f t="shared" si="129"/>
        <v>Strengthen technical skills and practical knowledge</v>
      </c>
    </row>
    <row r="585" spans="1:24" x14ac:dyDescent="0.3">
      <c r="A585">
        <v>37</v>
      </c>
      <c r="B585">
        <v>1</v>
      </c>
      <c r="C585">
        <v>2</v>
      </c>
      <c r="D585">
        <v>11</v>
      </c>
      <c r="E585">
        <v>3</v>
      </c>
      <c r="F585">
        <v>13.7546716416189</v>
      </c>
      <c r="G585">
        <v>69</v>
      </c>
      <c r="H585">
        <v>73</v>
      </c>
      <c r="I585">
        <v>71</v>
      </c>
      <c r="J585">
        <v>2</v>
      </c>
      <c r="K585">
        <v>0</v>
      </c>
      <c r="L585" t="str">
        <f t="shared" si="117"/>
        <v>C584</v>
      </c>
      <c r="M585" t="str">
        <f t="shared" si="118"/>
        <v>Female</v>
      </c>
      <c r="N585" t="str">
        <f t="shared" si="119"/>
        <v>Bachelor's Type 2</v>
      </c>
      <c r="O585" t="str">
        <f t="shared" si="120"/>
        <v>Senior Level</v>
      </c>
      <c r="P585" t="str">
        <f t="shared" si="121"/>
        <v>Average</v>
      </c>
      <c r="Q585" t="str">
        <f t="shared" si="122"/>
        <v>Intermediate</v>
      </c>
      <c r="R585" t="str">
        <f t="shared" si="123"/>
        <v>Good</v>
      </c>
      <c r="S585" t="str">
        <f t="shared" si="124"/>
        <v>Not Hired</v>
      </c>
      <c r="T585">
        <f t="shared" si="125"/>
        <v>70</v>
      </c>
      <c r="U585" t="str">
        <f t="shared" si="126"/>
        <v>Developing</v>
      </c>
      <c r="V585" t="str">
        <f t="shared" si="127"/>
        <v>Technical Skills</v>
      </c>
      <c r="W585" t="str">
        <f t="shared" si="128"/>
        <v>Interview Preparation</v>
      </c>
      <c r="X585" t="str">
        <f t="shared" si="129"/>
        <v>Improve interview preparation and communication</v>
      </c>
    </row>
    <row r="586" spans="1:24" x14ac:dyDescent="0.3">
      <c r="A586">
        <v>47</v>
      </c>
      <c r="B586">
        <v>1</v>
      </c>
      <c r="C586">
        <v>2</v>
      </c>
      <c r="D586">
        <v>1</v>
      </c>
      <c r="E586">
        <v>1</v>
      </c>
      <c r="F586">
        <v>39.393818181685504</v>
      </c>
      <c r="G586">
        <v>77</v>
      </c>
      <c r="H586">
        <v>82</v>
      </c>
      <c r="I586">
        <v>63</v>
      </c>
      <c r="J586">
        <v>3</v>
      </c>
      <c r="K586">
        <v>0</v>
      </c>
      <c r="L586" t="str">
        <f t="shared" si="117"/>
        <v>C585</v>
      </c>
      <c r="M586" t="str">
        <f t="shared" si="118"/>
        <v>Female</v>
      </c>
      <c r="N586" t="str">
        <f t="shared" si="119"/>
        <v>Bachelor's Type 2</v>
      </c>
      <c r="O586" t="str">
        <f t="shared" si="120"/>
        <v>Entry Level</v>
      </c>
      <c r="P586" t="str">
        <f t="shared" si="121"/>
        <v>Strong</v>
      </c>
      <c r="Q586" t="str">
        <f t="shared" si="122"/>
        <v>Advanced</v>
      </c>
      <c r="R586" t="str">
        <f t="shared" si="123"/>
        <v>Good</v>
      </c>
      <c r="S586" t="str">
        <f t="shared" si="124"/>
        <v>Not Hired</v>
      </c>
      <c r="T586">
        <f t="shared" si="125"/>
        <v>64</v>
      </c>
      <c r="U586" t="str">
        <f t="shared" si="126"/>
        <v>Developing</v>
      </c>
      <c r="V586" t="str">
        <f t="shared" si="127"/>
        <v>Technical Skills</v>
      </c>
      <c r="W586" t="str">
        <f t="shared" si="128"/>
        <v>Personality &amp; Communication</v>
      </c>
      <c r="X586" t="str">
        <f t="shared" si="129"/>
        <v>Work on communication and personality development</v>
      </c>
    </row>
    <row r="587" spans="1:24" x14ac:dyDescent="0.3">
      <c r="A587">
        <v>29</v>
      </c>
      <c r="B587">
        <v>1</v>
      </c>
      <c r="C587">
        <v>1</v>
      </c>
      <c r="D587">
        <v>12</v>
      </c>
      <c r="E587">
        <v>4</v>
      </c>
      <c r="F587">
        <v>38.589729368362804</v>
      </c>
      <c r="G587">
        <v>67</v>
      </c>
      <c r="H587">
        <v>100</v>
      </c>
      <c r="I587">
        <v>19</v>
      </c>
      <c r="J587">
        <v>2</v>
      </c>
      <c r="K587">
        <v>0</v>
      </c>
      <c r="L587" t="str">
        <f t="shared" si="117"/>
        <v>C586</v>
      </c>
      <c r="M587" t="str">
        <f t="shared" si="118"/>
        <v>Female</v>
      </c>
      <c r="N587" t="str">
        <f t="shared" si="119"/>
        <v>Bachelor's Type 1</v>
      </c>
      <c r="O587" t="str">
        <f t="shared" si="120"/>
        <v>Senior Level</v>
      </c>
      <c r="P587" t="str">
        <f t="shared" si="121"/>
        <v>Average</v>
      </c>
      <c r="Q587" t="str">
        <f t="shared" si="122"/>
        <v>Advanced</v>
      </c>
      <c r="R587" t="str">
        <f t="shared" si="123"/>
        <v>Needs Improvement</v>
      </c>
      <c r="S587" t="str">
        <f t="shared" si="124"/>
        <v>Not Hired</v>
      </c>
      <c r="T587">
        <f t="shared" si="125"/>
        <v>68</v>
      </c>
      <c r="U587" t="str">
        <f t="shared" si="126"/>
        <v>Developing</v>
      </c>
      <c r="V587" t="str">
        <f t="shared" si="127"/>
        <v>Technical Skills</v>
      </c>
      <c r="W587" t="str">
        <f t="shared" si="128"/>
        <v>Personality &amp; Communication</v>
      </c>
      <c r="X587" t="str">
        <f t="shared" si="129"/>
        <v>Work on communication and personality development</v>
      </c>
    </row>
    <row r="588" spans="1:24" x14ac:dyDescent="0.3">
      <c r="A588">
        <v>49</v>
      </c>
      <c r="B588">
        <v>1</v>
      </c>
      <c r="C588">
        <v>2</v>
      </c>
      <c r="D588">
        <v>7</v>
      </c>
      <c r="E588">
        <v>3</v>
      </c>
      <c r="F588">
        <v>30.418284460882798</v>
      </c>
      <c r="G588">
        <v>89</v>
      </c>
      <c r="H588">
        <v>70</v>
      </c>
      <c r="I588">
        <v>71</v>
      </c>
      <c r="J588">
        <v>3</v>
      </c>
      <c r="K588">
        <v>1</v>
      </c>
      <c r="L588" t="str">
        <f t="shared" si="117"/>
        <v>C587</v>
      </c>
      <c r="M588" t="str">
        <f t="shared" si="118"/>
        <v>Female</v>
      </c>
      <c r="N588" t="str">
        <f t="shared" si="119"/>
        <v>Bachelor's Type 2</v>
      </c>
      <c r="O588" t="str">
        <f t="shared" si="120"/>
        <v>Senior Level</v>
      </c>
      <c r="P588" t="str">
        <f t="shared" si="121"/>
        <v>Strong</v>
      </c>
      <c r="Q588" t="str">
        <f t="shared" si="122"/>
        <v>Intermediate</v>
      </c>
      <c r="R588" t="str">
        <f t="shared" si="123"/>
        <v>Good</v>
      </c>
      <c r="S588" t="str">
        <f t="shared" si="124"/>
        <v>Hired</v>
      </c>
      <c r="T588">
        <f t="shared" si="125"/>
        <v>71</v>
      </c>
      <c r="U588" t="str">
        <f t="shared" si="126"/>
        <v>Developing</v>
      </c>
      <c r="V588" t="str">
        <f t="shared" si="127"/>
        <v>Interview</v>
      </c>
      <c r="W588" t="str">
        <f t="shared" si="128"/>
        <v>Technical Skills</v>
      </c>
      <c r="X588" t="str">
        <f t="shared" si="129"/>
        <v>Strengthen technical skills and practical knowledge</v>
      </c>
    </row>
    <row r="589" spans="1:24" x14ac:dyDescent="0.3">
      <c r="A589">
        <v>38</v>
      </c>
      <c r="B589">
        <v>1</v>
      </c>
      <c r="C589">
        <v>3</v>
      </c>
      <c r="D589">
        <v>14</v>
      </c>
      <c r="E589">
        <v>4</v>
      </c>
      <c r="F589">
        <v>11.633214325567099</v>
      </c>
      <c r="G589">
        <v>16</v>
      </c>
      <c r="H589">
        <v>45</v>
      </c>
      <c r="I589">
        <v>72</v>
      </c>
      <c r="J589">
        <v>3</v>
      </c>
      <c r="K589">
        <v>0</v>
      </c>
      <c r="L589" t="str">
        <f t="shared" si="117"/>
        <v>C588</v>
      </c>
      <c r="M589" t="str">
        <f t="shared" si="118"/>
        <v>Female</v>
      </c>
      <c r="N589" t="str">
        <f t="shared" si="119"/>
        <v>Master's</v>
      </c>
      <c r="O589" t="str">
        <f t="shared" si="120"/>
        <v>Senior Level</v>
      </c>
      <c r="P589" t="str">
        <f t="shared" si="121"/>
        <v>Low</v>
      </c>
      <c r="Q589" t="str">
        <f t="shared" si="122"/>
        <v>Beginner</v>
      </c>
      <c r="R589" t="str">
        <f t="shared" si="123"/>
        <v>Good</v>
      </c>
      <c r="S589" t="str">
        <f t="shared" si="124"/>
        <v>Not Hired</v>
      </c>
      <c r="T589">
        <f t="shared" si="125"/>
        <v>50</v>
      </c>
      <c r="U589" t="str">
        <f t="shared" si="126"/>
        <v>Developing</v>
      </c>
      <c r="V589" t="str">
        <f t="shared" si="127"/>
        <v>Personality</v>
      </c>
      <c r="W589" t="str">
        <f t="shared" si="128"/>
        <v>Interview Preparation</v>
      </c>
      <c r="X589" t="str">
        <f t="shared" si="129"/>
        <v>Improve interview preparation and communication</v>
      </c>
    </row>
    <row r="590" spans="1:24" x14ac:dyDescent="0.3">
      <c r="A590">
        <v>36</v>
      </c>
      <c r="B590">
        <v>1</v>
      </c>
      <c r="C590">
        <v>3</v>
      </c>
      <c r="D590">
        <v>15</v>
      </c>
      <c r="E590">
        <v>1</v>
      </c>
      <c r="F590">
        <v>5.85091091185447</v>
      </c>
      <c r="G590">
        <v>18</v>
      </c>
      <c r="H590">
        <v>34</v>
      </c>
      <c r="I590">
        <v>70</v>
      </c>
      <c r="J590">
        <v>2</v>
      </c>
      <c r="K590">
        <v>0</v>
      </c>
      <c r="L590" t="str">
        <f t="shared" si="117"/>
        <v>C589</v>
      </c>
      <c r="M590" t="str">
        <f t="shared" si="118"/>
        <v>Female</v>
      </c>
      <c r="N590" t="str">
        <f t="shared" si="119"/>
        <v>Master's</v>
      </c>
      <c r="O590" t="str">
        <f t="shared" si="120"/>
        <v>Senior Level</v>
      </c>
      <c r="P590" t="str">
        <f t="shared" si="121"/>
        <v>Low</v>
      </c>
      <c r="Q590" t="str">
        <f t="shared" si="122"/>
        <v>Beginner</v>
      </c>
      <c r="R590" t="str">
        <f t="shared" si="123"/>
        <v>Good</v>
      </c>
      <c r="S590" t="str">
        <f t="shared" si="124"/>
        <v>Not Hired</v>
      </c>
      <c r="T590">
        <f t="shared" si="125"/>
        <v>48</v>
      </c>
      <c r="U590" t="str">
        <f t="shared" si="126"/>
        <v>Needs Improvement</v>
      </c>
      <c r="V590" t="str">
        <f t="shared" si="127"/>
        <v>Personality</v>
      </c>
      <c r="W590" t="str">
        <f t="shared" si="128"/>
        <v>Interview Preparation</v>
      </c>
      <c r="X590" t="str">
        <f t="shared" si="129"/>
        <v>Improve interview preparation and communication</v>
      </c>
    </row>
    <row r="591" spans="1:24" x14ac:dyDescent="0.3">
      <c r="A591">
        <v>43</v>
      </c>
      <c r="B591">
        <v>1</v>
      </c>
      <c r="C591">
        <v>2</v>
      </c>
      <c r="D591">
        <v>8</v>
      </c>
      <c r="E591">
        <v>3</v>
      </c>
      <c r="F591">
        <v>4.2119287928562903</v>
      </c>
      <c r="G591">
        <v>50</v>
      </c>
      <c r="H591">
        <v>44</v>
      </c>
      <c r="I591">
        <v>77</v>
      </c>
      <c r="J591">
        <v>2</v>
      </c>
      <c r="K591">
        <v>0</v>
      </c>
      <c r="L591" t="str">
        <f t="shared" si="117"/>
        <v>C590</v>
      </c>
      <c r="M591" t="str">
        <f t="shared" si="118"/>
        <v>Female</v>
      </c>
      <c r="N591" t="str">
        <f t="shared" si="119"/>
        <v>Bachelor's Type 2</v>
      </c>
      <c r="O591" t="str">
        <f t="shared" si="120"/>
        <v>Senior Level</v>
      </c>
      <c r="P591" t="str">
        <f t="shared" si="121"/>
        <v>Average</v>
      </c>
      <c r="Q591" t="str">
        <f t="shared" si="122"/>
        <v>Beginner</v>
      </c>
      <c r="R591" t="str">
        <f t="shared" si="123"/>
        <v>Strong</v>
      </c>
      <c r="S591" t="str">
        <f t="shared" si="124"/>
        <v>Not Hired</v>
      </c>
      <c r="T591">
        <f t="shared" si="125"/>
        <v>54</v>
      </c>
      <c r="U591" t="str">
        <f t="shared" si="126"/>
        <v>Developing</v>
      </c>
      <c r="V591" t="str">
        <f t="shared" si="127"/>
        <v>Personality</v>
      </c>
      <c r="W591" t="str">
        <f t="shared" si="128"/>
        <v>Technical Skills</v>
      </c>
      <c r="X591" t="str">
        <f t="shared" si="129"/>
        <v>Strengthen technical skills and practical knowledge</v>
      </c>
    </row>
    <row r="592" spans="1:24" x14ac:dyDescent="0.3">
      <c r="A592">
        <v>50</v>
      </c>
      <c r="B592">
        <v>0</v>
      </c>
      <c r="C592">
        <v>3</v>
      </c>
      <c r="D592">
        <v>3</v>
      </c>
      <c r="E592">
        <v>4</v>
      </c>
      <c r="F592">
        <v>30.6348033321438</v>
      </c>
      <c r="G592">
        <v>69</v>
      </c>
      <c r="H592">
        <v>12</v>
      </c>
      <c r="I592">
        <v>27</v>
      </c>
      <c r="J592">
        <v>2</v>
      </c>
      <c r="K592">
        <v>0</v>
      </c>
      <c r="L592" t="str">
        <f t="shared" si="117"/>
        <v>C591</v>
      </c>
      <c r="M592" t="str">
        <f t="shared" si="118"/>
        <v>Male</v>
      </c>
      <c r="N592" t="str">
        <f t="shared" si="119"/>
        <v>Master's</v>
      </c>
      <c r="O592" t="str">
        <f t="shared" si="120"/>
        <v>Mid Level</v>
      </c>
      <c r="P592" t="str">
        <f t="shared" si="121"/>
        <v>Average</v>
      </c>
      <c r="Q592" t="str">
        <f t="shared" si="122"/>
        <v>Beginner</v>
      </c>
      <c r="R592" t="str">
        <f t="shared" si="123"/>
        <v>Needs Improvement</v>
      </c>
      <c r="S592" t="str">
        <f t="shared" si="124"/>
        <v>Not Hired</v>
      </c>
      <c r="T592">
        <f t="shared" si="125"/>
        <v>36</v>
      </c>
      <c r="U592" t="str">
        <f t="shared" si="126"/>
        <v>Needs Improvement</v>
      </c>
      <c r="V592" t="str">
        <f t="shared" si="127"/>
        <v>Interview</v>
      </c>
      <c r="W592" t="str">
        <f t="shared" si="128"/>
        <v>Technical Skills</v>
      </c>
      <c r="X592" t="str">
        <f t="shared" si="129"/>
        <v>Strengthen technical skills and practical knowledge</v>
      </c>
    </row>
    <row r="593" spans="1:24" x14ac:dyDescent="0.3">
      <c r="A593">
        <v>38</v>
      </c>
      <c r="B593">
        <v>0</v>
      </c>
      <c r="C593">
        <v>4</v>
      </c>
      <c r="D593">
        <v>7</v>
      </c>
      <c r="E593">
        <v>5</v>
      </c>
      <c r="F593">
        <v>42.251765957140002</v>
      </c>
      <c r="G593">
        <v>62</v>
      </c>
      <c r="H593">
        <v>9</v>
      </c>
      <c r="I593">
        <v>1</v>
      </c>
      <c r="J593">
        <v>1</v>
      </c>
      <c r="K593">
        <v>1</v>
      </c>
      <c r="L593" t="str">
        <f t="shared" si="117"/>
        <v>C592</v>
      </c>
      <c r="M593" t="str">
        <f t="shared" si="118"/>
        <v>Male</v>
      </c>
      <c r="N593" t="str">
        <f t="shared" si="119"/>
        <v>PhD</v>
      </c>
      <c r="O593" t="str">
        <f t="shared" si="120"/>
        <v>Senior Level</v>
      </c>
      <c r="P593" t="str">
        <f t="shared" si="121"/>
        <v>Average</v>
      </c>
      <c r="Q593" t="str">
        <f t="shared" si="122"/>
        <v>Beginner</v>
      </c>
      <c r="R593" t="str">
        <f t="shared" si="123"/>
        <v>Needs Improvement</v>
      </c>
      <c r="S593" t="str">
        <f t="shared" si="124"/>
        <v>Hired</v>
      </c>
      <c r="T593">
        <f t="shared" si="125"/>
        <v>34</v>
      </c>
      <c r="U593" t="str">
        <f t="shared" si="126"/>
        <v>Needs Improvement</v>
      </c>
      <c r="V593" t="str">
        <f t="shared" si="127"/>
        <v>Interview</v>
      </c>
      <c r="W593" t="str">
        <f t="shared" si="128"/>
        <v>Personality &amp; Communication</v>
      </c>
      <c r="X593" t="str">
        <f t="shared" si="129"/>
        <v>Work on communication and personality development</v>
      </c>
    </row>
    <row r="594" spans="1:24" x14ac:dyDescent="0.3">
      <c r="A594">
        <v>47</v>
      </c>
      <c r="B594">
        <v>1</v>
      </c>
      <c r="C594">
        <v>3</v>
      </c>
      <c r="D594">
        <v>8</v>
      </c>
      <c r="E594">
        <v>5</v>
      </c>
      <c r="F594">
        <v>43.916521589046198</v>
      </c>
      <c r="G594">
        <v>92</v>
      </c>
      <c r="H594">
        <v>65</v>
      </c>
      <c r="I594">
        <v>42</v>
      </c>
      <c r="J594">
        <v>1</v>
      </c>
      <c r="K594">
        <v>1</v>
      </c>
      <c r="L594" t="str">
        <f t="shared" si="117"/>
        <v>C593</v>
      </c>
      <c r="M594" t="str">
        <f t="shared" si="118"/>
        <v>Female</v>
      </c>
      <c r="N594" t="str">
        <f t="shared" si="119"/>
        <v>Master's</v>
      </c>
      <c r="O594" t="str">
        <f t="shared" si="120"/>
        <v>Senior Level</v>
      </c>
      <c r="P594" t="str">
        <f t="shared" si="121"/>
        <v>Strong</v>
      </c>
      <c r="Q594" t="str">
        <f t="shared" si="122"/>
        <v>Intermediate</v>
      </c>
      <c r="R594" t="str">
        <f t="shared" si="123"/>
        <v>Needs Improvement</v>
      </c>
      <c r="S594" t="str">
        <f t="shared" si="124"/>
        <v>Hired</v>
      </c>
      <c r="T594">
        <f t="shared" si="125"/>
        <v>67</v>
      </c>
      <c r="U594" t="str">
        <f t="shared" si="126"/>
        <v>Developing</v>
      </c>
      <c r="V594" t="str">
        <f t="shared" si="127"/>
        <v>Interview</v>
      </c>
      <c r="W594" t="str">
        <f t="shared" si="128"/>
        <v>Personality &amp; Communication</v>
      </c>
      <c r="X594" t="str">
        <f t="shared" si="129"/>
        <v>Work on communication and personality development</v>
      </c>
    </row>
    <row r="595" spans="1:24" x14ac:dyDescent="0.3">
      <c r="A595">
        <v>45</v>
      </c>
      <c r="B595">
        <v>0</v>
      </c>
      <c r="C595">
        <v>1</v>
      </c>
      <c r="D595">
        <v>9</v>
      </c>
      <c r="E595">
        <v>1</v>
      </c>
      <c r="F595">
        <v>24.181103717172402</v>
      </c>
      <c r="G595">
        <v>74</v>
      </c>
      <c r="H595">
        <v>69</v>
      </c>
      <c r="I595">
        <v>7</v>
      </c>
      <c r="J595">
        <v>2</v>
      </c>
      <c r="K595">
        <v>0</v>
      </c>
      <c r="L595" t="str">
        <f t="shared" si="117"/>
        <v>C594</v>
      </c>
      <c r="M595" t="str">
        <f t="shared" si="118"/>
        <v>Male</v>
      </c>
      <c r="N595" t="str">
        <f t="shared" si="119"/>
        <v>Bachelor's Type 1</v>
      </c>
      <c r="O595" t="str">
        <f t="shared" si="120"/>
        <v>Senior Level</v>
      </c>
      <c r="P595" t="str">
        <f t="shared" si="121"/>
        <v>Average</v>
      </c>
      <c r="Q595" t="str">
        <f t="shared" si="122"/>
        <v>Intermediate</v>
      </c>
      <c r="R595" t="str">
        <f t="shared" si="123"/>
        <v>Needs Improvement</v>
      </c>
      <c r="S595" t="str">
        <f t="shared" si="124"/>
        <v>Not Hired</v>
      </c>
      <c r="T595">
        <f t="shared" si="125"/>
        <v>56</v>
      </c>
      <c r="U595" t="str">
        <f t="shared" si="126"/>
        <v>Developing</v>
      </c>
      <c r="V595" t="str">
        <f t="shared" si="127"/>
        <v>Interview</v>
      </c>
      <c r="W595" t="str">
        <f t="shared" si="128"/>
        <v>Personality &amp; Communication</v>
      </c>
      <c r="X595" t="str">
        <f t="shared" si="129"/>
        <v>Work on communication and personality development</v>
      </c>
    </row>
    <row r="596" spans="1:24" x14ac:dyDescent="0.3">
      <c r="A596">
        <v>42</v>
      </c>
      <c r="B596">
        <v>0</v>
      </c>
      <c r="C596">
        <v>3</v>
      </c>
      <c r="D596">
        <v>9</v>
      </c>
      <c r="E596">
        <v>3</v>
      </c>
      <c r="F596">
        <v>40.213564965335799</v>
      </c>
      <c r="G596">
        <v>79</v>
      </c>
      <c r="H596">
        <v>71</v>
      </c>
      <c r="I596">
        <v>12</v>
      </c>
      <c r="J596">
        <v>2</v>
      </c>
      <c r="K596">
        <v>1</v>
      </c>
      <c r="L596" t="str">
        <f t="shared" si="117"/>
        <v>C595</v>
      </c>
      <c r="M596" t="str">
        <f t="shared" si="118"/>
        <v>Male</v>
      </c>
      <c r="N596" t="str">
        <f t="shared" si="119"/>
        <v>Master's</v>
      </c>
      <c r="O596" t="str">
        <f t="shared" si="120"/>
        <v>Senior Level</v>
      </c>
      <c r="P596" t="str">
        <f t="shared" si="121"/>
        <v>Strong</v>
      </c>
      <c r="Q596" t="str">
        <f t="shared" si="122"/>
        <v>Intermediate</v>
      </c>
      <c r="R596" t="str">
        <f t="shared" si="123"/>
        <v>Needs Improvement</v>
      </c>
      <c r="S596" t="str">
        <f t="shared" si="124"/>
        <v>Hired</v>
      </c>
      <c r="T596">
        <f t="shared" si="125"/>
        <v>60</v>
      </c>
      <c r="U596" t="str">
        <f t="shared" si="126"/>
        <v>Developing</v>
      </c>
      <c r="V596" t="str">
        <f t="shared" si="127"/>
        <v>Interview</v>
      </c>
      <c r="W596" t="str">
        <f t="shared" si="128"/>
        <v>Personality &amp; Communication</v>
      </c>
      <c r="X596" t="str">
        <f t="shared" si="129"/>
        <v>Work on communication and personality development</v>
      </c>
    </row>
    <row r="597" spans="1:24" x14ac:dyDescent="0.3">
      <c r="A597">
        <v>45</v>
      </c>
      <c r="B597">
        <v>1</v>
      </c>
      <c r="C597">
        <v>2</v>
      </c>
      <c r="D597">
        <v>4</v>
      </c>
      <c r="E597">
        <v>2</v>
      </c>
      <c r="F597">
        <v>48.344009817051102</v>
      </c>
      <c r="G597">
        <v>29</v>
      </c>
      <c r="H597">
        <v>99</v>
      </c>
      <c r="I597">
        <v>84</v>
      </c>
      <c r="J597">
        <v>1</v>
      </c>
      <c r="K597">
        <v>1</v>
      </c>
      <c r="L597" t="str">
        <f t="shared" si="117"/>
        <v>C596</v>
      </c>
      <c r="M597" t="str">
        <f t="shared" si="118"/>
        <v>Female</v>
      </c>
      <c r="N597" t="str">
        <f t="shared" si="119"/>
        <v>Bachelor's Type 2</v>
      </c>
      <c r="O597" t="str">
        <f t="shared" si="120"/>
        <v>Mid Level</v>
      </c>
      <c r="P597" t="str">
        <f t="shared" si="121"/>
        <v>Low</v>
      </c>
      <c r="Q597" t="str">
        <f t="shared" si="122"/>
        <v>Advanced</v>
      </c>
      <c r="R597" t="str">
        <f t="shared" si="123"/>
        <v>Strong</v>
      </c>
      <c r="S597" t="str">
        <f t="shared" si="124"/>
        <v>Hired</v>
      </c>
      <c r="T597">
        <f t="shared" si="125"/>
        <v>62</v>
      </c>
      <c r="U597" t="str">
        <f t="shared" si="126"/>
        <v>Developing</v>
      </c>
      <c r="V597" t="str">
        <f t="shared" si="127"/>
        <v>Technical Skills</v>
      </c>
      <c r="W597" t="str">
        <f t="shared" si="128"/>
        <v>Interview Preparation</v>
      </c>
      <c r="X597" t="str">
        <f t="shared" si="129"/>
        <v>Improve interview preparation and communication</v>
      </c>
    </row>
    <row r="598" spans="1:24" x14ac:dyDescent="0.3">
      <c r="A598">
        <v>24</v>
      </c>
      <c r="B598">
        <v>0</v>
      </c>
      <c r="C598">
        <v>4</v>
      </c>
      <c r="D598">
        <v>15</v>
      </c>
      <c r="E598">
        <v>3</v>
      </c>
      <c r="F598">
        <v>14.7585056244034</v>
      </c>
      <c r="G598">
        <v>24</v>
      </c>
      <c r="H598">
        <v>24</v>
      </c>
      <c r="I598">
        <v>91</v>
      </c>
      <c r="J598">
        <v>1</v>
      </c>
      <c r="K598">
        <v>1</v>
      </c>
      <c r="L598" t="str">
        <f t="shared" si="117"/>
        <v>C597</v>
      </c>
      <c r="M598" t="str">
        <f t="shared" si="118"/>
        <v>Male</v>
      </c>
      <c r="N598" t="str">
        <f t="shared" si="119"/>
        <v>PhD</v>
      </c>
      <c r="O598" t="str">
        <f t="shared" si="120"/>
        <v>Senior Level</v>
      </c>
      <c r="P598" t="str">
        <f t="shared" si="121"/>
        <v>Low</v>
      </c>
      <c r="Q598" t="str">
        <f t="shared" si="122"/>
        <v>Beginner</v>
      </c>
      <c r="R598" t="str">
        <f t="shared" si="123"/>
        <v>Strong</v>
      </c>
      <c r="S598" t="str">
        <f t="shared" si="124"/>
        <v>Hired</v>
      </c>
      <c r="T598">
        <f t="shared" si="125"/>
        <v>53</v>
      </c>
      <c r="U598" t="str">
        <f t="shared" si="126"/>
        <v>Developing</v>
      </c>
      <c r="V598" t="str">
        <f t="shared" si="127"/>
        <v>Personality</v>
      </c>
      <c r="W598" t="str">
        <f t="shared" si="128"/>
        <v>Interview Preparation</v>
      </c>
      <c r="X598" t="str">
        <f t="shared" si="129"/>
        <v>Improve interview preparation and communication</v>
      </c>
    </row>
    <row r="599" spans="1:24" x14ac:dyDescent="0.3">
      <c r="A599">
        <v>45</v>
      </c>
      <c r="B599">
        <v>0</v>
      </c>
      <c r="C599">
        <v>2</v>
      </c>
      <c r="D599">
        <v>12</v>
      </c>
      <c r="E599">
        <v>5</v>
      </c>
      <c r="F599">
        <v>20.898017319037798</v>
      </c>
      <c r="G599">
        <v>74</v>
      </c>
      <c r="H599">
        <v>43</v>
      </c>
      <c r="I599">
        <v>34</v>
      </c>
      <c r="J599">
        <v>3</v>
      </c>
      <c r="K599">
        <v>0</v>
      </c>
      <c r="L599" t="str">
        <f t="shared" si="117"/>
        <v>C598</v>
      </c>
      <c r="M599" t="str">
        <f t="shared" si="118"/>
        <v>Male</v>
      </c>
      <c r="N599" t="str">
        <f t="shared" si="119"/>
        <v>Bachelor's Type 2</v>
      </c>
      <c r="O599" t="str">
        <f t="shared" si="120"/>
        <v>Senior Level</v>
      </c>
      <c r="P599" t="str">
        <f t="shared" si="121"/>
        <v>Average</v>
      </c>
      <c r="Q599" t="str">
        <f t="shared" si="122"/>
        <v>Beginner</v>
      </c>
      <c r="R599" t="str">
        <f t="shared" si="123"/>
        <v>Needs Improvement</v>
      </c>
      <c r="S599" t="str">
        <f t="shared" si="124"/>
        <v>Not Hired</v>
      </c>
      <c r="T599">
        <f t="shared" si="125"/>
        <v>56</v>
      </c>
      <c r="U599" t="str">
        <f t="shared" si="126"/>
        <v>Developing</v>
      </c>
      <c r="V599" t="str">
        <f t="shared" si="127"/>
        <v>Interview</v>
      </c>
      <c r="W599" t="str">
        <f t="shared" si="128"/>
        <v>Personality &amp; Communication</v>
      </c>
      <c r="X599" t="str">
        <f t="shared" si="129"/>
        <v>Work on communication and personality development</v>
      </c>
    </row>
    <row r="600" spans="1:24" x14ac:dyDescent="0.3">
      <c r="A600">
        <v>40</v>
      </c>
      <c r="B600">
        <v>0</v>
      </c>
      <c r="C600">
        <v>1</v>
      </c>
      <c r="D600">
        <v>13</v>
      </c>
      <c r="E600">
        <v>4</v>
      </c>
      <c r="F600">
        <v>47.573949629833997</v>
      </c>
      <c r="G600">
        <v>70</v>
      </c>
      <c r="H600">
        <v>59</v>
      </c>
      <c r="I600">
        <v>22</v>
      </c>
      <c r="J600">
        <v>2</v>
      </c>
      <c r="K600">
        <v>0</v>
      </c>
      <c r="L600" t="str">
        <f t="shared" si="117"/>
        <v>C599</v>
      </c>
      <c r="M600" t="str">
        <f t="shared" si="118"/>
        <v>Male</v>
      </c>
      <c r="N600" t="str">
        <f t="shared" si="119"/>
        <v>Bachelor's Type 1</v>
      </c>
      <c r="O600" t="str">
        <f t="shared" si="120"/>
        <v>Senior Level</v>
      </c>
      <c r="P600" t="str">
        <f t="shared" si="121"/>
        <v>Average</v>
      </c>
      <c r="Q600" t="str">
        <f t="shared" si="122"/>
        <v>Intermediate</v>
      </c>
      <c r="R600" t="str">
        <f t="shared" si="123"/>
        <v>Needs Improvement</v>
      </c>
      <c r="S600" t="str">
        <f t="shared" si="124"/>
        <v>Not Hired</v>
      </c>
      <c r="T600">
        <f t="shared" si="125"/>
        <v>59</v>
      </c>
      <c r="U600" t="str">
        <f t="shared" si="126"/>
        <v>Developing</v>
      </c>
      <c r="V600" t="str">
        <f t="shared" si="127"/>
        <v>Interview</v>
      </c>
      <c r="W600" t="str">
        <f t="shared" si="128"/>
        <v>Personality &amp; Communication</v>
      </c>
      <c r="X600" t="str">
        <f t="shared" si="129"/>
        <v>Work on communication and personality development</v>
      </c>
    </row>
    <row r="601" spans="1:24" x14ac:dyDescent="0.3">
      <c r="A601">
        <v>49</v>
      </c>
      <c r="B601">
        <v>0</v>
      </c>
      <c r="C601">
        <v>3</v>
      </c>
      <c r="D601">
        <v>6</v>
      </c>
      <c r="E601">
        <v>2</v>
      </c>
      <c r="F601">
        <v>17.911548365864199</v>
      </c>
      <c r="G601">
        <v>25</v>
      </c>
      <c r="H601">
        <v>46</v>
      </c>
      <c r="I601">
        <v>45</v>
      </c>
      <c r="J601">
        <v>3</v>
      </c>
      <c r="K601">
        <v>0</v>
      </c>
      <c r="L601" t="str">
        <f t="shared" si="117"/>
        <v>C600</v>
      </c>
      <c r="M601" t="str">
        <f t="shared" si="118"/>
        <v>Male</v>
      </c>
      <c r="N601" t="str">
        <f t="shared" si="119"/>
        <v>Master's</v>
      </c>
      <c r="O601" t="str">
        <f t="shared" si="120"/>
        <v>Mid Level</v>
      </c>
      <c r="P601" t="str">
        <f t="shared" si="121"/>
        <v>Low</v>
      </c>
      <c r="Q601" t="str">
        <f t="shared" si="122"/>
        <v>Beginner</v>
      </c>
      <c r="R601" t="str">
        <f t="shared" si="123"/>
        <v>Needs Improvement</v>
      </c>
      <c r="S601" t="str">
        <f t="shared" si="124"/>
        <v>Not Hired</v>
      </c>
      <c r="T601">
        <f t="shared" si="125"/>
        <v>40</v>
      </c>
      <c r="U601" t="str">
        <f t="shared" si="126"/>
        <v>Needs Improvement</v>
      </c>
      <c r="V601" t="str">
        <f t="shared" si="127"/>
        <v>Technical Skills</v>
      </c>
      <c r="W601" t="str">
        <f t="shared" si="128"/>
        <v>Interview Preparation</v>
      </c>
      <c r="X601" t="str">
        <f t="shared" si="129"/>
        <v>Improve interview preparation and communication</v>
      </c>
    </row>
    <row r="602" spans="1:24" x14ac:dyDescent="0.3">
      <c r="A602">
        <v>42</v>
      </c>
      <c r="B602">
        <v>0</v>
      </c>
      <c r="C602">
        <v>2</v>
      </c>
      <c r="D602">
        <v>15</v>
      </c>
      <c r="E602">
        <v>1</v>
      </c>
      <c r="F602">
        <v>46.693814516089802</v>
      </c>
      <c r="G602">
        <v>55</v>
      </c>
      <c r="H602">
        <v>39</v>
      </c>
      <c r="I602">
        <v>14</v>
      </c>
      <c r="J602">
        <v>2</v>
      </c>
      <c r="K602">
        <v>0</v>
      </c>
      <c r="L602" t="str">
        <f t="shared" si="117"/>
        <v>C601</v>
      </c>
      <c r="M602" t="str">
        <f t="shared" si="118"/>
        <v>Male</v>
      </c>
      <c r="N602" t="str">
        <f t="shared" si="119"/>
        <v>Bachelor's Type 2</v>
      </c>
      <c r="O602" t="str">
        <f t="shared" si="120"/>
        <v>Senior Level</v>
      </c>
      <c r="P602" t="str">
        <f t="shared" si="121"/>
        <v>Average</v>
      </c>
      <c r="Q602" t="str">
        <f t="shared" si="122"/>
        <v>Beginner</v>
      </c>
      <c r="R602" t="str">
        <f t="shared" si="123"/>
        <v>Needs Improvement</v>
      </c>
      <c r="S602" t="str">
        <f t="shared" si="124"/>
        <v>Not Hired</v>
      </c>
      <c r="T602">
        <f t="shared" si="125"/>
        <v>49</v>
      </c>
      <c r="U602" t="str">
        <f t="shared" si="126"/>
        <v>Needs Improvement</v>
      </c>
      <c r="V602" t="str">
        <f t="shared" si="127"/>
        <v>Interview</v>
      </c>
      <c r="W602" t="str">
        <f t="shared" si="128"/>
        <v>Personality &amp; Communication</v>
      </c>
      <c r="X602" t="str">
        <f t="shared" si="129"/>
        <v>Work on communication and personality development</v>
      </c>
    </row>
    <row r="603" spans="1:24" x14ac:dyDescent="0.3">
      <c r="A603">
        <v>50</v>
      </c>
      <c r="B603">
        <v>1</v>
      </c>
      <c r="C603">
        <v>4</v>
      </c>
      <c r="D603">
        <v>9</v>
      </c>
      <c r="E603">
        <v>2</v>
      </c>
      <c r="F603">
        <v>50.052243112723197</v>
      </c>
      <c r="G603">
        <v>21</v>
      </c>
      <c r="H603">
        <v>6</v>
      </c>
      <c r="I603">
        <v>1</v>
      </c>
      <c r="J603">
        <v>2</v>
      </c>
      <c r="K603">
        <v>0</v>
      </c>
      <c r="L603" t="str">
        <f t="shared" si="117"/>
        <v>C602</v>
      </c>
      <c r="M603" t="str">
        <f t="shared" si="118"/>
        <v>Female</v>
      </c>
      <c r="N603" t="str">
        <f t="shared" si="119"/>
        <v>PhD</v>
      </c>
      <c r="O603" t="str">
        <f t="shared" si="120"/>
        <v>Senior Level</v>
      </c>
      <c r="P603" t="str">
        <f t="shared" si="121"/>
        <v>Low</v>
      </c>
      <c r="Q603" t="str">
        <f t="shared" si="122"/>
        <v>Beginner</v>
      </c>
      <c r="R603" t="str">
        <f t="shared" si="123"/>
        <v>Needs Improvement</v>
      </c>
      <c r="S603" t="str">
        <f t="shared" si="124"/>
        <v>Not Hired</v>
      </c>
      <c r="T603">
        <f t="shared" si="125"/>
        <v>22</v>
      </c>
      <c r="U603" t="str">
        <f t="shared" si="126"/>
        <v>Needs Improvement</v>
      </c>
      <c r="V603" t="str">
        <f t="shared" si="127"/>
        <v>Interview</v>
      </c>
      <c r="W603" t="str">
        <f t="shared" si="128"/>
        <v>Personality &amp; Communication</v>
      </c>
      <c r="X603" t="str">
        <f t="shared" si="129"/>
        <v>Work on communication and personality development</v>
      </c>
    </row>
    <row r="604" spans="1:24" x14ac:dyDescent="0.3">
      <c r="A604">
        <v>28</v>
      </c>
      <c r="B604">
        <v>1</v>
      </c>
      <c r="C604">
        <v>4</v>
      </c>
      <c r="D604">
        <v>3</v>
      </c>
      <c r="E604">
        <v>1</v>
      </c>
      <c r="F604">
        <v>34.090536428721201</v>
      </c>
      <c r="G604">
        <v>88</v>
      </c>
      <c r="H604">
        <v>45</v>
      </c>
      <c r="I604">
        <v>60</v>
      </c>
      <c r="J604">
        <v>1</v>
      </c>
      <c r="K604">
        <v>1</v>
      </c>
      <c r="L604" t="str">
        <f t="shared" si="117"/>
        <v>C603</v>
      </c>
      <c r="M604" t="str">
        <f t="shared" si="118"/>
        <v>Female</v>
      </c>
      <c r="N604" t="str">
        <f t="shared" si="119"/>
        <v>PhD</v>
      </c>
      <c r="O604" t="str">
        <f t="shared" si="120"/>
        <v>Mid Level</v>
      </c>
      <c r="P604" t="str">
        <f t="shared" si="121"/>
        <v>Strong</v>
      </c>
      <c r="Q604" t="str">
        <f t="shared" si="122"/>
        <v>Beginner</v>
      </c>
      <c r="R604" t="str">
        <f t="shared" si="123"/>
        <v>Good</v>
      </c>
      <c r="S604" t="str">
        <f t="shared" si="124"/>
        <v>Hired</v>
      </c>
      <c r="T604">
        <f t="shared" si="125"/>
        <v>60</v>
      </c>
      <c r="U604" t="str">
        <f t="shared" si="126"/>
        <v>Developing</v>
      </c>
      <c r="V604" t="str">
        <f t="shared" si="127"/>
        <v>Interview</v>
      </c>
      <c r="W604" t="str">
        <f t="shared" si="128"/>
        <v>Technical Skills</v>
      </c>
      <c r="X604" t="str">
        <f t="shared" si="129"/>
        <v>Strengthen technical skills and practical knowledge</v>
      </c>
    </row>
    <row r="605" spans="1:24" x14ac:dyDescent="0.3">
      <c r="A605">
        <v>31</v>
      </c>
      <c r="B605">
        <v>1</v>
      </c>
      <c r="C605">
        <v>2</v>
      </c>
      <c r="D605">
        <v>0</v>
      </c>
      <c r="E605">
        <v>2</v>
      </c>
      <c r="F605">
        <v>41.844514475208399</v>
      </c>
      <c r="G605">
        <v>18</v>
      </c>
      <c r="H605">
        <v>22</v>
      </c>
      <c r="I605">
        <v>75</v>
      </c>
      <c r="J605">
        <v>2</v>
      </c>
      <c r="K605">
        <v>0</v>
      </c>
      <c r="L605" t="str">
        <f t="shared" si="117"/>
        <v>C604</v>
      </c>
      <c r="M605" t="str">
        <f t="shared" si="118"/>
        <v>Female</v>
      </c>
      <c r="N605" t="str">
        <f t="shared" si="119"/>
        <v>Bachelor's Type 2</v>
      </c>
      <c r="O605" t="str">
        <f t="shared" si="120"/>
        <v>Entry Level</v>
      </c>
      <c r="P605" t="str">
        <f t="shared" si="121"/>
        <v>Low</v>
      </c>
      <c r="Q605" t="str">
        <f t="shared" si="122"/>
        <v>Beginner</v>
      </c>
      <c r="R605" t="str">
        <f t="shared" si="123"/>
        <v>Strong</v>
      </c>
      <c r="S605" t="str">
        <f t="shared" si="124"/>
        <v>Not Hired</v>
      </c>
      <c r="T605">
        <f t="shared" si="125"/>
        <v>30</v>
      </c>
      <c r="U605" t="str">
        <f t="shared" si="126"/>
        <v>Needs Improvement</v>
      </c>
      <c r="V605" t="str">
        <f t="shared" si="127"/>
        <v>Personality</v>
      </c>
      <c r="W605" t="str">
        <f t="shared" si="128"/>
        <v>Interview Preparation</v>
      </c>
      <c r="X605" t="str">
        <f t="shared" si="129"/>
        <v>Improve interview preparation and communication</v>
      </c>
    </row>
    <row r="606" spans="1:24" x14ac:dyDescent="0.3">
      <c r="A606">
        <v>40</v>
      </c>
      <c r="B606">
        <v>0</v>
      </c>
      <c r="C606">
        <v>1</v>
      </c>
      <c r="D606">
        <v>2</v>
      </c>
      <c r="E606">
        <v>1</v>
      </c>
      <c r="F606">
        <v>38.477278211054198</v>
      </c>
      <c r="G606">
        <v>30</v>
      </c>
      <c r="H606">
        <v>82</v>
      </c>
      <c r="I606">
        <v>63</v>
      </c>
      <c r="J606">
        <v>2</v>
      </c>
      <c r="K606">
        <v>0</v>
      </c>
      <c r="L606" t="str">
        <f t="shared" si="117"/>
        <v>C605</v>
      </c>
      <c r="M606" t="str">
        <f t="shared" si="118"/>
        <v>Male</v>
      </c>
      <c r="N606" t="str">
        <f t="shared" si="119"/>
        <v>Bachelor's Type 1</v>
      </c>
      <c r="O606" t="str">
        <f t="shared" si="120"/>
        <v>Entry Level</v>
      </c>
      <c r="P606" t="str">
        <f t="shared" si="121"/>
        <v>Low</v>
      </c>
      <c r="Q606" t="str">
        <f t="shared" si="122"/>
        <v>Advanced</v>
      </c>
      <c r="R606" t="str">
        <f t="shared" si="123"/>
        <v>Good</v>
      </c>
      <c r="S606" t="str">
        <f t="shared" si="124"/>
        <v>Not Hired</v>
      </c>
      <c r="T606">
        <f t="shared" si="125"/>
        <v>51</v>
      </c>
      <c r="U606" t="str">
        <f t="shared" si="126"/>
        <v>Developing</v>
      </c>
      <c r="V606" t="str">
        <f t="shared" si="127"/>
        <v>Technical Skills</v>
      </c>
      <c r="W606" t="str">
        <f t="shared" si="128"/>
        <v>Interview Preparation</v>
      </c>
      <c r="X606" t="str">
        <f t="shared" si="129"/>
        <v>Improve interview preparation and communication</v>
      </c>
    </row>
    <row r="607" spans="1:24" x14ac:dyDescent="0.3">
      <c r="A607">
        <v>20</v>
      </c>
      <c r="B607">
        <v>1</v>
      </c>
      <c r="C607">
        <v>2</v>
      </c>
      <c r="D607">
        <v>4</v>
      </c>
      <c r="E607">
        <v>1</v>
      </c>
      <c r="F607">
        <v>35.976712880776098</v>
      </c>
      <c r="G607">
        <v>25</v>
      </c>
      <c r="H607">
        <v>45</v>
      </c>
      <c r="I607">
        <v>51</v>
      </c>
      <c r="J607">
        <v>1</v>
      </c>
      <c r="K607">
        <v>0</v>
      </c>
      <c r="L607" t="str">
        <f t="shared" si="117"/>
        <v>C606</v>
      </c>
      <c r="M607" t="str">
        <f t="shared" si="118"/>
        <v>Female</v>
      </c>
      <c r="N607" t="str">
        <f t="shared" si="119"/>
        <v>Bachelor's Type 2</v>
      </c>
      <c r="O607" t="str">
        <f t="shared" si="120"/>
        <v>Mid Level</v>
      </c>
      <c r="P607" t="str">
        <f t="shared" si="121"/>
        <v>Low</v>
      </c>
      <c r="Q607" t="str">
        <f t="shared" si="122"/>
        <v>Beginner</v>
      </c>
      <c r="R607" t="str">
        <f t="shared" si="123"/>
        <v>Good</v>
      </c>
      <c r="S607" t="str">
        <f t="shared" si="124"/>
        <v>Not Hired</v>
      </c>
      <c r="T607">
        <f t="shared" si="125"/>
        <v>38</v>
      </c>
      <c r="U607" t="str">
        <f t="shared" si="126"/>
        <v>Needs Improvement</v>
      </c>
      <c r="V607" t="str">
        <f t="shared" si="127"/>
        <v>Personality</v>
      </c>
      <c r="W607" t="str">
        <f t="shared" si="128"/>
        <v>Interview Preparation</v>
      </c>
      <c r="X607" t="str">
        <f t="shared" si="129"/>
        <v>Improve interview preparation and communication</v>
      </c>
    </row>
    <row r="608" spans="1:24" x14ac:dyDescent="0.3">
      <c r="A608">
        <v>45</v>
      </c>
      <c r="B608">
        <v>0</v>
      </c>
      <c r="C608">
        <v>1</v>
      </c>
      <c r="D608">
        <v>2</v>
      </c>
      <c r="E608">
        <v>2</v>
      </c>
      <c r="F608">
        <v>16.346553649061601</v>
      </c>
      <c r="G608">
        <v>41</v>
      </c>
      <c r="H608">
        <v>85</v>
      </c>
      <c r="I608">
        <v>35</v>
      </c>
      <c r="J608">
        <v>2</v>
      </c>
      <c r="K608">
        <v>0</v>
      </c>
      <c r="L608" t="str">
        <f t="shared" si="117"/>
        <v>C607</v>
      </c>
      <c r="M608" t="str">
        <f t="shared" si="118"/>
        <v>Male</v>
      </c>
      <c r="N608" t="str">
        <f t="shared" si="119"/>
        <v>Bachelor's Type 1</v>
      </c>
      <c r="O608" t="str">
        <f t="shared" si="120"/>
        <v>Entry Level</v>
      </c>
      <c r="P608" t="str">
        <f t="shared" si="121"/>
        <v>Low</v>
      </c>
      <c r="Q608" t="str">
        <f t="shared" si="122"/>
        <v>Advanced</v>
      </c>
      <c r="R608" t="str">
        <f t="shared" si="123"/>
        <v>Needs Improvement</v>
      </c>
      <c r="S608" t="str">
        <f t="shared" si="124"/>
        <v>Not Hired</v>
      </c>
      <c r="T608">
        <f t="shared" si="125"/>
        <v>49</v>
      </c>
      <c r="U608" t="str">
        <f t="shared" si="126"/>
        <v>Needs Improvement</v>
      </c>
      <c r="V608" t="str">
        <f t="shared" si="127"/>
        <v>Technical Skills</v>
      </c>
      <c r="W608" t="str">
        <f t="shared" si="128"/>
        <v>Personality &amp; Communication</v>
      </c>
      <c r="X608" t="str">
        <f t="shared" si="129"/>
        <v>Work on communication and personality development</v>
      </c>
    </row>
    <row r="609" spans="1:24" x14ac:dyDescent="0.3">
      <c r="A609">
        <v>45</v>
      </c>
      <c r="B609">
        <v>0</v>
      </c>
      <c r="C609">
        <v>1</v>
      </c>
      <c r="D609">
        <v>15</v>
      </c>
      <c r="E609">
        <v>2</v>
      </c>
      <c r="F609">
        <v>3.8547168953971802</v>
      </c>
      <c r="G609">
        <v>40</v>
      </c>
      <c r="H609">
        <v>12</v>
      </c>
      <c r="I609">
        <v>66</v>
      </c>
      <c r="J609">
        <v>2</v>
      </c>
      <c r="K609">
        <v>0</v>
      </c>
      <c r="L609" t="str">
        <f t="shared" si="117"/>
        <v>C608</v>
      </c>
      <c r="M609" t="str">
        <f t="shared" si="118"/>
        <v>Male</v>
      </c>
      <c r="N609" t="str">
        <f t="shared" si="119"/>
        <v>Bachelor's Type 1</v>
      </c>
      <c r="O609" t="str">
        <f t="shared" si="120"/>
        <v>Senior Level</v>
      </c>
      <c r="P609" t="str">
        <f t="shared" si="121"/>
        <v>Low</v>
      </c>
      <c r="Q609" t="str">
        <f t="shared" si="122"/>
        <v>Beginner</v>
      </c>
      <c r="R609" t="str">
        <f t="shared" si="123"/>
        <v>Good</v>
      </c>
      <c r="S609" t="str">
        <f t="shared" si="124"/>
        <v>Not Hired</v>
      </c>
      <c r="T609">
        <f t="shared" si="125"/>
        <v>46</v>
      </c>
      <c r="U609" t="str">
        <f t="shared" si="126"/>
        <v>Needs Improvement</v>
      </c>
      <c r="V609" t="str">
        <f t="shared" si="127"/>
        <v>Personality</v>
      </c>
      <c r="W609" t="str">
        <f t="shared" si="128"/>
        <v>Technical Skills</v>
      </c>
      <c r="X609" t="str">
        <f t="shared" si="129"/>
        <v>Strengthen technical skills and practical knowledge</v>
      </c>
    </row>
    <row r="610" spans="1:24" x14ac:dyDescent="0.3">
      <c r="A610">
        <v>20</v>
      </c>
      <c r="B610">
        <v>0</v>
      </c>
      <c r="C610">
        <v>3</v>
      </c>
      <c r="D610">
        <v>11</v>
      </c>
      <c r="E610">
        <v>1</v>
      </c>
      <c r="F610">
        <v>18.152586625982501</v>
      </c>
      <c r="G610">
        <v>99</v>
      </c>
      <c r="H610">
        <v>20</v>
      </c>
      <c r="I610">
        <v>68</v>
      </c>
      <c r="J610">
        <v>2</v>
      </c>
      <c r="K610">
        <v>1</v>
      </c>
      <c r="L610" t="str">
        <f t="shared" si="117"/>
        <v>C609</v>
      </c>
      <c r="M610" t="str">
        <f t="shared" si="118"/>
        <v>Male</v>
      </c>
      <c r="N610" t="str">
        <f t="shared" si="119"/>
        <v>Master's</v>
      </c>
      <c r="O610" t="str">
        <f t="shared" si="120"/>
        <v>Senior Level</v>
      </c>
      <c r="P610" t="str">
        <f t="shared" si="121"/>
        <v>Strong</v>
      </c>
      <c r="Q610" t="str">
        <f t="shared" si="122"/>
        <v>Beginner</v>
      </c>
      <c r="R610" t="str">
        <f t="shared" si="123"/>
        <v>Good</v>
      </c>
      <c r="S610" t="str">
        <f t="shared" si="124"/>
        <v>Hired</v>
      </c>
      <c r="T610">
        <f t="shared" si="125"/>
        <v>64</v>
      </c>
      <c r="U610" t="str">
        <f t="shared" si="126"/>
        <v>Developing</v>
      </c>
      <c r="V610" t="str">
        <f t="shared" si="127"/>
        <v>Interview</v>
      </c>
      <c r="W610" t="str">
        <f t="shared" si="128"/>
        <v>Technical Skills</v>
      </c>
      <c r="X610" t="str">
        <f t="shared" si="129"/>
        <v>Strengthen technical skills and practical knowledge</v>
      </c>
    </row>
    <row r="611" spans="1:24" x14ac:dyDescent="0.3">
      <c r="A611">
        <v>34</v>
      </c>
      <c r="B611">
        <v>0</v>
      </c>
      <c r="C611">
        <v>2</v>
      </c>
      <c r="D611">
        <v>12</v>
      </c>
      <c r="E611">
        <v>5</v>
      </c>
      <c r="F611">
        <v>34.346799260195297</v>
      </c>
      <c r="G611">
        <v>22</v>
      </c>
      <c r="H611">
        <v>0</v>
      </c>
      <c r="I611">
        <v>66</v>
      </c>
      <c r="J611">
        <v>2</v>
      </c>
      <c r="K611">
        <v>0</v>
      </c>
      <c r="L611" t="str">
        <f t="shared" si="117"/>
        <v>C610</v>
      </c>
      <c r="M611" t="str">
        <f t="shared" si="118"/>
        <v>Male</v>
      </c>
      <c r="N611" t="str">
        <f t="shared" si="119"/>
        <v>Bachelor's Type 2</v>
      </c>
      <c r="O611" t="str">
        <f t="shared" si="120"/>
        <v>Senior Level</v>
      </c>
      <c r="P611" t="str">
        <f t="shared" si="121"/>
        <v>Low</v>
      </c>
      <c r="Q611" t="str">
        <f t="shared" si="122"/>
        <v>Beginner</v>
      </c>
      <c r="R611" t="str">
        <f t="shared" si="123"/>
        <v>Good</v>
      </c>
      <c r="S611" t="str">
        <f t="shared" si="124"/>
        <v>Not Hired</v>
      </c>
      <c r="T611">
        <f t="shared" si="125"/>
        <v>34</v>
      </c>
      <c r="U611" t="str">
        <f t="shared" si="126"/>
        <v>Needs Improvement</v>
      </c>
      <c r="V611" t="str">
        <f t="shared" si="127"/>
        <v>Personality</v>
      </c>
      <c r="W611" t="str">
        <f t="shared" si="128"/>
        <v>Technical Skills</v>
      </c>
      <c r="X611" t="str">
        <f t="shared" si="129"/>
        <v>Strengthen technical skills and practical knowledge</v>
      </c>
    </row>
    <row r="612" spans="1:24" x14ac:dyDescent="0.3">
      <c r="A612">
        <v>21</v>
      </c>
      <c r="B612">
        <v>1</v>
      </c>
      <c r="C612">
        <v>2</v>
      </c>
      <c r="D612">
        <v>10</v>
      </c>
      <c r="E612">
        <v>2</v>
      </c>
      <c r="F612">
        <v>6.12645991139006</v>
      </c>
      <c r="G612">
        <v>46</v>
      </c>
      <c r="H612">
        <v>18</v>
      </c>
      <c r="I612">
        <v>46</v>
      </c>
      <c r="J612">
        <v>2</v>
      </c>
      <c r="K612">
        <v>0</v>
      </c>
      <c r="L612" t="str">
        <f t="shared" si="117"/>
        <v>C611</v>
      </c>
      <c r="M612" t="str">
        <f t="shared" si="118"/>
        <v>Female</v>
      </c>
      <c r="N612" t="str">
        <f t="shared" si="119"/>
        <v>Bachelor's Type 2</v>
      </c>
      <c r="O612" t="str">
        <f t="shared" si="120"/>
        <v>Senior Level</v>
      </c>
      <c r="P612" t="str">
        <f t="shared" si="121"/>
        <v>Low</v>
      </c>
      <c r="Q612" t="str">
        <f t="shared" si="122"/>
        <v>Beginner</v>
      </c>
      <c r="R612" t="str">
        <f t="shared" si="123"/>
        <v>Needs Improvement</v>
      </c>
      <c r="S612" t="str">
        <f t="shared" si="124"/>
        <v>Not Hired</v>
      </c>
      <c r="T612">
        <f t="shared" si="125"/>
        <v>41</v>
      </c>
      <c r="U612" t="str">
        <f t="shared" si="126"/>
        <v>Needs Improvement</v>
      </c>
      <c r="V612" t="str">
        <f t="shared" si="127"/>
        <v>Interview</v>
      </c>
      <c r="W612" t="str">
        <f t="shared" si="128"/>
        <v>Technical Skills</v>
      </c>
      <c r="X612" t="str">
        <f t="shared" si="129"/>
        <v>Strengthen technical skills and practical knowledge</v>
      </c>
    </row>
    <row r="613" spans="1:24" x14ac:dyDescent="0.3">
      <c r="A613">
        <v>49</v>
      </c>
      <c r="B613">
        <v>1</v>
      </c>
      <c r="C613">
        <v>4</v>
      </c>
      <c r="D613">
        <v>6</v>
      </c>
      <c r="E613">
        <v>3</v>
      </c>
      <c r="F613">
        <v>1.5958991489120999</v>
      </c>
      <c r="G613">
        <v>12</v>
      </c>
      <c r="H613">
        <v>59</v>
      </c>
      <c r="I613">
        <v>82</v>
      </c>
      <c r="J613">
        <v>2</v>
      </c>
      <c r="K613">
        <v>1</v>
      </c>
      <c r="L613" t="str">
        <f t="shared" si="117"/>
        <v>C612</v>
      </c>
      <c r="M613" t="str">
        <f t="shared" si="118"/>
        <v>Female</v>
      </c>
      <c r="N613" t="str">
        <f t="shared" si="119"/>
        <v>PhD</v>
      </c>
      <c r="O613" t="str">
        <f t="shared" si="120"/>
        <v>Mid Level</v>
      </c>
      <c r="P613" t="str">
        <f t="shared" si="121"/>
        <v>Low</v>
      </c>
      <c r="Q613" t="str">
        <f t="shared" si="122"/>
        <v>Intermediate</v>
      </c>
      <c r="R613" t="str">
        <f t="shared" si="123"/>
        <v>Strong</v>
      </c>
      <c r="S613" t="str">
        <f t="shared" si="124"/>
        <v>Hired</v>
      </c>
      <c r="T613">
        <f t="shared" si="125"/>
        <v>49</v>
      </c>
      <c r="U613" t="str">
        <f t="shared" si="126"/>
        <v>Needs Improvement</v>
      </c>
      <c r="V613" t="str">
        <f t="shared" si="127"/>
        <v>Personality</v>
      </c>
      <c r="W613" t="str">
        <f t="shared" si="128"/>
        <v>Interview Preparation</v>
      </c>
      <c r="X613" t="str">
        <f t="shared" si="129"/>
        <v>Improve interview preparation and communication</v>
      </c>
    </row>
    <row r="614" spans="1:24" x14ac:dyDescent="0.3">
      <c r="A614">
        <v>41</v>
      </c>
      <c r="B614">
        <v>0</v>
      </c>
      <c r="C614">
        <v>2</v>
      </c>
      <c r="D614">
        <v>11</v>
      </c>
      <c r="E614">
        <v>4</v>
      </c>
      <c r="F614">
        <v>7.9846186301469304</v>
      </c>
      <c r="G614">
        <v>88</v>
      </c>
      <c r="H614">
        <v>32</v>
      </c>
      <c r="I614">
        <v>1</v>
      </c>
      <c r="J614">
        <v>3</v>
      </c>
      <c r="K614">
        <v>0</v>
      </c>
      <c r="L614" t="str">
        <f t="shared" si="117"/>
        <v>C613</v>
      </c>
      <c r="M614" t="str">
        <f t="shared" si="118"/>
        <v>Male</v>
      </c>
      <c r="N614" t="str">
        <f t="shared" si="119"/>
        <v>Bachelor's Type 2</v>
      </c>
      <c r="O614" t="str">
        <f t="shared" si="120"/>
        <v>Senior Level</v>
      </c>
      <c r="P614" t="str">
        <f t="shared" si="121"/>
        <v>Strong</v>
      </c>
      <c r="Q614" t="str">
        <f t="shared" si="122"/>
        <v>Beginner</v>
      </c>
      <c r="R614" t="str">
        <f t="shared" si="123"/>
        <v>Needs Improvement</v>
      </c>
      <c r="S614" t="str">
        <f t="shared" si="124"/>
        <v>Not Hired</v>
      </c>
      <c r="T614">
        <f t="shared" si="125"/>
        <v>50</v>
      </c>
      <c r="U614" t="str">
        <f t="shared" si="126"/>
        <v>Developing</v>
      </c>
      <c r="V614" t="str">
        <f t="shared" si="127"/>
        <v>Interview</v>
      </c>
      <c r="W614" t="str">
        <f t="shared" si="128"/>
        <v>Personality &amp; Communication</v>
      </c>
      <c r="X614" t="str">
        <f t="shared" si="129"/>
        <v>Work on communication and personality development</v>
      </c>
    </row>
    <row r="615" spans="1:24" x14ac:dyDescent="0.3">
      <c r="A615">
        <v>35</v>
      </c>
      <c r="B615">
        <v>1</v>
      </c>
      <c r="C615">
        <v>2</v>
      </c>
      <c r="D615">
        <v>8</v>
      </c>
      <c r="E615">
        <v>1</v>
      </c>
      <c r="F615">
        <v>36.7867963205397</v>
      </c>
      <c r="G615">
        <v>65</v>
      </c>
      <c r="H615">
        <v>3</v>
      </c>
      <c r="I615">
        <v>43</v>
      </c>
      <c r="J615">
        <v>3</v>
      </c>
      <c r="K615">
        <v>0</v>
      </c>
      <c r="L615" t="str">
        <f t="shared" si="117"/>
        <v>C614</v>
      </c>
      <c r="M615" t="str">
        <f t="shared" si="118"/>
        <v>Female</v>
      </c>
      <c r="N615" t="str">
        <f t="shared" si="119"/>
        <v>Bachelor's Type 2</v>
      </c>
      <c r="O615" t="str">
        <f t="shared" si="120"/>
        <v>Senior Level</v>
      </c>
      <c r="P615" t="str">
        <f t="shared" si="121"/>
        <v>Average</v>
      </c>
      <c r="Q615" t="str">
        <f t="shared" si="122"/>
        <v>Beginner</v>
      </c>
      <c r="R615" t="str">
        <f t="shared" si="123"/>
        <v>Needs Improvement</v>
      </c>
      <c r="S615" t="str">
        <f t="shared" si="124"/>
        <v>Not Hired</v>
      </c>
      <c r="T615">
        <f t="shared" si="125"/>
        <v>40</v>
      </c>
      <c r="U615" t="str">
        <f t="shared" si="126"/>
        <v>Needs Improvement</v>
      </c>
      <c r="V615" t="str">
        <f t="shared" si="127"/>
        <v>Interview</v>
      </c>
      <c r="W615" t="str">
        <f t="shared" si="128"/>
        <v>Technical Skills</v>
      </c>
      <c r="X615" t="str">
        <f t="shared" si="129"/>
        <v>Strengthen technical skills and practical knowledge</v>
      </c>
    </row>
    <row r="616" spans="1:24" x14ac:dyDescent="0.3">
      <c r="A616">
        <v>44</v>
      </c>
      <c r="B616">
        <v>0</v>
      </c>
      <c r="C616">
        <v>4</v>
      </c>
      <c r="D616">
        <v>14</v>
      </c>
      <c r="E616">
        <v>1</v>
      </c>
      <c r="F616">
        <v>49.639685082822197</v>
      </c>
      <c r="G616">
        <v>65</v>
      </c>
      <c r="H616">
        <v>2</v>
      </c>
      <c r="I616">
        <v>100</v>
      </c>
      <c r="J616">
        <v>3</v>
      </c>
      <c r="K616">
        <v>0</v>
      </c>
      <c r="L616" t="str">
        <f t="shared" si="117"/>
        <v>C615</v>
      </c>
      <c r="M616" t="str">
        <f t="shared" si="118"/>
        <v>Male</v>
      </c>
      <c r="N616" t="str">
        <f t="shared" si="119"/>
        <v>PhD</v>
      </c>
      <c r="O616" t="str">
        <f t="shared" si="120"/>
        <v>Senior Level</v>
      </c>
      <c r="P616" t="str">
        <f t="shared" si="121"/>
        <v>Average</v>
      </c>
      <c r="Q616" t="str">
        <f t="shared" si="122"/>
        <v>Beginner</v>
      </c>
      <c r="R616" t="str">
        <f t="shared" si="123"/>
        <v>Strong</v>
      </c>
      <c r="S616" t="str">
        <f t="shared" si="124"/>
        <v>Not Hired</v>
      </c>
      <c r="T616">
        <f t="shared" si="125"/>
        <v>59</v>
      </c>
      <c r="U616" t="str">
        <f t="shared" si="126"/>
        <v>Developing</v>
      </c>
      <c r="V616" t="str">
        <f t="shared" si="127"/>
        <v>Personality</v>
      </c>
      <c r="W616" t="str">
        <f t="shared" si="128"/>
        <v>Technical Skills</v>
      </c>
      <c r="X616" t="str">
        <f t="shared" si="129"/>
        <v>Strengthen technical skills and practical knowledge</v>
      </c>
    </row>
    <row r="617" spans="1:24" x14ac:dyDescent="0.3">
      <c r="A617">
        <v>27</v>
      </c>
      <c r="B617">
        <v>1</v>
      </c>
      <c r="C617">
        <v>1</v>
      </c>
      <c r="D617">
        <v>11</v>
      </c>
      <c r="E617">
        <v>4</v>
      </c>
      <c r="F617">
        <v>50.153234980740997</v>
      </c>
      <c r="G617">
        <v>15</v>
      </c>
      <c r="H617">
        <v>90</v>
      </c>
      <c r="I617">
        <v>63</v>
      </c>
      <c r="J617">
        <v>2</v>
      </c>
      <c r="K617">
        <v>0</v>
      </c>
      <c r="L617" t="str">
        <f t="shared" si="117"/>
        <v>C616</v>
      </c>
      <c r="M617" t="str">
        <f t="shared" si="118"/>
        <v>Female</v>
      </c>
      <c r="N617" t="str">
        <f t="shared" si="119"/>
        <v>Bachelor's Type 1</v>
      </c>
      <c r="O617" t="str">
        <f t="shared" si="120"/>
        <v>Senior Level</v>
      </c>
      <c r="P617" t="str">
        <f t="shared" si="121"/>
        <v>Low</v>
      </c>
      <c r="Q617" t="str">
        <f t="shared" si="122"/>
        <v>Advanced</v>
      </c>
      <c r="R617" t="str">
        <f t="shared" si="123"/>
        <v>Good</v>
      </c>
      <c r="S617" t="str">
        <f t="shared" si="124"/>
        <v>Not Hired</v>
      </c>
      <c r="T617">
        <f t="shared" si="125"/>
        <v>58</v>
      </c>
      <c r="U617" t="str">
        <f t="shared" si="126"/>
        <v>Developing</v>
      </c>
      <c r="V617" t="str">
        <f t="shared" si="127"/>
        <v>Technical Skills</v>
      </c>
      <c r="W617" t="str">
        <f t="shared" si="128"/>
        <v>Interview Preparation</v>
      </c>
      <c r="X617" t="str">
        <f t="shared" si="129"/>
        <v>Improve interview preparation and communication</v>
      </c>
    </row>
    <row r="618" spans="1:24" x14ac:dyDescent="0.3">
      <c r="A618">
        <v>32</v>
      </c>
      <c r="B618">
        <v>1</v>
      </c>
      <c r="C618">
        <v>3</v>
      </c>
      <c r="D618">
        <v>5</v>
      </c>
      <c r="E618">
        <v>5</v>
      </c>
      <c r="F618">
        <v>25.6989574570093</v>
      </c>
      <c r="G618">
        <v>72</v>
      </c>
      <c r="H618">
        <v>51</v>
      </c>
      <c r="I618">
        <v>80</v>
      </c>
      <c r="J618">
        <v>2</v>
      </c>
      <c r="K618">
        <v>1</v>
      </c>
      <c r="L618" t="str">
        <f t="shared" si="117"/>
        <v>C617</v>
      </c>
      <c r="M618" t="str">
        <f t="shared" si="118"/>
        <v>Female</v>
      </c>
      <c r="N618" t="str">
        <f t="shared" si="119"/>
        <v>Master's</v>
      </c>
      <c r="O618" t="str">
        <f t="shared" si="120"/>
        <v>Mid Level</v>
      </c>
      <c r="P618" t="str">
        <f t="shared" si="121"/>
        <v>Average</v>
      </c>
      <c r="Q618" t="str">
        <f t="shared" si="122"/>
        <v>Intermediate</v>
      </c>
      <c r="R618" t="str">
        <f t="shared" si="123"/>
        <v>Strong</v>
      </c>
      <c r="S618" t="str">
        <f t="shared" si="124"/>
        <v>Hired</v>
      </c>
      <c r="T618">
        <f t="shared" si="125"/>
        <v>62</v>
      </c>
      <c r="U618" t="str">
        <f t="shared" si="126"/>
        <v>Developing</v>
      </c>
      <c r="V618" t="str">
        <f t="shared" si="127"/>
        <v>Personality</v>
      </c>
      <c r="W618" t="str">
        <f t="shared" si="128"/>
        <v>Technical Skills</v>
      </c>
      <c r="X618" t="str">
        <f t="shared" si="129"/>
        <v>Strengthen technical skills and practical knowledge</v>
      </c>
    </row>
    <row r="619" spans="1:24" x14ac:dyDescent="0.3">
      <c r="A619">
        <v>40</v>
      </c>
      <c r="B619">
        <v>0</v>
      </c>
      <c r="C619">
        <v>4</v>
      </c>
      <c r="D619">
        <v>12</v>
      </c>
      <c r="E619">
        <v>4</v>
      </c>
      <c r="F619">
        <v>44.467615049617301</v>
      </c>
      <c r="G619">
        <v>27</v>
      </c>
      <c r="H619">
        <v>98</v>
      </c>
      <c r="I619">
        <v>77</v>
      </c>
      <c r="J619">
        <v>2</v>
      </c>
      <c r="K619">
        <v>1</v>
      </c>
      <c r="L619" t="str">
        <f t="shared" si="117"/>
        <v>C618</v>
      </c>
      <c r="M619" t="str">
        <f t="shared" si="118"/>
        <v>Male</v>
      </c>
      <c r="N619" t="str">
        <f t="shared" si="119"/>
        <v>PhD</v>
      </c>
      <c r="O619" t="str">
        <f t="shared" si="120"/>
        <v>Senior Level</v>
      </c>
      <c r="P619" t="str">
        <f t="shared" si="121"/>
        <v>Low</v>
      </c>
      <c r="Q619" t="str">
        <f t="shared" si="122"/>
        <v>Advanced</v>
      </c>
      <c r="R619" t="str">
        <f t="shared" si="123"/>
        <v>Strong</v>
      </c>
      <c r="S619" t="str">
        <f t="shared" si="124"/>
        <v>Hired</v>
      </c>
      <c r="T619">
        <f t="shared" si="125"/>
        <v>70</v>
      </c>
      <c r="U619" t="str">
        <f t="shared" si="126"/>
        <v>Developing</v>
      </c>
      <c r="V619" t="str">
        <f t="shared" si="127"/>
        <v>Technical Skills</v>
      </c>
      <c r="W619" t="str">
        <f t="shared" si="128"/>
        <v>Interview Preparation</v>
      </c>
      <c r="X619" t="str">
        <f t="shared" si="129"/>
        <v>Improve interview preparation and communication</v>
      </c>
    </row>
    <row r="620" spans="1:24" x14ac:dyDescent="0.3">
      <c r="A620">
        <v>20</v>
      </c>
      <c r="B620">
        <v>1</v>
      </c>
      <c r="C620">
        <v>4</v>
      </c>
      <c r="D620">
        <v>9</v>
      </c>
      <c r="E620">
        <v>2</v>
      </c>
      <c r="F620">
        <v>37.841322787575201</v>
      </c>
      <c r="G620">
        <v>76</v>
      </c>
      <c r="H620">
        <v>27</v>
      </c>
      <c r="I620">
        <v>27</v>
      </c>
      <c r="J620">
        <v>1</v>
      </c>
      <c r="K620">
        <v>1</v>
      </c>
      <c r="L620" t="str">
        <f t="shared" si="117"/>
        <v>C619</v>
      </c>
      <c r="M620" t="str">
        <f t="shared" si="118"/>
        <v>Female</v>
      </c>
      <c r="N620" t="str">
        <f t="shared" si="119"/>
        <v>PhD</v>
      </c>
      <c r="O620" t="str">
        <f t="shared" si="120"/>
        <v>Senior Level</v>
      </c>
      <c r="P620" t="str">
        <f t="shared" si="121"/>
        <v>Strong</v>
      </c>
      <c r="Q620" t="str">
        <f t="shared" si="122"/>
        <v>Beginner</v>
      </c>
      <c r="R620" t="str">
        <f t="shared" si="123"/>
        <v>Needs Improvement</v>
      </c>
      <c r="S620" t="str">
        <f t="shared" si="124"/>
        <v>Hired</v>
      </c>
      <c r="T620">
        <f t="shared" si="125"/>
        <v>50</v>
      </c>
      <c r="U620" t="str">
        <f t="shared" si="126"/>
        <v>Developing</v>
      </c>
      <c r="V620" t="str">
        <f t="shared" si="127"/>
        <v>Interview</v>
      </c>
      <c r="W620" t="str">
        <f t="shared" si="128"/>
        <v>Technical Skills</v>
      </c>
      <c r="X620" t="str">
        <f t="shared" si="129"/>
        <v>Strengthen technical skills and practical knowledge</v>
      </c>
    </row>
    <row r="621" spans="1:24" x14ac:dyDescent="0.3">
      <c r="A621">
        <v>35</v>
      </c>
      <c r="B621">
        <v>0</v>
      </c>
      <c r="C621">
        <v>2</v>
      </c>
      <c r="D621">
        <v>0</v>
      </c>
      <c r="E621">
        <v>4</v>
      </c>
      <c r="F621">
        <v>26.052011849230102</v>
      </c>
      <c r="G621">
        <v>34</v>
      </c>
      <c r="H621">
        <v>69</v>
      </c>
      <c r="I621">
        <v>90</v>
      </c>
      <c r="J621">
        <v>3</v>
      </c>
      <c r="K621">
        <v>0</v>
      </c>
      <c r="L621" t="str">
        <f t="shared" si="117"/>
        <v>C620</v>
      </c>
      <c r="M621" t="str">
        <f t="shared" si="118"/>
        <v>Male</v>
      </c>
      <c r="N621" t="str">
        <f t="shared" si="119"/>
        <v>Bachelor's Type 2</v>
      </c>
      <c r="O621" t="str">
        <f t="shared" si="120"/>
        <v>Entry Level</v>
      </c>
      <c r="P621" t="str">
        <f t="shared" si="121"/>
        <v>Low</v>
      </c>
      <c r="Q621" t="str">
        <f t="shared" si="122"/>
        <v>Intermediate</v>
      </c>
      <c r="R621" t="str">
        <f t="shared" si="123"/>
        <v>Strong</v>
      </c>
      <c r="S621" t="str">
        <f t="shared" si="124"/>
        <v>Not Hired</v>
      </c>
      <c r="T621">
        <f t="shared" si="125"/>
        <v>51</v>
      </c>
      <c r="U621" t="str">
        <f t="shared" si="126"/>
        <v>Developing</v>
      </c>
      <c r="V621" t="str">
        <f t="shared" si="127"/>
        <v>Personality</v>
      </c>
      <c r="W621" t="str">
        <f t="shared" si="128"/>
        <v>Interview Preparation</v>
      </c>
      <c r="X621" t="str">
        <f t="shared" si="129"/>
        <v>Improve interview preparation and communication</v>
      </c>
    </row>
    <row r="622" spans="1:24" x14ac:dyDescent="0.3">
      <c r="A622">
        <v>48</v>
      </c>
      <c r="B622">
        <v>1</v>
      </c>
      <c r="C622">
        <v>2</v>
      </c>
      <c r="D622">
        <v>15</v>
      </c>
      <c r="E622">
        <v>1</v>
      </c>
      <c r="F622">
        <v>29.638026647754302</v>
      </c>
      <c r="G622">
        <v>40</v>
      </c>
      <c r="H622">
        <v>69</v>
      </c>
      <c r="I622">
        <v>53</v>
      </c>
      <c r="J622">
        <v>2</v>
      </c>
      <c r="K622">
        <v>0</v>
      </c>
      <c r="L622" t="str">
        <f t="shared" si="117"/>
        <v>C621</v>
      </c>
      <c r="M622" t="str">
        <f t="shared" si="118"/>
        <v>Female</v>
      </c>
      <c r="N622" t="str">
        <f t="shared" si="119"/>
        <v>Bachelor's Type 2</v>
      </c>
      <c r="O622" t="str">
        <f t="shared" si="120"/>
        <v>Senior Level</v>
      </c>
      <c r="P622" t="str">
        <f t="shared" si="121"/>
        <v>Low</v>
      </c>
      <c r="Q622" t="str">
        <f t="shared" si="122"/>
        <v>Intermediate</v>
      </c>
      <c r="R622" t="str">
        <f t="shared" si="123"/>
        <v>Good</v>
      </c>
      <c r="S622" t="str">
        <f t="shared" si="124"/>
        <v>Not Hired</v>
      </c>
      <c r="T622">
        <f t="shared" si="125"/>
        <v>61</v>
      </c>
      <c r="U622" t="str">
        <f t="shared" si="126"/>
        <v>Developing</v>
      </c>
      <c r="V622" t="str">
        <f t="shared" si="127"/>
        <v>Technical Skills</v>
      </c>
      <c r="W622" t="str">
        <f t="shared" si="128"/>
        <v>Interview Preparation</v>
      </c>
      <c r="X622" t="str">
        <f t="shared" si="129"/>
        <v>Improve interview preparation and communication</v>
      </c>
    </row>
    <row r="623" spans="1:24" x14ac:dyDescent="0.3">
      <c r="A623">
        <v>26</v>
      </c>
      <c r="B623">
        <v>0</v>
      </c>
      <c r="C623">
        <v>2</v>
      </c>
      <c r="D623">
        <v>6</v>
      </c>
      <c r="E623">
        <v>4</v>
      </c>
      <c r="F623">
        <v>7.8613573308435498</v>
      </c>
      <c r="G623">
        <v>76</v>
      </c>
      <c r="H623">
        <v>54</v>
      </c>
      <c r="I623">
        <v>73</v>
      </c>
      <c r="J623">
        <v>1</v>
      </c>
      <c r="K623">
        <v>1</v>
      </c>
      <c r="L623" t="str">
        <f t="shared" si="117"/>
        <v>C622</v>
      </c>
      <c r="M623" t="str">
        <f t="shared" si="118"/>
        <v>Male</v>
      </c>
      <c r="N623" t="str">
        <f t="shared" si="119"/>
        <v>Bachelor's Type 2</v>
      </c>
      <c r="O623" t="str">
        <f t="shared" si="120"/>
        <v>Mid Level</v>
      </c>
      <c r="P623" t="str">
        <f t="shared" si="121"/>
        <v>Strong</v>
      </c>
      <c r="Q623" t="str">
        <f t="shared" si="122"/>
        <v>Intermediate</v>
      </c>
      <c r="R623" t="str">
        <f t="shared" si="123"/>
        <v>Good</v>
      </c>
      <c r="S623" t="str">
        <f t="shared" si="124"/>
        <v>Hired</v>
      </c>
      <c r="T623">
        <f t="shared" si="125"/>
        <v>62</v>
      </c>
      <c r="U623" t="str">
        <f t="shared" si="126"/>
        <v>Developing</v>
      </c>
      <c r="V623" t="str">
        <f t="shared" si="127"/>
        <v>Interview</v>
      </c>
      <c r="W623" t="str">
        <f t="shared" si="128"/>
        <v>Technical Skills</v>
      </c>
      <c r="X623" t="str">
        <f t="shared" si="129"/>
        <v>Strengthen technical skills and practical knowledge</v>
      </c>
    </row>
    <row r="624" spans="1:24" x14ac:dyDescent="0.3">
      <c r="A624">
        <v>50</v>
      </c>
      <c r="B624">
        <v>0</v>
      </c>
      <c r="C624">
        <v>3</v>
      </c>
      <c r="D624">
        <v>14</v>
      </c>
      <c r="E624">
        <v>3</v>
      </c>
      <c r="F624">
        <v>47.8830730308296</v>
      </c>
      <c r="G624">
        <v>30</v>
      </c>
      <c r="H624">
        <v>56</v>
      </c>
      <c r="I624">
        <v>66</v>
      </c>
      <c r="J624">
        <v>1</v>
      </c>
      <c r="K624">
        <v>1</v>
      </c>
      <c r="L624" t="str">
        <f t="shared" si="117"/>
        <v>C623</v>
      </c>
      <c r="M624" t="str">
        <f t="shared" si="118"/>
        <v>Male</v>
      </c>
      <c r="N624" t="str">
        <f t="shared" si="119"/>
        <v>Master's</v>
      </c>
      <c r="O624" t="str">
        <f t="shared" si="120"/>
        <v>Senior Level</v>
      </c>
      <c r="P624" t="str">
        <f t="shared" si="121"/>
        <v>Low</v>
      </c>
      <c r="Q624" t="str">
        <f t="shared" si="122"/>
        <v>Intermediate</v>
      </c>
      <c r="R624" t="str">
        <f t="shared" si="123"/>
        <v>Good</v>
      </c>
      <c r="S624" t="str">
        <f t="shared" si="124"/>
        <v>Hired</v>
      </c>
      <c r="T624">
        <f t="shared" si="125"/>
        <v>57</v>
      </c>
      <c r="U624" t="str">
        <f t="shared" si="126"/>
        <v>Developing</v>
      </c>
      <c r="V624" t="str">
        <f t="shared" si="127"/>
        <v>Personality</v>
      </c>
      <c r="W624" t="str">
        <f t="shared" si="128"/>
        <v>Interview Preparation</v>
      </c>
      <c r="X624" t="str">
        <f t="shared" si="129"/>
        <v>Improve interview preparation and communication</v>
      </c>
    </row>
    <row r="625" spans="1:24" x14ac:dyDescent="0.3">
      <c r="A625">
        <v>24</v>
      </c>
      <c r="B625">
        <v>1</v>
      </c>
      <c r="C625">
        <v>3</v>
      </c>
      <c r="D625">
        <v>2</v>
      </c>
      <c r="E625">
        <v>2</v>
      </c>
      <c r="F625">
        <v>18.596488536588801</v>
      </c>
      <c r="G625">
        <v>84</v>
      </c>
      <c r="H625">
        <v>86</v>
      </c>
      <c r="I625">
        <v>35</v>
      </c>
      <c r="J625">
        <v>3</v>
      </c>
      <c r="K625">
        <v>0</v>
      </c>
      <c r="L625" t="str">
        <f t="shared" si="117"/>
        <v>C624</v>
      </c>
      <c r="M625" t="str">
        <f t="shared" si="118"/>
        <v>Female</v>
      </c>
      <c r="N625" t="str">
        <f t="shared" si="119"/>
        <v>Master's</v>
      </c>
      <c r="O625" t="str">
        <f t="shared" si="120"/>
        <v>Entry Level</v>
      </c>
      <c r="P625" t="str">
        <f t="shared" si="121"/>
        <v>Strong</v>
      </c>
      <c r="Q625" t="str">
        <f t="shared" si="122"/>
        <v>Advanced</v>
      </c>
      <c r="R625" t="str">
        <f t="shared" si="123"/>
        <v>Needs Improvement</v>
      </c>
      <c r="S625" t="str">
        <f t="shared" si="124"/>
        <v>Not Hired</v>
      </c>
      <c r="T625">
        <f t="shared" si="125"/>
        <v>64</v>
      </c>
      <c r="U625" t="str">
        <f t="shared" si="126"/>
        <v>Developing</v>
      </c>
      <c r="V625" t="str">
        <f t="shared" si="127"/>
        <v>Technical Skills</v>
      </c>
      <c r="W625" t="str">
        <f t="shared" si="128"/>
        <v>Personality &amp; Communication</v>
      </c>
      <c r="X625" t="str">
        <f t="shared" si="129"/>
        <v>Work on communication and personality development</v>
      </c>
    </row>
    <row r="626" spans="1:24" x14ac:dyDescent="0.3">
      <c r="A626">
        <v>41</v>
      </c>
      <c r="B626">
        <v>1</v>
      </c>
      <c r="C626">
        <v>2</v>
      </c>
      <c r="D626">
        <v>4</v>
      </c>
      <c r="E626">
        <v>4</v>
      </c>
      <c r="F626">
        <v>23.307462822858401</v>
      </c>
      <c r="G626">
        <v>31</v>
      </c>
      <c r="H626">
        <v>96</v>
      </c>
      <c r="I626">
        <v>62</v>
      </c>
      <c r="J626">
        <v>1</v>
      </c>
      <c r="K626">
        <v>1</v>
      </c>
      <c r="L626" t="str">
        <f t="shared" si="117"/>
        <v>C625</v>
      </c>
      <c r="M626" t="str">
        <f t="shared" si="118"/>
        <v>Female</v>
      </c>
      <c r="N626" t="str">
        <f t="shared" si="119"/>
        <v>Bachelor's Type 2</v>
      </c>
      <c r="O626" t="str">
        <f t="shared" si="120"/>
        <v>Mid Level</v>
      </c>
      <c r="P626" t="str">
        <f t="shared" si="121"/>
        <v>Low</v>
      </c>
      <c r="Q626" t="str">
        <f t="shared" si="122"/>
        <v>Advanced</v>
      </c>
      <c r="R626" t="str">
        <f t="shared" si="123"/>
        <v>Good</v>
      </c>
      <c r="S626" t="str">
        <f t="shared" si="124"/>
        <v>Hired</v>
      </c>
      <c r="T626">
        <f t="shared" si="125"/>
        <v>57</v>
      </c>
      <c r="U626" t="str">
        <f t="shared" si="126"/>
        <v>Developing</v>
      </c>
      <c r="V626" t="str">
        <f t="shared" si="127"/>
        <v>Technical Skills</v>
      </c>
      <c r="W626" t="str">
        <f t="shared" si="128"/>
        <v>Interview Preparation</v>
      </c>
      <c r="X626" t="str">
        <f t="shared" si="129"/>
        <v>Improve interview preparation and communication</v>
      </c>
    </row>
    <row r="627" spans="1:24" x14ac:dyDescent="0.3">
      <c r="A627">
        <v>48</v>
      </c>
      <c r="B627">
        <v>0</v>
      </c>
      <c r="C627">
        <v>2</v>
      </c>
      <c r="D627">
        <v>15</v>
      </c>
      <c r="E627">
        <v>1</v>
      </c>
      <c r="F627">
        <v>34.583011549894898</v>
      </c>
      <c r="G627">
        <v>53</v>
      </c>
      <c r="H627">
        <v>15</v>
      </c>
      <c r="I627">
        <v>24</v>
      </c>
      <c r="J627">
        <v>1</v>
      </c>
      <c r="K627">
        <v>0</v>
      </c>
      <c r="L627" t="str">
        <f t="shared" si="117"/>
        <v>C626</v>
      </c>
      <c r="M627" t="str">
        <f t="shared" si="118"/>
        <v>Male</v>
      </c>
      <c r="N627" t="str">
        <f t="shared" si="119"/>
        <v>Bachelor's Type 2</v>
      </c>
      <c r="O627" t="str">
        <f t="shared" si="120"/>
        <v>Senior Level</v>
      </c>
      <c r="P627" t="str">
        <f t="shared" si="121"/>
        <v>Average</v>
      </c>
      <c r="Q627" t="str">
        <f t="shared" si="122"/>
        <v>Beginner</v>
      </c>
      <c r="R627" t="str">
        <f t="shared" si="123"/>
        <v>Needs Improvement</v>
      </c>
      <c r="S627" t="str">
        <f t="shared" si="124"/>
        <v>Not Hired</v>
      </c>
      <c r="T627">
        <f t="shared" si="125"/>
        <v>43</v>
      </c>
      <c r="U627" t="str">
        <f t="shared" si="126"/>
        <v>Needs Improvement</v>
      </c>
      <c r="V627" t="str">
        <f t="shared" si="127"/>
        <v>Interview</v>
      </c>
      <c r="W627" t="str">
        <f t="shared" si="128"/>
        <v>Technical Skills</v>
      </c>
      <c r="X627" t="str">
        <f t="shared" si="129"/>
        <v>Strengthen technical skills and practical knowledge</v>
      </c>
    </row>
    <row r="628" spans="1:24" x14ac:dyDescent="0.3">
      <c r="A628">
        <v>42</v>
      </c>
      <c r="B628">
        <v>1</v>
      </c>
      <c r="C628">
        <v>1</v>
      </c>
      <c r="D628">
        <v>9</v>
      </c>
      <c r="E628">
        <v>2</v>
      </c>
      <c r="F628">
        <v>17.6951235763276</v>
      </c>
      <c r="G628">
        <v>97</v>
      </c>
      <c r="H628">
        <v>23</v>
      </c>
      <c r="I628">
        <v>85</v>
      </c>
      <c r="J628">
        <v>2</v>
      </c>
      <c r="K628">
        <v>0</v>
      </c>
      <c r="L628" t="str">
        <f t="shared" si="117"/>
        <v>C627</v>
      </c>
      <c r="M628" t="str">
        <f t="shared" si="118"/>
        <v>Female</v>
      </c>
      <c r="N628" t="str">
        <f t="shared" si="119"/>
        <v>Bachelor's Type 1</v>
      </c>
      <c r="O628" t="str">
        <f t="shared" si="120"/>
        <v>Senior Level</v>
      </c>
      <c r="P628" t="str">
        <f t="shared" si="121"/>
        <v>Strong</v>
      </c>
      <c r="Q628" t="str">
        <f t="shared" si="122"/>
        <v>Beginner</v>
      </c>
      <c r="R628" t="str">
        <f t="shared" si="123"/>
        <v>Strong</v>
      </c>
      <c r="S628" t="str">
        <f t="shared" si="124"/>
        <v>Not Hired</v>
      </c>
      <c r="T628">
        <f t="shared" si="125"/>
        <v>65</v>
      </c>
      <c r="U628" t="str">
        <f t="shared" si="126"/>
        <v>Developing</v>
      </c>
      <c r="V628" t="str">
        <f t="shared" si="127"/>
        <v>Interview</v>
      </c>
      <c r="W628" t="str">
        <f t="shared" si="128"/>
        <v>Technical Skills</v>
      </c>
      <c r="X628" t="str">
        <f t="shared" si="129"/>
        <v>Strengthen technical skills and practical knowledge</v>
      </c>
    </row>
    <row r="629" spans="1:24" x14ac:dyDescent="0.3">
      <c r="A629">
        <v>22</v>
      </c>
      <c r="B629">
        <v>1</v>
      </c>
      <c r="C629">
        <v>1</v>
      </c>
      <c r="D629">
        <v>3</v>
      </c>
      <c r="E629">
        <v>1</v>
      </c>
      <c r="F629">
        <v>13.712958049446501</v>
      </c>
      <c r="G629">
        <v>71</v>
      </c>
      <c r="H629">
        <v>68</v>
      </c>
      <c r="I629">
        <v>47</v>
      </c>
      <c r="J629">
        <v>1</v>
      </c>
      <c r="K629">
        <v>1</v>
      </c>
      <c r="L629" t="str">
        <f t="shared" si="117"/>
        <v>C628</v>
      </c>
      <c r="M629" t="str">
        <f t="shared" si="118"/>
        <v>Female</v>
      </c>
      <c r="N629" t="str">
        <f t="shared" si="119"/>
        <v>Bachelor's Type 1</v>
      </c>
      <c r="O629" t="str">
        <f t="shared" si="120"/>
        <v>Mid Level</v>
      </c>
      <c r="P629" t="str">
        <f t="shared" si="121"/>
        <v>Average</v>
      </c>
      <c r="Q629" t="str">
        <f t="shared" si="122"/>
        <v>Intermediate</v>
      </c>
      <c r="R629" t="str">
        <f t="shared" si="123"/>
        <v>Needs Improvement</v>
      </c>
      <c r="S629" t="str">
        <f t="shared" si="124"/>
        <v>Hired</v>
      </c>
      <c r="T629">
        <f t="shared" si="125"/>
        <v>57</v>
      </c>
      <c r="U629" t="str">
        <f t="shared" si="126"/>
        <v>Developing</v>
      </c>
      <c r="V629" t="str">
        <f t="shared" si="127"/>
        <v>Interview</v>
      </c>
      <c r="W629" t="str">
        <f t="shared" si="128"/>
        <v>Personality &amp; Communication</v>
      </c>
      <c r="X629" t="str">
        <f t="shared" si="129"/>
        <v>Work on communication and personality development</v>
      </c>
    </row>
    <row r="630" spans="1:24" x14ac:dyDescent="0.3">
      <c r="A630">
        <v>31</v>
      </c>
      <c r="B630">
        <v>0</v>
      </c>
      <c r="C630">
        <v>3</v>
      </c>
      <c r="D630">
        <v>9</v>
      </c>
      <c r="E630">
        <v>5</v>
      </c>
      <c r="F630">
        <v>32.552469663510998</v>
      </c>
      <c r="G630">
        <v>58</v>
      </c>
      <c r="H630">
        <v>40</v>
      </c>
      <c r="I630">
        <v>38</v>
      </c>
      <c r="J630">
        <v>3</v>
      </c>
      <c r="K630">
        <v>0</v>
      </c>
      <c r="L630" t="str">
        <f t="shared" si="117"/>
        <v>C629</v>
      </c>
      <c r="M630" t="str">
        <f t="shared" si="118"/>
        <v>Male</v>
      </c>
      <c r="N630" t="str">
        <f t="shared" si="119"/>
        <v>Master's</v>
      </c>
      <c r="O630" t="str">
        <f t="shared" si="120"/>
        <v>Senior Level</v>
      </c>
      <c r="P630" t="str">
        <f t="shared" si="121"/>
        <v>Average</v>
      </c>
      <c r="Q630" t="str">
        <f t="shared" si="122"/>
        <v>Beginner</v>
      </c>
      <c r="R630" t="str">
        <f t="shared" si="123"/>
        <v>Needs Improvement</v>
      </c>
      <c r="S630" t="str">
        <f t="shared" si="124"/>
        <v>Not Hired</v>
      </c>
      <c r="T630">
        <f t="shared" si="125"/>
        <v>50</v>
      </c>
      <c r="U630" t="str">
        <f t="shared" si="126"/>
        <v>Developing</v>
      </c>
      <c r="V630" t="str">
        <f t="shared" si="127"/>
        <v>Interview</v>
      </c>
      <c r="W630" t="str">
        <f t="shared" si="128"/>
        <v>Personality &amp; Communication</v>
      </c>
      <c r="X630" t="str">
        <f t="shared" si="129"/>
        <v>Work on communication and personality development</v>
      </c>
    </row>
    <row r="631" spans="1:24" x14ac:dyDescent="0.3">
      <c r="A631">
        <v>45</v>
      </c>
      <c r="B631">
        <v>0</v>
      </c>
      <c r="C631">
        <v>2</v>
      </c>
      <c r="D631">
        <v>4</v>
      </c>
      <c r="E631">
        <v>3</v>
      </c>
      <c r="F631">
        <v>2.2492041140924699</v>
      </c>
      <c r="G631">
        <v>40</v>
      </c>
      <c r="H631">
        <v>76</v>
      </c>
      <c r="I631">
        <v>46</v>
      </c>
      <c r="J631">
        <v>2</v>
      </c>
      <c r="K631">
        <v>0</v>
      </c>
      <c r="L631" t="str">
        <f t="shared" si="117"/>
        <v>C630</v>
      </c>
      <c r="M631" t="str">
        <f t="shared" si="118"/>
        <v>Male</v>
      </c>
      <c r="N631" t="str">
        <f t="shared" si="119"/>
        <v>Bachelor's Type 2</v>
      </c>
      <c r="O631" t="str">
        <f t="shared" si="120"/>
        <v>Mid Level</v>
      </c>
      <c r="P631" t="str">
        <f t="shared" si="121"/>
        <v>Low</v>
      </c>
      <c r="Q631" t="str">
        <f t="shared" si="122"/>
        <v>Advanced</v>
      </c>
      <c r="R631" t="str">
        <f t="shared" si="123"/>
        <v>Needs Improvement</v>
      </c>
      <c r="S631" t="str">
        <f t="shared" si="124"/>
        <v>Not Hired</v>
      </c>
      <c r="T631">
        <f t="shared" si="125"/>
        <v>51</v>
      </c>
      <c r="U631" t="str">
        <f t="shared" si="126"/>
        <v>Developing</v>
      </c>
      <c r="V631" t="str">
        <f t="shared" si="127"/>
        <v>Technical Skills</v>
      </c>
      <c r="W631" t="str">
        <f t="shared" si="128"/>
        <v>Interview Preparation</v>
      </c>
      <c r="X631" t="str">
        <f t="shared" si="129"/>
        <v>Improve interview preparation and communication</v>
      </c>
    </row>
    <row r="632" spans="1:24" x14ac:dyDescent="0.3">
      <c r="A632">
        <v>35</v>
      </c>
      <c r="B632">
        <v>1</v>
      </c>
      <c r="C632">
        <v>4</v>
      </c>
      <c r="D632">
        <v>4</v>
      </c>
      <c r="E632">
        <v>5</v>
      </c>
      <c r="F632">
        <v>37.036255601333899</v>
      </c>
      <c r="G632">
        <v>65</v>
      </c>
      <c r="H632">
        <v>46</v>
      </c>
      <c r="I632">
        <v>93</v>
      </c>
      <c r="J632">
        <v>2</v>
      </c>
      <c r="K632">
        <v>0</v>
      </c>
      <c r="L632" t="str">
        <f t="shared" si="117"/>
        <v>C631</v>
      </c>
      <c r="M632" t="str">
        <f t="shared" si="118"/>
        <v>Female</v>
      </c>
      <c r="N632" t="str">
        <f t="shared" si="119"/>
        <v>PhD</v>
      </c>
      <c r="O632" t="str">
        <f t="shared" si="120"/>
        <v>Mid Level</v>
      </c>
      <c r="P632" t="str">
        <f t="shared" si="121"/>
        <v>Average</v>
      </c>
      <c r="Q632" t="str">
        <f t="shared" si="122"/>
        <v>Beginner</v>
      </c>
      <c r="R632" t="str">
        <f t="shared" si="123"/>
        <v>Strong</v>
      </c>
      <c r="S632" t="str">
        <f t="shared" si="124"/>
        <v>Not Hired</v>
      </c>
      <c r="T632">
        <f t="shared" si="125"/>
        <v>61</v>
      </c>
      <c r="U632" t="str">
        <f t="shared" si="126"/>
        <v>Developing</v>
      </c>
      <c r="V632" t="str">
        <f t="shared" si="127"/>
        <v>Personality</v>
      </c>
      <c r="W632" t="str">
        <f t="shared" si="128"/>
        <v>Technical Skills</v>
      </c>
      <c r="X632" t="str">
        <f t="shared" si="129"/>
        <v>Strengthen technical skills and practical knowledge</v>
      </c>
    </row>
    <row r="633" spans="1:24" x14ac:dyDescent="0.3">
      <c r="A633">
        <v>38</v>
      </c>
      <c r="B633">
        <v>0</v>
      </c>
      <c r="C633">
        <v>3</v>
      </c>
      <c r="D633">
        <v>5</v>
      </c>
      <c r="E633">
        <v>3</v>
      </c>
      <c r="F633">
        <v>26.701168493825399</v>
      </c>
      <c r="G633">
        <v>95</v>
      </c>
      <c r="H633">
        <v>75</v>
      </c>
      <c r="I633">
        <v>20</v>
      </c>
      <c r="J633">
        <v>3</v>
      </c>
      <c r="K633">
        <v>0</v>
      </c>
      <c r="L633" t="str">
        <f t="shared" si="117"/>
        <v>C632</v>
      </c>
      <c r="M633" t="str">
        <f t="shared" si="118"/>
        <v>Male</v>
      </c>
      <c r="N633" t="str">
        <f t="shared" si="119"/>
        <v>Master's</v>
      </c>
      <c r="O633" t="str">
        <f t="shared" si="120"/>
        <v>Mid Level</v>
      </c>
      <c r="P633" t="str">
        <f t="shared" si="121"/>
        <v>Strong</v>
      </c>
      <c r="Q633" t="str">
        <f t="shared" si="122"/>
        <v>Advanced</v>
      </c>
      <c r="R633" t="str">
        <f t="shared" si="123"/>
        <v>Needs Improvement</v>
      </c>
      <c r="S633" t="str">
        <f t="shared" si="124"/>
        <v>Not Hired</v>
      </c>
      <c r="T633">
        <f t="shared" si="125"/>
        <v>64</v>
      </c>
      <c r="U633" t="str">
        <f t="shared" si="126"/>
        <v>Developing</v>
      </c>
      <c r="V633" t="str">
        <f t="shared" si="127"/>
        <v>Interview</v>
      </c>
      <c r="W633" t="str">
        <f t="shared" si="128"/>
        <v>Personality &amp; Communication</v>
      </c>
      <c r="X633" t="str">
        <f t="shared" si="129"/>
        <v>Work on communication and personality development</v>
      </c>
    </row>
    <row r="634" spans="1:24" x14ac:dyDescent="0.3">
      <c r="A634">
        <v>24</v>
      </c>
      <c r="B634">
        <v>0</v>
      </c>
      <c r="C634">
        <v>1</v>
      </c>
      <c r="D634">
        <v>13</v>
      </c>
      <c r="E634">
        <v>4</v>
      </c>
      <c r="F634">
        <v>31.287686526046699</v>
      </c>
      <c r="G634">
        <v>53</v>
      </c>
      <c r="H634">
        <v>68</v>
      </c>
      <c r="I634">
        <v>29</v>
      </c>
      <c r="J634">
        <v>2</v>
      </c>
      <c r="K634">
        <v>0</v>
      </c>
      <c r="L634" t="str">
        <f t="shared" si="117"/>
        <v>C633</v>
      </c>
      <c r="M634" t="str">
        <f t="shared" si="118"/>
        <v>Male</v>
      </c>
      <c r="N634" t="str">
        <f t="shared" si="119"/>
        <v>Bachelor's Type 1</v>
      </c>
      <c r="O634" t="str">
        <f t="shared" si="120"/>
        <v>Senior Level</v>
      </c>
      <c r="P634" t="str">
        <f t="shared" si="121"/>
        <v>Average</v>
      </c>
      <c r="Q634" t="str">
        <f t="shared" si="122"/>
        <v>Intermediate</v>
      </c>
      <c r="R634" t="str">
        <f t="shared" si="123"/>
        <v>Needs Improvement</v>
      </c>
      <c r="S634" t="str">
        <f t="shared" si="124"/>
        <v>Not Hired</v>
      </c>
      <c r="T634">
        <f t="shared" si="125"/>
        <v>58</v>
      </c>
      <c r="U634" t="str">
        <f t="shared" si="126"/>
        <v>Developing</v>
      </c>
      <c r="V634" t="str">
        <f t="shared" si="127"/>
        <v>Technical Skills</v>
      </c>
      <c r="W634" t="str">
        <f t="shared" si="128"/>
        <v>Personality &amp; Communication</v>
      </c>
      <c r="X634" t="str">
        <f t="shared" si="129"/>
        <v>Work on communication and personality development</v>
      </c>
    </row>
    <row r="635" spans="1:24" x14ac:dyDescent="0.3">
      <c r="A635">
        <v>41</v>
      </c>
      <c r="B635">
        <v>0</v>
      </c>
      <c r="C635">
        <v>2</v>
      </c>
      <c r="D635">
        <v>9</v>
      </c>
      <c r="E635">
        <v>2</v>
      </c>
      <c r="F635">
        <v>32.5940079623442</v>
      </c>
      <c r="G635">
        <v>39</v>
      </c>
      <c r="H635">
        <v>100</v>
      </c>
      <c r="I635">
        <v>91</v>
      </c>
      <c r="J635">
        <v>2</v>
      </c>
      <c r="K635">
        <v>0</v>
      </c>
      <c r="L635" t="str">
        <f t="shared" si="117"/>
        <v>C634</v>
      </c>
      <c r="M635" t="str">
        <f t="shared" si="118"/>
        <v>Male</v>
      </c>
      <c r="N635" t="str">
        <f t="shared" si="119"/>
        <v>Bachelor's Type 2</v>
      </c>
      <c r="O635" t="str">
        <f t="shared" si="120"/>
        <v>Senior Level</v>
      </c>
      <c r="P635" t="str">
        <f t="shared" si="121"/>
        <v>Low</v>
      </c>
      <c r="Q635" t="str">
        <f t="shared" si="122"/>
        <v>Advanced</v>
      </c>
      <c r="R635" t="str">
        <f t="shared" si="123"/>
        <v>Strong</v>
      </c>
      <c r="S635" t="str">
        <f t="shared" si="124"/>
        <v>Not Hired</v>
      </c>
      <c r="T635">
        <f t="shared" si="125"/>
        <v>71</v>
      </c>
      <c r="U635" t="str">
        <f t="shared" si="126"/>
        <v>Developing</v>
      </c>
      <c r="V635" t="str">
        <f t="shared" si="127"/>
        <v>Technical Skills</v>
      </c>
      <c r="W635" t="str">
        <f t="shared" si="128"/>
        <v>Interview Preparation</v>
      </c>
      <c r="X635" t="str">
        <f t="shared" si="129"/>
        <v>Improve interview preparation and communication</v>
      </c>
    </row>
    <row r="636" spans="1:24" x14ac:dyDescent="0.3">
      <c r="A636">
        <v>44</v>
      </c>
      <c r="B636">
        <v>1</v>
      </c>
      <c r="C636">
        <v>2</v>
      </c>
      <c r="D636">
        <v>11</v>
      </c>
      <c r="E636">
        <v>4</v>
      </c>
      <c r="F636">
        <v>27.352507824628098</v>
      </c>
      <c r="G636">
        <v>27</v>
      </c>
      <c r="H636">
        <v>30</v>
      </c>
      <c r="I636">
        <v>30</v>
      </c>
      <c r="J636">
        <v>2</v>
      </c>
      <c r="K636">
        <v>0</v>
      </c>
      <c r="L636" t="str">
        <f t="shared" si="117"/>
        <v>C635</v>
      </c>
      <c r="M636" t="str">
        <f t="shared" si="118"/>
        <v>Female</v>
      </c>
      <c r="N636" t="str">
        <f t="shared" si="119"/>
        <v>Bachelor's Type 2</v>
      </c>
      <c r="O636" t="str">
        <f t="shared" si="120"/>
        <v>Senior Level</v>
      </c>
      <c r="P636" t="str">
        <f t="shared" si="121"/>
        <v>Low</v>
      </c>
      <c r="Q636" t="str">
        <f t="shared" si="122"/>
        <v>Beginner</v>
      </c>
      <c r="R636" t="str">
        <f t="shared" si="123"/>
        <v>Needs Improvement</v>
      </c>
      <c r="S636" t="str">
        <f t="shared" si="124"/>
        <v>Not Hired</v>
      </c>
      <c r="T636">
        <f t="shared" si="125"/>
        <v>37</v>
      </c>
      <c r="U636" t="str">
        <f t="shared" si="126"/>
        <v>Needs Improvement</v>
      </c>
      <c r="V636" t="str">
        <f t="shared" si="127"/>
        <v>Technical Skills</v>
      </c>
      <c r="W636" t="str">
        <f t="shared" si="128"/>
        <v>Interview Preparation</v>
      </c>
      <c r="X636" t="str">
        <f t="shared" si="129"/>
        <v>Improve interview preparation and communication</v>
      </c>
    </row>
    <row r="637" spans="1:24" x14ac:dyDescent="0.3">
      <c r="A637">
        <v>48</v>
      </c>
      <c r="B637">
        <v>1</v>
      </c>
      <c r="C637">
        <v>2</v>
      </c>
      <c r="D637">
        <v>9</v>
      </c>
      <c r="E637">
        <v>3</v>
      </c>
      <c r="F637">
        <v>30.126688872036699</v>
      </c>
      <c r="G637">
        <v>36</v>
      </c>
      <c r="H637">
        <v>91</v>
      </c>
      <c r="I637">
        <v>25</v>
      </c>
      <c r="J637">
        <v>2</v>
      </c>
      <c r="K637">
        <v>0</v>
      </c>
      <c r="L637" t="str">
        <f t="shared" si="117"/>
        <v>C636</v>
      </c>
      <c r="M637" t="str">
        <f t="shared" si="118"/>
        <v>Female</v>
      </c>
      <c r="N637" t="str">
        <f t="shared" si="119"/>
        <v>Bachelor's Type 2</v>
      </c>
      <c r="O637" t="str">
        <f t="shared" si="120"/>
        <v>Senior Level</v>
      </c>
      <c r="P637" t="str">
        <f t="shared" si="121"/>
        <v>Low</v>
      </c>
      <c r="Q637" t="str">
        <f t="shared" si="122"/>
        <v>Advanced</v>
      </c>
      <c r="R637" t="str">
        <f t="shared" si="123"/>
        <v>Needs Improvement</v>
      </c>
      <c r="S637" t="str">
        <f t="shared" si="124"/>
        <v>Not Hired</v>
      </c>
      <c r="T637">
        <f t="shared" si="125"/>
        <v>55</v>
      </c>
      <c r="U637" t="str">
        <f t="shared" si="126"/>
        <v>Developing</v>
      </c>
      <c r="V637" t="str">
        <f t="shared" si="127"/>
        <v>Technical Skills</v>
      </c>
      <c r="W637" t="str">
        <f t="shared" si="128"/>
        <v>Personality &amp; Communication</v>
      </c>
      <c r="X637" t="str">
        <f t="shared" si="129"/>
        <v>Work on communication and personality development</v>
      </c>
    </row>
    <row r="638" spans="1:24" x14ac:dyDescent="0.3">
      <c r="A638">
        <v>33</v>
      </c>
      <c r="B638">
        <v>0</v>
      </c>
      <c r="C638">
        <v>3</v>
      </c>
      <c r="D638">
        <v>12</v>
      </c>
      <c r="E638">
        <v>3</v>
      </c>
      <c r="F638">
        <v>35.189410044493698</v>
      </c>
      <c r="G638">
        <v>64</v>
      </c>
      <c r="H638">
        <v>91</v>
      </c>
      <c r="I638">
        <v>21</v>
      </c>
      <c r="J638">
        <v>2</v>
      </c>
      <c r="K638">
        <v>0</v>
      </c>
      <c r="L638" t="str">
        <f t="shared" si="117"/>
        <v>C637</v>
      </c>
      <c r="M638" t="str">
        <f t="shared" si="118"/>
        <v>Male</v>
      </c>
      <c r="N638" t="str">
        <f t="shared" si="119"/>
        <v>Master's</v>
      </c>
      <c r="O638" t="str">
        <f t="shared" si="120"/>
        <v>Senior Level</v>
      </c>
      <c r="P638" t="str">
        <f t="shared" si="121"/>
        <v>Average</v>
      </c>
      <c r="Q638" t="str">
        <f t="shared" si="122"/>
        <v>Advanced</v>
      </c>
      <c r="R638" t="str">
        <f t="shared" si="123"/>
        <v>Needs Improvement</v>
      </c>
      <c r="S638" t="str">
        <f t="shared" si="124"/>
        <v>Not Hired</v>
      </c>
      <c r="T638">
        <f t="shared" si="125"/>
        <v>66</v>
      </c>
      <c r="U638" t="str">
        <f t="shared" si="126"/>
        <v>Developing</v>
      </c>
      <c r="V638" t="str">
        <f t="shared" si="127"/>
        <v>Technical Skills</v>
      </c>
      <c r="W638" t="str">
        <f t="shared" si="128"/>
        <v>Personality &amp; Communication</v>
      </c>
      <c r="X638" t="str">
        <f t="shared" si="129"/>
        <v>Work on communication and personality development</v>
      </c>
    </row>
    <row r="639" spans="1:24" x14ac:dyDescent="0.3">
      <c r="A639">
        <v>47</v>
      </c>
      <c r="B639">
        <v>1</v>
      </c>
      <c r="C639">
        <v>3</v>
      </c>
      <c r="D639">
        <v>12</v>
      </c>
      <c r="E639">
        <v>3</v>
      </c>
      <c r="F639">
        <v>38.655942358983701</v>
      </c>
      <c r="G639">
        <v>73</v>
      </c>
      <c r="H639">
        <v>29</v>
      </c>
      <c r="I639">
        <v>20</v>
      </c>
      <c r="J639">
        <v>2</v>
      </c>
      <c r="K639">
        <v>0</v>
      </c>
      <c r="L639" t="str">
        <f t="shared" si="117"/>
        <v>C638</v>
      </c>
      <c r="M639" t="str">
        <f t="shared" si="118"/>
        <v>Female</v>
      </c>
      <c r="N639" t="str">
        <f t="shared" si="119"/>
        <v>Master's</v>
      </c>
      <c r="O639" t="str">
        <f t="shared" si="120"/>
        <v>Senior Level</v>
      </c>
      <c r="P639" t="str">
        <f t="shared" si="121"/>
        <v>Average</v>
      </c>
      <c r="Q639" t="str">
        <f t="shared" si="122"/>
        <v>Beginner</v>
      </c>
      <c r="R639" t="str">
        <f t="shared" si="123"/>
        <v>Needs Improvement</v>
      </c>
      <c r="S639" t="str">
        <f t="shared" si="124"/>
        <v>Not Hired</v>
      </c>
      <c r="T639">
        <f t="shared" si="125"/>
        <v>50</v>
      </c>
      <c r="U639" t="str">
        <f t="shared" si="126"/>
        <v>Developing</v>
      </c>
      <c r="V639" t="str">
        <f t="shared" si="127"/>
        <v>Interview</v>
      </c>
      <c r="W639" t="str">
        <f t="shared" si="128"/>
        <v>Personality &amp; Communication</v>
      </c>
      <c r="X639" t="str">
        <f t="shared" si="129"/>
        <v>Work on communication and personality development</v>
      </c>
    </row>
    <row r="640" spans="1:24" x14ac:dyDescent="0.3">
      <c r="A640">
        <v>24</v>
      </c>
      <c r="B640">
        <v>0</v>
      </c>
      <c r="C640">
        <v>3</v>
      </c>
      <c r="D640">
        <v>10</v>
      </c>
      <c r="E640">
        <v>1</v>
      </c>
      <c r="F640">
        <v>37.372619564306</v>
      </c>
      <c r="G640">
        <v>54</v>
      </c>
      <c r="H640">
        <v>17</v>
      </c>
      <c r="I640">
        <v>0</v>
      </c>
      <c r="J640">
        <v>3</v>
      </c>
      <c r="K640">
        <v>0</v>
      </c>
      <c r="L640" t="str">
        <f t="shared" si="117"/>
        <v>C639</v>
      </c>
      <c r="M640" t="str">
        <f t="shared" si="118"/>
        <v>Male</v>
      </c>
      <c r="N640" t="str">
        <f t="shared" si="119"/>
        <v>Master's</v>
      </c>
      <c r="O640" t="str">
        <f t="shared" si="120"/>
        <v>Senior Level</v>
      </c>
      <c r="P640" t="str">
        <f t="shared" si="121"/>
        <v>Average</v>
      </c>
      <c r="Q640" t="str">
        <f t="shared" si="122"/>
        <v>Beginner</v>
      </c>
      <c r="R640" t="str">
        <f t="shared" si="123"/>
        <v>Needs Improvement</v>
      </c>
      <c r="S640" t="str">
        <f t="shared" si="124"/>
        <v>Not Hired</v>
      </c>
      <c r="T640">
        <f t="shared" si="125"/>
        <v>35</v>
      </c>
      <c r="U640" t="str">
        <f t="shared" si="126"/>
        <v>Needs Improvement</v>
      </c>
      <c r="V640" t="str">
        <f t="shared" si="127"/>
        <v>Interview</v>
      </c>
      <c r="W640" t="str">
        <f t="shared" si="128"/>
        <v>Personality &amp; Communication</v>
      </c>
      <c r="X640" t="str">
        <f t="shared" si="129"/>
        <v>Work on communication and personality development</v>
      </c>
    </row>
    <row r="641" spans="1:24" x14ac:dyDescent="0.3">
      <c r="A641">
        <v>34</v>
      </c>
      <c r="B641">
        <v>1</v>
      </c>
      <c r="C641">
        <v>2</v>
      </c>
      <c r="D641">
        <v>5</v>
      </c>
      <c r="E641">
        <v>2</v>
      </c>
      <c r="F641">
        <v>44.480822886612998</v>
      </c>
      <c r="G641">
        <v>3</v>
      </c>
      <c r="H641">
        <v>43</v>
      </c>
      <c r="I641">
        <v>36</v>
      </c>
      <c r="J641">
        <v>2</v>
      </c>
      <c r="K641">
        <v>0</v>
      </c>
      <c r="L641" t="str">
        <f t="shared" si="117"/>
        <v>C640</v>
      </c>
      <c r="M641" t="str">
        <f t="shared" si="118"/>
        <v>Female</v>
      </c>
      <c r="N641" t="str">
        <f t="shared" si="119"/>
        <v>Bachelor's Type 2</v>
      </c>
      <c r="O641" t="str">
        <f t="shared" si="120"/>
        <v>Mid Level</v>
      </c>
      <c r="P641" t="str">
        <f t="shared" si="121"/>
        <v>Low</v>
      </c>
      <c r="Q641" t="str">
        <f t="shared" si="122"/>
        <v>Beginner</v>
      </c>
      <c r="R641" t="str">
        <f t="shared" si="123"/>
        <v>Needs Improvement</v>
      </c>
      <c r="S641" t="str">
        <f t="shared" si="124"/>
        <v>Not Hired</v>
      </c>
      <c r="T641">
        <f t="shared" si="125"/>
        <v>29</v>
      </c>
      <c r="U641" t="str">
        <f t="shared" si="126"/>
        <v>Needs Improvement</v>
      </c>
      <c r="V641" t="str">
        <f t="shared" si="127"/>
        <v>Technical Skills</v>
      </c>
      <c r="W641" t="str">
        <f t="shared" si="128"/>
        <v>Interview Preparation</v>
      </c>
      <c r="X641" t="str">
        <f t="shared" si="129"/>
        <v>Improve interview preparation and communication</v>
      </c>
    </row>
    <row r="642" spans="1:24" x14ac:dyDescent="0.3">
      <c r="A642">
        <v>36</v>
      </c>
      <c r="B642">
        <v>0</v>
      </c>
      <c r="C642">
        <v>1</v>
      </c>
      <c r="D642">
        <v>15</v>
      </c>
      <c r="E642">
        <v>4</v>
      </c>
      <c r="F642">
        <v>10.472171658370099</v>
      </c>
      <c r="G642">
        <v>98</v>
      </c>
      <c r="H642">
        <v>26</v>
      </c>
      <c r="I642">
        <v>76</v>
      </c>
      <c r="J642">
        <v>3</v>
      </c>
      <c r="K642">
        <v>0</v>
      </c>
      <c r="L642" t="str">
        <f t="shared" si="117"/>
        <v>C641</v>
      </c>
      <c r="M642" t="str">
        <f t="shared" si="118"/>
        <v>Male</v>
      </c>
      <c r="N642" t="str">
        <f t="shared" si="119"/>
        <v>Bachelor's Type 1</v>
      </c>
      <c r="O642" t="str">
        <f t="shared" si="120"/>
        <v>Senior Level</v>
      </c>
      <c r="P642" t="str">
        <f t="shared" si="121"/>
        <v>Strong</v>
      </c>
      <c r="Q642" t="str">
        <f t="shared" si="122"/>
        <v>Beginner</v>
      </c>
      <c r="R642" t="str">
        <f t="shared" si="123"/>
        <v>Strong</v>
      </c>
      <c r="S642" t="str">
        <f t="shared" si="124"/>
        <v>Not Hired</v>
      </c>
      <c r="T642">
        <f t="shared" si="125"/>
        <v>70</v>
      </c>
      <c r="U642" t="str">
        <f t="shared" si="126"/>
        <v>Developing</v>
      </c>
      <c r="V642" t="str">
        <f t="shared" si="127"/>
        <v>Interview</v>
      </c>
      <c r="W642" t="str">
        <f t="shared" si="128"/>
        <v>Technical Skills</v>
      </c>
      <c r="X642" t="str">
        <f t="shared" si="129"/>
        <v>Strengthen technical skills and practical knowledge</v>
      </c>
    </row>
    <row r="643" spans="1:24" x14ac:dyDescent="0.3">
      <c r="A643">
        <v>49</v>
      </c>
      <c r="B643">
        <v>0</v>
      </c>
      <c r="C643">
        <v>3</v>
      </c>
      <c r="D643">
        <v>7</v>
      </c>
      <c r="E643">
        <v>4</v>
      </c>
      <c r="F643">
        <v>21.0573984745898</v>
      </c>
      <c r="G643">
        <v>9</v>
      </c>
      <c r="H643">
        <v>98</v>
      </c>
      <c r="I643">
        <v>84</v>
      </c>
      <c r="J643">
        <v>2</v>
      </c>
      <c r="K643">
        <v>1</v>
      </c>
      <c r="L643" t="str">
        <f t="shared" ref="L643:L706" si="130">"C"&amp;TEXT(ROW()-1,"000")</f>
        <v>C642</v>
      </c>
      <c r="M643" t="str">
        <f t="shared" ref="M643:M706" si="131">IF(B643=0,"Male","Female")</f>
        <v>Male</v>
      </c>
      <c r="N643" t="str">
        <f t="shared" ref="N643:N706" si="132">IF(C643=1,"Bachelor's Type 1",IF(C643=2,"Bachelor's Type 2",IF(C643=3,"Master's","PhD")))</f>
        <v>Master's</v>
      </c>
      <c r="O643" t="str">
        <f t="shared" ref="O643:O706" si="133">IF(D643&lt;=2,"Entry Level",IF(D643&lt;=6,"Mid Level","Senior Level"))</f>
        <v>Senior Level</v>
      </c>
      <c r="P643" t="str">
        <f t="shared" ref="P643:P706" si="134">IF(G643&lt;50,"Low",IF(G643&lt;75,"Average","Strong"))</f>
        <v>Low</v>
      </c>
      <c r="Q643" t="str">
        <f t="shared" ref="Q643:Q706" si="135">IF(H643&lt;50,"Beginner",IF(H643&lt;75,"Intermediate","Advanced"))</f>
        <v>Advanced</v>
      </c>
      <c r="R643" t="str">
        <f t="shared" ref="R643:R706" si="136">IF(I643&lt;50,"Needs Improvement",IF(I643&lt;75,"Good","Strong"))</f>
        <v>Strong</v>
      </c>
      <c r="S643" t="str">
        <f t="shared" ref="S643:S706" si="137">IF(K643=1,"Hired","Not Hired")</f>
        <v>Hired</v>
      </c>
      <c r="T643">
        <f t="shared" ref="T643:T706" si="138">ROUND((G643*30%)+(H643*30%)+(I643*20%)+((D643/15)*100*15%)+(IF(C643&lt;=2,50,IF(C643=3,75,100))*5%),0)</f>
        <v>60</v>
      </c>
      <c r="U643" t="str">
        <f t="shared" ref="U643:U706" si="139">IF(T643&lt;50,"Needs Improvement",IF(T643&lt;75,"Developing","Job Ready"))</f>
        <v>Developing</v>
      </c>
      <c r="V643" t="str">
        <f t="shared" ref="V643:V706" si="140">IF(AND(G643&gt;=H643,G643&gt;=I643),"Interview",IF(H643&gt;=I643,"Technical Skills","Personality"))</f>
        <v>Technical Skills</v>
      </c>
      <c r="W643" t="str">
        <f t="shared" ref="W643:W706" si="141">IF(AND(G643&lt;=H643,G643&lt;=I643),"Interview Preparation",IF(H643&lt;=I643,"Technical Skills","Personality &amp; Communication"))</f>
        <v>Interview Preparation</v>
      </c>
      <c r="X643" t="str">
        <f t="shared" ref="X643:X706" si="142">IF(W643="Interview Preparation","Improve interview preparation and communication",IF(W643="Technical Skills","Strengthen technical skills and practical knowledge","Work on communication and personality development"))</f>
        <v>Improve interview preparation and communication</v>
      </c>
    </row>
    <row r="644" spans="1:24" x14ac:dyDescent="0.3">
      <c r="A644">
        <v>33</v>
      </c>
      <c r="B644">
        <v>1</v>
      </c>
      <c r="C644">
        <v>1</v>
      </c>
      <c r="D644">
        <v>7</v>
      </c>
      <c r="E644">
        <v>5</v>
      </c>
      <c r="F644">
        <v>48.389803300722797</v>
      </c>
      <c r="G644">
        <v>46</v>
      </c>
      <c r="H644">
        <v>25</v>
      </c>
      <c r="I644">
        <v>45</v>
      </c>
      <c r="J644">
        <v>2</v>
      </c>
      <c r="K644">
        <v>0</v>
      </c>
      <c r="L644" t="str">
        <f t="shared" si="130"/>
        <v>C643</v>
      </c>
      <c r="M644" t="str">
        <f t="shared" si="131"/>
        <v>Female</v>
      </c>
      <c r="N644" t="str">
        <f t="shared" si="132"/>
        <v>Bachelor's Type 1</v>
      </c>
      <c r="O644" t="str">
        <f t="shared" si="133"/>
        <v>Senior Level</v>
      </c>
      <c r="P644" t="str">
        <f t="shared" si="134"/>
        <v>Low</v>
      </c>
      <c r="Q644" t="str">
        <f t="shared" si="135"/>
        <v>Beginner</v>
      </c>
      <c r="R644" t="str">
        <f t="shared" si="136"/>
        <v>Needs Improvement</v>
      </c>
      <c r="S644" t="str">
        <f t="shared" si="137"/>
        <v>Not Hired</v>
      </c>
      <c r="T644">
        <f t="shared" si="138"/>
        <v>40</v>
      </c>
      <c r="U644" t="str">
        <f t="shared" si="139"/>
        <v>Needs Improvement</v>
      </c>
      <c r="V644" t="str">
        <f t="shared" si="140"/>
        <v>Interview</v>
      </c>
      <c r="W644" t="str">
        <f t="shared" si="141"/>
        <v>Technical Skills</v>
      </c>
      <c r="X644" t="str">
        <f t="shared" si="142"/>
        <v>Strengthen technical skills and practical knowledge</v>
      </c>
    </row>
    <row r="645" spans="1:24" x14ac:dyDescent="0.3">
      <c r="A645">
        <v>49</v>
      </c>
      <c r="B645">
        <v>0</v>
      </c>
      <c r="C645">
        <v>2</v>
      </c>
      <c r="D645">
        <v>10</v>
      </c>
      <c r="E645">
        <v>3</v>
      </c>
      <c r="F645">
        <v>20.8295287193164</v>
      </c>
      <c r="G645">
        <v>74</v>
      </c>
      <c r="H645">
        <v>59</v>
      </c>
      <c r="I645">
        <v>8</v>
      </c>
      <c r="J645">
        <v>3</v>
      </c>
      <c r="K645">
        <v>0</v>
      </c>
      <c r="L645" t="str">
        <f t="shared" si="130"/>
        <v>C644</v>
      </c>
      <c r="M645" t="str">
        <f t="shared" si="131"/>
        <v>Male</v>
      </c>
      <c r="N645" t="str">
        <f t="shared" si="132"/>
        <v>Bachelor's Type 2</v>
      </c>
      <c r="O645" t="str">
        <f t="shared" si="133"/>
        <v>Senior Level</v>
      </c>
      <c r="P645" t="str">
        <f t="shared" si="134"/>
        <v>Average</v>
      </c>
      <c r="Q645" t="str">
        <f t="shared" si="135"/>
        <v>Intermediate</v>
      </c>
      <c r="R645" t="str">
        <f t="shared" si="136"/>
        <v>Needs Improvement</v>
      </c>
      <c r="S645" t="str">
        <f t="shared" si="137"/>
        <v>Not Hired</v>
      </c>
      <c r="T645">
        <f t="shared" si="138"/>
        <v>54</v>
      </c>
      <c r="U645" t="str">
        <f t="shared" si="139"/>
        <v>Developing</v>
      </c>
      <c r="V645" t="str">
        <f t="shared" si="140"/>
        <v>Interview</v>
      </c>
      <c r="W645" t="str">
        <f t="shared" si="141"/>
        <v>Personality &amp; Communication</v>
      </c>
      <c r="X645" t="str">
        <f t="shared" si="142"/>
        <v>Work on communication and personality development</v>
      </c>
    </row>
    <row r="646" spans="1:24" x14ac:dyDescent="0.3">
      <c r="A646">
        <v>39</v>
      </c>
      <c r="B646">
        <v>1</v>
      </c>
      <c r="C646">
        <v>1</v>
      </c>
      <c r="D646">
        <v>8</v>
      </c>
      <c r="E646">
        <v>3</v>
      </c>
      <c r="F646">
        <v>7.2435038452961296</v>
      </c>
      <c r="G646">
        <v>13</v>
      </c>
      <c r="H646">
        <v>17</v>
      </c>
      <c r="I646">
        <v>16</v>
      </c>
      <c r="J646">
        <v>1</v>
      </c>
      <c r="K646">
        <v>0</v>
      </c>
      <c r="L646" t="str">
        <f t="shared" si="130"/>
        <v>C645</v>
      </c>
      <c r="M646" t="str">
        <f t="shared" si="131"/>
        <v>Female</v>
      </c>
      <c r="N646" t="str">
        <f t="shared" si="132"/>
        <v>Bachelor's Type 1</v>
      </c>
      <c r="O646" t="str">
        <f t="shared" si="133"/>
        <v>Senior Level</v>
      </c>
      <c r="P646" t="str">
        <f t="shared" si="134"/>
        <v>Low</v>
      </c>
      <c r="Q646" t="str">
        <f t="shared" si="135"/>
        <v>Beginner</v>
      </c>
      <c r="R646" t="str">
        <f t="shared" si="136"/>
        <v>Needs Improvement</v>
      </c>
      <c r="S646" t="str">
        <f t="shared" si="137"/>
        <v>Not Hired</v>
      </c>
      <c r="T646">
        <f t="shared" si="138"/>
        <v>23</v>
      </c>
      <c r="U646" t="str">
        <f t="shared" si="139"/>
        <v>Needs Improvement</v>
      </c>
      <c r="V646" t="str">
        <f t="shared" si="140"/>
        <v>Technical Skills</v>
      </c>
      <c r="W646" t="str">
        <f t="shared" si="141"/>
        <v>Interview Preparation</v>
      </c>
      <c r="X646" t="str">
        <f t="shared" si="142"/>
        <v>Improve interview preparation and communication</v>
      </c>
    </row>
    <row r="647" spans="1:24" x14ac:dyDescent="0.3">
      <c r="A647">
        <v>24</v>
      </c>
      <c r="B647">
        <v>1</v>
      </c>
      <c r="C647">
        <v>2</v>
      </c>
      <c r="D647">
        <v>7</v>
      </c>
      <c r="E647">
        <v>3</v>
      </c>
      <c r="F647">
        <v>27.272256318108901</v>
      </c>
      <c r="G647">
        <v>37</v>
      </c>
      <c r="H647">
        <v>96</v>
      </c>
      <c r="I647">
        <v>46</v>
      </c>
      <c r="J647">
        <v>2</v>
      </c>
      <c r="K647">
        <v>0</v>
      </c>
      <c r="L647" t="str">
        <f t="shared" si="130"/>
        <v>C646</v>
      </c>
      <c r="M647" t="str">
        <f t="shared" si="131"/>
        <v>Female</v>
      </c>
      <c r="N647" t="str">
        <f t="shared" si="132"/>
        <v>Bachelor's Type 2</v>
      </c>
      <c r="O647" t="str">
        <f t="shared" si="133"/>
        <v>Senior Level</v>
      </c>
      <c r="P647" t="str">
        <f t="shared" si="134"/>
        <v>Low</v>
      </c>
      <c r="Q647" t="str">
        <f t="shared" si="135"/>
        <v>Advanced</v>
      </c>
      <c r="R647" t="str">
        <f t="shared" si="136"/>
        <v>Needs Improvement</v>
      </c>
      <c r="S647" t="str">
        <f t="shared" si="137"/>
        <v>Not Hired</v>
      </c>
      <c r="T647">
        <f t="shared" si="138"/>
        <v>59</v>
      </c>
      <c r="U647" t="str">
        <f t="shared" si="139"/>
        <v>Developing</v>
      </c>
      <c r="V647" t="str">
        <f t="shared" si="140"/>
        <v>Technical Skills</v>
      </c>
      <c r="W647" t="str">
        <f t="shared" si="141"/>
        <v>Interview Preparation</v>
      </c>
      <c r="X647" t="str">
        <f t="shared" si="142"/>
        <v>Improve interview preparation and communication</v>
      </c>
    </row>
    <row r="648" spans="1:24" x14ac:dyDescent="0.3">
      <c r="A648">
        <v>31</v>
      </c>
      <c r="B648">
        <v>0</v>
      </c>
      <c r="C648">
        <v>1</v>
      </c>
      <c r="D648">
        <v>12</v>
      </c>
      <c r="E648">
        <v>4</v>
      </c>
      <c r="F648">
        <v>6.4745486277230997</v>
      </c>
      <c r="G648">
        <v>11</v>
      </c>
      <c r="H648">
        <v>88</v>
      </c>
      <c r="I648">
        <v>84</v>
      </c>
      <c r="J648">
        <v>2</v>
      </c>
      <c r="K648">
        <v>0</v>
      </c>
      <c r="L648" t="str">
        <f t="shared" si="130"/>
        <v>C647</v>
      </c>
      <c r="M648" t="str">
        <f t="shared" si="131"/>
        <v>Male</v>
      </c>
      <c r="N648" t="str">
        <f t="shared" si="132"/>
        <v>Bachelor's Type 1</v>
      </c>
      <c r="O648" t="str">
        <f t="shared" si="133"/>
        <v>Senior Level</v>
      </c>
      <c r="P648" t="str">
        <f t="shared" si="134"/>
        <v>Low</v>
      </c>
      <c r="Q648" t="str">
        <f t="shared" si="135"/>
        <v>Advanced</v>
      </c>
      <c r="R648" t="str">
        <f t="shared" si="136"/>
        <v>Strong</v>
      </c>
      <c r="S648" t="str">
        <f t="shared" si="137"/>
        <v>Not Hired</v>
      </c>
      <c r="T648">
        <f t="shared" si="138"/>
        <v>61</v>
      </c>
      <c r="U648" t="str">
        <f t="shared" si="139"/>
        <v>Developing</v>
      </c>
      <c r="V648" t="str">
        <f t="shared" si="140"/>
        <v>Technical Skills</v>
      </c>
      <c r="W648" t="str">
        <f t="shared" si="141"/>
        <v>Interview Preparation</v>
      </c>
      <c r="X648" t="str">
        <f t="shared" si="142"/>
        <v>Improve interview preparation and communication</v>
      </c>
    </row>
    <row r="649" spans="1:24" x14ac:dyDescent="0.3">
      <c r="A649">
        <v>35</v>
      </c>
      <c r="B649">
        <v>0</v>
      </c>
      <c r="C649">
        <v>2</v>
      </c>
      <c r="D649">
        <v>10</v>
      </c>
      <c r="E649">
        <v>5</v>
      </c>
      <c r="F649">
        <v>11.1426619363932</v>
      </c>
      <c r="G649">
        <v>44</v>
      </c>
      <c r="H649">
        <v>55</v>
      </c>
      <c r="I649">
        <v>94</v>
      </c>
      <c r="J649">
        <v>2</v>
      </c>
      <c r="K649">
        <v>0</v>
      </c>
      <c r="L649" t="str">
        <f t="shared" si="130"/>
        <v>C648</v>
      </c>
      <c r="M649" t="str">
        <f t="shared" si="131"/>
        <v>Male</v>
      </c>
      <c r="N649" t="str">
        <f t="shared" si="132"/>
        <v>Bachelor's Type 2</v>
      </c>
      <c r="O649" t="str">
        <f t="shared" si="133"/>
        <v>Senior Level</v>
      </c>
      <c r="P649" t="str">
        <f t="shared" si="134"/>
        <v>Low</v>
      </c>
      <c r="Q649" t="str">
        <f t="shared" si="135"/>
        <v>Intermediate</v>
      </c>
      <c r="R649" t="str">
        <f t="shared" si="136"/>
        <v>Strong</v>
      </c>
      <c r="S649" t="str">
        <f t="shared" si="137"/>
        <v>Not Hired</v>
      </c>
      <c r="T649">
        <f t="shared" si="138"/>
        <v>61</v>
      </c>
      <c r="U649" t="str">
        <f t="shared" si="139"/>
        <v>Developing</v>
      </c>
      <c r="V649" t="str">
        <f t="shared" si="140"/>
        <v>Personality</v>
      </c>
      <c r="W649" t="str">
        <f t="shared" si="141"/>
        <v>Interview Preparation</v>
      </c>
      <c r="X649" t="str">
        <f t="shared" si="142"/>
        <v>Improve interview preparation and communication</v>
      </c>
    </row>
    <row r="650" spans="1:24" x14ac:dyDescent="0.3">
      <c r="A650">
        <v>45</v>
      </c>
      <c r="B650">
        <v>1</v>
      </c>
      <c r="C650">
        <v>4</v>
      </c>
      <c r="D650">
        <v>1</v>
      </c>
      <c r="E650">
        <v>1</v>
      </c>
      <c r="F650">
        <v>50.915937828547797</v>
      </c>
      <c r="G650">
        <v>16</v>
      </c>
      <c r="H650">
        <v>30</v>
      </c>
      <c r="I650">
        <v>58</v>
      </c>
      <c r="J650">
        <v>1</v>
      </c>
      <c r="K650">
        <v>0</v>
      </c>
      <c r="L650" t="str">
        <f t="shared" si="130"/>
        <v>C649</v>
      </c>
      <c r="M650" t="str">
        <f t="shared" si="131"/>
        <v>Female</v>
      </c>
      <c r="N650" t="str">
        <f t="shared" si="132"/>
        <v>PhD</v>
      </c>
      <c r="O650" t="str">
        <f t="shared" si="133"/>
        <v>Entry Level</v>
      </c>
      <c r="P650" t="str">
        <f t="shared" si="134"/>
        <v>Low</v>
      </c>
      <c r="Q650" t="str">
        <f t="shared" si="135"/>
        <v>Beginner</v>
      </c>
      <c r="R650" t="str">
        <f t="shared" si="136"/>
        <v>Good</v>
      </c>
      <c r="S650" t="str">
        <f t="shared" si="137"/>
        <v>Not Hired</v>
      </c>
      <c r="T650">
        <f t="shared" si="138"/>
        <v>31</v>
      </c>
      <c r="U650" t="str">
        <f t="shared" si="139"/>
        <v>Needs Improvement</v>
      </c>
      <c r="V650" t="str">
        <f t="shared" si="140"/>
        <v>Personality</v>
      </c>
      <c r="W650" t="str">
        <f t="shared" si="141"/>
        <v>Interview Preparation</v>
      </c>
      <c r="X650" t="str">
        <f t="shared" si="142"/>
        <v>Improve interview preparation and communication</v>
      </c>
    </row>
    <row r="651" spans="1:24" x14ac:dyDescent="0.3">
      <c r="A651">
        <v>45</v>
      </c>
      <c r="B651">
        <v>0</v>
      </c>
      <c r="C651">
        <v>1</v>
      </c>
      <c r="D651">
        <v>13</v>
      </c>
      <c r="E651">
        <v>2</v>
      </c>
      <c r="F651">
        <v>28.0681319198066</v>
      </c>
      <c r="G651">
        <v>79</v>
      </c>
      <c r="H651">
        <v>100</v>
      </c>
      <c r="I651">
        <v>53</v>
      </c>
      <c r="J651">
        <v>2</v>
      </c>
      <c r="K651">
        <v>0</v>
      </c>
      <c r="L651" t="str">
        <f t="shared" si="130"/>
        <v>C650</v>
      </c>
      <c r="M651" t="str">
        <f t="shared" si="131"/>
        <v>Male</v>
      </c>
      <c r="N651" t="str">
        <f t="shared" si="132"/>
        <v>Bachelor's Type 1</v>
      </c>
      <c r="O651" t="str">
        <f t="shared" si="133"/>
        <v>Senior Level</v>
      </c>
      <c r="P651" t="str">
        <f t="shared" si="134"/>
        <v>Strong</v>
      </c>
      <c r="Q651" t="str">
        <f t="shared" si="135"/>
        <v>Advanced</v>
      </c>
      <c r="R651" t="str">
        <f t="shared" si="136"/>
        <v>Good</v>
      </c>
      <c r="S651" t="str">
        <f t="shared" si="137"/>
        <v>Not Hired</v>
      </c>
      <c r="T651">
        <f t="shared" si="138"/>
        <v>80</v>
      </c>
      <c r="U651" t="str">
        <f t="shared" si="139"/>
        <v>Job Ready</v>
      </c>
      <c r="V651" t="str">
        <f t="shared" si="140"/>
        <v>Technical Skills</v>
      </c>
      <c r="W651" t="str">
        <f t="shared" si="141"/>
        <v>Personality &amp; Communication</v>
      </c>
      <c r="X651" t="str">
        <f t="shared" si="142"/>
        <v>Work on communication and personality development</v>
      </c>
    </row>
    <row r="652" spans="1:24" x14ac:dyDescent="0.3">
      <c r="A652">
        <v>35</v>
      </c>
      <c r="B652">
        <v>0</v>
      </c>
      <c r="C652">
        <v>1</v>
      </c>
      <c r="D652">
        <v>13</v>
      </c>
      <c r="E652">
        <v>1</v>
      </c>
      <c r="F652">
        <v>15.202919452021399</v>
      </c>
      <c r="G652">
        <v>34</v>
      </c>
      <c r="H652">
        <v>58</v>
      </c>
      <c r="I652">
        <v>85</v>
      </c>
      <c r="J652">
        <v>2</v>
      </c>
      <c r="K652">
        <v>0</v>
      </c>
      <c r="L652" t="str">
        <f t="shared" si="130"/>
        <v>C651</v>
      </c>
      <c r="M652" t="str">
        <f t="shared" si="131"/>
        <v>Male</v>
      </c>
      <c r="N652" t="str">
        <f t="shared" si="132"/>
        <v>Bachelor's Type 1</v>
      </c>
      <c r="O652" t="str">
        <f t="shared" si="133"/>
        <v>Senior Level</v>
      </c>
      <c r="P652" t="str">
        <f t="shared" si="134"/>
        <v>Low</v>
      </c>
      <c r="Q652" t="str">
        <f t="shared" si="135"/>
        <v>Intermediate</v>
      </c>
      <c r="R652" t="str">
        <f t="shared" si="136"/>
        <v>Strong</v>
      </c>
      <c r="S652" t="str">
        <f t="shared" si="137"/>
        <v>Not Hired</v>
      </c>
      <c r="T652">
        <f t="shared" si="138"/>
        <v>60</v>
      </c>
      <c r="U652" t="str">
        <f t="shared" si="139"/>
        <v>Developing</v>
      </c>
      <c r="V652" t="str">
        <f t="shared" si="140"/>
        <v>Personality</v>
      </c>
      <c r="W652" t="str">
        <f t="shared" si="141"/>
        <v>Interview Preparation</v>
      </c>
      <c r="X652" t="str">
        <f t="shared" si="142"/>
        <v>Improve interview preparation and communication</v>
      </c>
    </row>
    <row r="653" spans="1:24" x14ac:dyDescent="0.3">
      <c r="A653">
        <v>40</v>
      </c>
      <c r="B653">
        <v>0</v>
      </c>
      <c r="C653">
        <v>2</v>
      </c>
      <c r="D653">
        <v>11</v>
      </c>
      <c r="E653">
        <v>4</v>
      </c>
      <c r="F653">
        <v>50.738747728695301</v>
      </c>
      <c r="G653">
        <v>65</v>
      </c>
      <c r="H653">
        <v>1</v>
      </c>
      <c r="I653">
        <v>11</v>
      </c>
      <c r="J653">
        <v>2</v>
      </c>
      <c r="K653">
        <v>0</v>
      </c>
      <c r="L653" t="str">
        <f t="shared" si="130"/>
        <v>C652</v>
      </c>
      <c r="M653" t="str">
        <f t="shared" si="131"/>
        <v>Male</v>
      </c>
      <c r="N653" t="str">
        <f t="shared" si="132"/>
        <v>Bachelor's Type 2</v>
      </c>
      <c r="O653" t="str">
        <f t="shared" si="133"/>
        <v>Senior Level</v>
      </c>
      <c r="P653" t="str">
        <f t="shared" si="134"/>
        <v>Average</v>
      </c>
      <c r="Q653" t="str">
        <f t="shared" si="135"/>
        <v>Beginner</v>
      </c>
      <c r="R653" t="str">
        <f t="shared" si="136"/>
        <v>Needs Improvement</v>
      </c>
      <c r="S653" t="str">
        <f t="shared" si="137"/>
        <v>Not Hired</v>
      </c>
      <c r="T653">
        <f t="shared" si="138"/>
        <v>36</v>
      </c>
      <c r="U653" t="str">
        <f t="shared" si="139"/>
        <v>Needs Improvement</v>
      </c>
      <c r="V653" t="str">
        <f t="shared" si="140"/>
        <v>Interview</v>
      </c>
      <c r="W653" t="str">
        <f t="shared" si="141"/>
        <v>Technical Skills</v>
      </c>
      <c r="X653" t="str">
        <f t="shared" si="142"/>
        <v>Strengthen technical skills and practical knowledge</v>
      </c>
    </row>
    <row r="654" spans="1:24" x14ac:dyDescent="0.3">
      <c r="A654">
        <v>26</v>
      </c>
      <c r="B654">
        <v>0</v>
      </c>
      <c r="C654">
        <v>3</v>
      </c>
      <c r="D654">
        <v>9</v>
      </c>
      <c r="E654">
        <v>3</v>
      </c>
      <c r="F654">
        <v>49.327945927757099</v>
      </c>
      <c r="G654">
        <v>74</v>
      </c>
      <c r="H654">
        <v>96</v>
      </c>
      <c r="I654">
        <v>63</v>
      </c>
      <c r="J654">
        <v>3</v>
      </c>
      <c r="K654">
        <v>1</v>
      </c>
      <c r="L654" t="str">
        <f t="shared" si="130"/>
        <v>C653</v>
      </c>
      <c r="M654" t="str">
        <f t="shared" si="131"/>
        <v>Male</v>
      </c>
      <c r="N654" t="str">
        <f t="shared" si="132"/>
        <v>Master's</v>
      </c>
      <c r="O654" t="str">
        <f t="shared" si="133"/>
        <v>Senior Level</v>
      </c>
      <c r="P654" t="str">
        <f t="shared" si="134"/>
        <v>Average</v>
      </c>
      <c r="Q654" t="str">
        <f t="shared" si="135"/>
        <v>Advanced</v>
      </c>
      <c r="R654" t="str">
        <f t="shared" si="136"/>
        <v>Good</v>
      </c>
      <c r="S654" t="str">
        <f t="shared" si="137"/>
        <v>Hired</v>
      </c>
      <c r="T654">
        <f t="shared" si="138"/>
        <v>76</v>
      </c>
      <c r="U654" t="str">
        <f t="shared" si="139"/>
        <v>Job Ready</v>
      </c>
      <c r="V654" t="str">
        <f t="shared" si="140"/>
        <v>Technical Skills</v>
      </c>
      <c r="W654" t="str">
        <f t="shared" si="141"/>
        <v>Personality &amp; Communication</v>
      </c>
      <c r="X654" t="str">
        <f t="shared" si="142"/>
        <v>Work on communication and personality development</v>
      </c>
    </row>
    <row r="655" spans="1:24" x14ac:dyDescent="0.3">
      <c r="A655">
        <v>23</v>
      </c>
      <c r="B655">
        <v>0</v>
      </c>
      <c r="C655">
        <v>2</v>
      </c>
      <c r="D655">
        <v>11</v>
      </c>
      <c r="E655">
        <v>2</v>
      </c>
      <c r="F655">
        <v>23.036952054213099</v>
      </c>
      <c r="G655">
        <v>40</v>
      </c>
      <c r="H655">
        <v>38</v>
      </c>
      <c r="I655">
        <v>5</v>
      </c>
      <c r="J655">
        <v>3</v>
      </c>
      <c r="K655">
        <v>0</v>
      </c>
      <c r="L655" t="str">
        <f t="shared" si="130"/>
        <v>C654</v>
      </c>
      <c r="M655" t="str">
        <f t="shared" si="131"/>
        <v>Male</v>
      </c>
      <c r="N655" t="str">
        <f t="shared" si="132"/>
        <v>Bachelor's Type 2</v>
      </c>
      <c r="O655" t="str">
        <f t="shared" si="133"/>
        <v>Senior Level</v>
      </c>
      <c r="P655" t="str">
        <f t="shared" si="134"/>
        <v>Low</v>
      </c>
      <c r="Q655" t="str">
        <f t="shared" si="135"/>
        <v>Beginner</v>
      </c>
      <c r="R655" t="str">
        <f t="shared" si="136"/>
        <v>Needs Improvement</v>
      </c>
      <c r="S655" t="str">
        <f t="shared" si="137"/>
        <v>Not Hired</v>
      </c>
      <c r="T655">
        <f t="shared" si="138"/>
        <v>38</v>
      </c>
      <c r="U655" t="str">
        <f t="shared" si="139"/>
        <v>Needs Improvement</v>
      </c>
      <c r="V655" t="str">
        <f t="shared" si="140"/>
        <v>Interview</v>
      </c>
      <c r="W655" t="str">
        <f t="shared" si="141"/>
        <v>Personality &amp; Communication</v>
      </c>
      <c r="X655" t="str">
        <f t="shared" si="142"/>
        <v>Work on communication and personality development</v>
      </c>
    </row>
    <row r="656" spans="1:24" x14ac:dyDescent="0.3">
      <c r="A656">
        <v>20</v>
      </c>
      <c r="B656">
        <v>1</v>
      </c>
      <c r="C656">
        <v>2</v>
      </c>
      <c r="D656">
        <v>10</v>
      </c>
      <c r="E656">
        <v>4</v>
      </c>
      <c r="F656">
        <v>14.020155439395401</v>
      </c>
      <c r="G656">
        <v>66</v>
      </c>
      <c r="H656">
        <v>60</v>
      </c>
      <c r="I656">
        <v>52</v>
      </c>
      <c r="J656">
        <v>2</v>
      </c>
      <c r="K656">
        <v>0</v>
      </c>
      <c r="L656" t="str">
        <f t="shared" si="130"/>
        <v>C655</v>
      </c>
      <c r="M656" t="str">
        <f t="shared" si="131"/>
        <v>Female</v>
      </c>
      <c r="N656" t="str">
        <f t="shared" si="132"/>
        <v>Bachelor's Type 2</v>
      </c>
      <c r="O656" t="str">
        <f t="shared" si="133"/>
        <v>Senior Level</v>
      </c>
      <c r="P656" t="str">
        <f t="shared" si="134"/>
        <v>Average</v>
      </c>
      <c r="Q656" t="str">
        <f t="shared" si="135"/>
        <v>Intermediate</v>
      </c>
      <c r="R656" t="str">
        <f t="shared" si="136"/>
        <v>Good</v>
      </c>
      <c r="S656" t="str">
        <f t="shared" si="137"/>
        <v>Not Hired</v>
      </c>
      <c r="T656">
        <f t="shared" si="138"/>
        <v>61</v>
      </c>
      <c r="U656" t="str">
        <f t="shared" si="139"/>
        <v>Developing</v>
      </c>
      <c r="V656" t="str">
        <f t="shared" si="140"/>
        <v>Interview</v>
      </c>
      <c r="W656" t="str">
        <f t="shared" si="141"/>
        <v>Personality &amp; Communication</v>
      </c>
      <c r="X656" t="str">
        <f t="shared" si="142"/>
        <v>Work on communication and personality development</v>
      </c>
    </row>
    <row r="657" spans="1:24" x14ac:dyDescent="0.3">
      <c r="A657">
        <v>49</v>
      </c>
      <c r="B657">
        <v>1</v>
      </c>
      <c r="C657">
        <v>1</v>
      </c>
      <c r="D657">
        <v>14</v>
      </c>
      <c r="E657">
        <v>4</v>
      </c>
      <c r="F657">
        <v>42.9199819046095</v>
      </c>
      <c r="G657">
        <v>28</v>
      </c>
      <c r="H657">
        <v>62</v>
      </c>
      <c r="I657">
        <v>15</v>
      </c>
      <c r="J657">
        <v>3</v>
      </c>
      <c r="K657">
        <v>0</v>
      </c>
      <c r="L657" t="str">
        <f t="shared" si="130"/>
        <v>C656</v>
      </c>
      <c r="M657" t="str">
        <f t="shared" si="131"/>
        <v>Female</v>
      </c>
      <c r="N657" t="str">
        <f t="shared" si="132"/>
        <v>Bachelor's Type 1</v>
      </c>
      <c r="O657" t="str">
        <f t="shared" si="133"/>
        <v>Senior Level</v>
      </c>
      <c r="P657" t="str">
        <f t="shared" si="134"/>
        <v>Low</v>
      </c>
      <c r="Q657" t="str">
        <f t="shared" si="135"/>
        <v>Intermediate</v>
      </c>
      <c r="R657" t="str">
        <f t="shared" si="136"/>
        <v>Needs Improvement</v>
      </c>
      <c r="S657" t="str">
        <f t="shared" si="137"/>
        <v>Not Hired</v>
      </c>
      <c r="T657">
        <f t="shared" si="138"/>
        <v>47</v>
      </c>
      <c r="U657" t="str">
        <f t="shared" si="139"/>
        <v>Needs Improvement</v>
      </c>
      <c r="V657" t="str">
        <f t="shared" si="140"/>
        <v>Technical Skills</v>
      </c>
      <c r="W657" t="str">
        <f t="shared" si="141"/>
        <v>Personality &amp; Communication</v>
      </c>
      <c r="X657" t="str">
        <f t="shared" si="142"/>
        <v>Work on communication and personality development</v>
      </c>
    </row>
    <row r="658" spans="1:24" x14ac:dyDescent="0.3">
      <c r="A658">
        <v>49</v>
      </c>
      <c r="B658">
        <v>0</v>
      </c>
      <c r="C658">
        <v>3</v>
      </c>
      <c r="D658">
        <v>15</v>
      </c>
      <c r="E658">
        <v>4</v>
      </c>
      <c r="F658">
        <v>36.781035848589198</v>
      </c>
      <c r="G658">
        <v>17</v>
      </c>
      <c r="H658">
        <v>95</v>
      </c>
      <c r="I658">
        <v>89</v>
      </c>
      <c r="J658">
        <v>2</v>
      </c>
      <c r="K658">
        <v>1</v>
      </c>
      <c r="L658" t="str">
        <f t="shared" si="130"/>
        <v>C657</v>
      </c>
      <c r="M658" t="str">
        <f t="shared" si="131"/>
        <v>Male</v>
      </c>
      <c r="N658" t="str">
        <f t="shared" si="132"/>
        <v>Master's</v>
      </c>
      <c r="O658" t="str">
        <f t="shared" si="133"/>
        <v>Senior Level</v>
      </c>
      <c r="P658" t="str">
        <f t="shared" si="134"/>
        <v>Low</v>
      </c>
      <c r="Q658" t="str">
        <f t="shared" si="135"/>
        <v>Advanced</v>
      </c>
      <c r="R658" t="str">
        <f t="shared" si="136"/>
        <v>Strong</v>
      </c>
      <c r="S658" t="str">
        <f t="shared" si="137"/>
        <v>Hired</v>
      </c>
      <c r="T658">
        <f t="shared" si="138"/>
        <v>70</v>
      </c>
      <c r="U658" t="str">
        <f t="shared" si="139"/>
        <v>Developing</v>
      </c>
      <c r="V658" t="str">
        <f t="shared" si="140"/>
        <v>Technical Skills</v>
      </c>
      <c r="W658" t="str">
        <f t="shared" si="141"/>
        <v>Interview Preparation</v>
      </c>
      <c r="X658" t="str">
        <f t="shared" si="142"/>
        <v>Improve interview preparation and communication</v>
      </c>
    </row>
    <row r="659" spans="1:24" x14ac:dyDescent="0.3">
      <c r="A659">
        <v>24</v>
      </c>
      <c r="B659">
        <v>0</v>
      </c>
      <c r="C659">
        <v>2</v>
      </c>
      <c r="D659">
        <v>0</v>
      </c>
      <c r="E659">
        <v>2</v>
      </c>
      <c r="F659">
        <v>35.347071750175502</v>
      </c>
      <c r="G659">
        <v>19</v>
      </c>
      <c r="H659">
        <v>17</v>
      </c>
      <c r="I659">
        <v>4</v>
      </c>
      <c r="J659">
        <v>2</v>
      </c>
      <c r="K659">
        <v>0</v>
      </c>
      <c r="L659" t="str">
        <f t="shared" si="130"/>
        <v>C658</v>
      </c>
      <c r="M659" t="str">
        <f t="shared" si="131"/>
        <v>Male</v>
      </c>
      <c r="N659" t="str">
        <f t="shared" si="132"/>
        <v>Bachelor's Type 2</v>
      </c>
      <c r="O659" t="str">
        <f t="shared" si="133"/>
        <v>Entry Level</v>
      </c>
      <c r="P659" t="str">
        <f t="shared" si="134"/>
        <v>Low</v>
      </c>
      <c r="Q659" t="str">
        <f t="shared" si="135"/>
        <v>Beginner</v>
      </c>
      <c r="R659" t="str">
        <f t="shared" si="136"/>
        <v>Needs Improvement</v>
      </c>
      <c r="S659" t="str">
        <f t="shared" si="137"/>
        <v>Not Hired</v>
      </c>
      <c r="T659">
        <f t="shared" si="138"/>
        <v>14</v>
      </c>
      <c r="U659" t="str">
        <f t="shared" si="139"/>
        <v>Needs Improvement</v>
      </c>
      <c r="V659" t="str">
        <f t="shared" si="140"/>
        <v>Interview</v>
      </c>
      <c r="W659" t="str">
        <f t="shared" si="141"/>
        <v>Personality &amp; Communication</v>
      </c>
      <c r="X659" t="str">
        <f t="shared" si="142"/>
        <v>Work on communication and personality development</v>
      </c>
    </row>
    <row r="660" spans="1:24" x14ac:dyDescent="0.3">
      <c r="A660">
        <v>42</v>
      </c>
      <c r="B660">
        <v>0</v>
      </c>
      <c r="C660">
        <v>3</v>
      </c>
      <c r="D660">
        <v>9</v>
      </c>
      <c r="E660">
        <v>2</v>
      </c>
      <c r="F660">
        <v>45.655687066123598</v>
      </c>
      <c r="G660">
        <v>13</v>
      </c>
      <c r="H660">
        <v>16</v>
      </c>
      <c r="I660">
        <v>72</v>
      </c>
      <c r="J660">
        <v>2</v>
      </c>
      <c r="K660">
        <v>0</v>
      </c>
      <c r="L660" t="str">
        <f t="shared" si="130"/>
        <v>C659</v>
      </c>
      <c r="M660" t="str">
        <f t="shared" si="131"/>
        <v>Male</v>
      </c>
      <c r="N660" t="str">
        <f t="shared" si="132"/>
        <v>Master's</v>
      </c>
      <c r="O660" t="str">
        <f t="shared" si="133"/>
        <v>Senior Level</v>
      </c>
      <c r="P660" t="str">
        <f t="shared" si="134"/>
        <v>Low</v>
      </c>
      <c r="Q660" t="str">
        <f t="shared" si="135"/>
        <v>Beginner</v>
      </c>
      <c r="R660" t="str">
        <f t="shared" si="136"/>
        <v>Good</v>
      </c>
      <c r="S660" t="str">
        <f t="shared" si="137"/>
        <v>Not Hired</v>
      </c>
      <c r="T660">
        <f t="shared" si="138"/>
        <v>36</v>
      </c>
      <c r="U660" t="str">
        <f t="shared" si="139"/>
        <v>Needs Improvement</v>
      </c>
      <c r="V660" t="str">
        <f t="shared" si="140"/>
        <v>Personality</v>
      </c>
      <c r="W660" t="str">
        <f t="shared" si="141"/>
        <v>Interview Preparation</v>
      </c>
      <c r="X660" t="str">
        <f t="shared" si="142"/>
        <v>Improve interview preparation and communication</v>
      </c>
    </row>
    <row r="661" spans="1:24" x14ac:dyDescent="0.3">
      <c r="A661">
        <v>45</v>
      </c>
      <c r="B661">
        <v>1</v>
      </c>
      <c r="C661">
        <v>4</v>
      </c>
      <c r="D661">
        <v>1</v>
      </c>
      <c r="E661">
        <v>5</v>
      </c>
      <c r="F661">
        <v>35.470856693566198</v>
      </c>
      <c r="G661">
        <v>33</v>
      </c>
      <c r="H661">
        <v>97</v>
      </c>
      <c r="I661">
        <v>45</v>
      </c>
      <c r="J661">
        <v>2</v>
      </c>
      <c r="K661">
        <v>0</v>
      </c>
      <c r="L661" t="str">
        <f t="shared" si="130"/>
        <v>C660</v>
      </c>
      <c r="M661" t="str">
        <f t="shared" si="131"/>
        <v>Female</v>
      </c>
      <c r="N661" t="str">
        <f t="shared" si="132"/>
        <v>PhD</v>
      </c>
      <c r="O661" t="str">
        <f t="shared" si="133"/>
        <v>Entry Level</v>
      </c>
      <c r="P661" t="str">
        <f t="shared" si="134"/>
        <v>Low</v>
      </c>
      <c r="Q661" t="str">
        <f t="shared" si="135"/>
        <v>Advanced</v>
      </c>
      <c r="R661" t="str">
        <f t="shared" si="136"/>
        <v>Needs Improvement</v>
      </c>
      <c r="S661" t="str">
        <f t="shared" si="137"/>
        <v>Not Hired</v>
      </c>
      <c r="T661">
        <f t="shared" si="138"/>
        <v>54</v>
      </c>
      <c r="U661" t="str">
        <f t="shared" si="139"/>
        <v>Developing</v>
      </c>
      <c r="V661" t="str">
        <f t="shared" si="140"/>
        <v>Technical Skills</v>
      </c>
      <c r="W661" t="str">
        <f t="shared" si="141"/>
        <v>Interview Preparation</v>
      </c>
      <c r="X661" t="str">
        <f t="shared" si="142"/>
        <v>Improve interview preparation and communication</v>
      </c>
    </row>
    <row r="662" spans="1:24" x14ac:dyDescent="0.3">
      <c r="A662">
        <v>29</v>
      </c>
      <c r="B662">
        <v>0</v>
      </c>
      <c r="C662">
        <v>2</v>
      </c>
      <c r="D662">
        <v>1</v>
      </c>
      <c r="E662">
        <v>5</v>
      </c>
      <c r="F662">
        <v>15.1898971520774</v>
      </c>
      <c r="G662">
        <v>48</v>
      </c>
      <c r="H662">
        <v>38</v>
      </c>
      <c r="I662">
        <v>13</v>
      </c>
      <c r="J662">
        <v>1</v>
      </c>
      <c r="K662">
        <v>0</v>
      </c>
      <c r="L662" t="str">
        <f t="shared" si="130"/>
        <v>C661</v>
      </c>
      <c r="M662" t="str">
        <f t="shared" si="131"/>
        <v>Male</v>
      </c>
      <c r="N662" t="str">
        <f t="shared" si="132"/>
        <v>Bachelor's Type 2</v>
      </c>
      <c r="O662" t="str">
        <f t="shared" si="133"/>
        <v>Entry Level</v>
      </c>
      <c r="P662" t="str">
        <f t="shared" si="134"/>
        <v>Low</v>
      </c>
      <c r="Q662" t="str">
        <f t="shared" si="135"/>
        <v>Beginner</v>
      </c>
      <c r="R662" t="str">
        <f t="shared" si="136"/>
        <v>Needs Improvement</v>
      </c>
      <c r="S662" t="str">
        <f t="shared" si="137"/>
        <v>Not Hired</v>
      </c>
      <c r="T662">
        <f t="shared" si="138"/>
        <v>32</v>
      </c>
      <c r="U662" t="str">
        <f t="shared" si="139"/>
        <v>Needs Improvement</v>
      </c>
      <c r="V662" t="str">
        <f t="shared" si="140"/>
        <v>Interview</v>
      </c>
      <c r="W662" t="str">
        <f t="shared" si="141"/>
        <v>Personality &amp; Communication</v>
      </c>
      <c r="X662" t="str">
        <f t="shared" si="142"/>
        <v>Work on communication and personality development</v>
      </c>
    </row>
    <row r="663" spans="1:24" x14ac:dyDescent="0.3">
      <c r="A663">
        <v>41</v>
      </c>
      <c r="B663">
        <v>1</v>
      </c>
      <c r="C663">
        <v>3</v>
      </c>
      <c r="D663">
        <v>11</v>
      </c>
      <c r="E663">
        <v>1</v>
      </c>
      <c r="F663">
        <v>35.6931580937866</v>
      </c>
      <c r="G663">
        <v>53</v>
      </c>
      <c r="H663">
        <v>70</v>
      </c>
      <c r="I663">
        <v>43</v>
      </c>
      <c r="J663">
        <v>2</v>
      </c>
      <c r="K663">
        <v>0</v>
      </c>
      <c r="L663" t="str">
        <f t="shared" si="130"/>
        <v>C662</v>
      </c>
      <c r="M663" t="str">
        <f t="shared" si="131"/>
        <v>Female</v>
      </c>
      <c r="N663" t="str">
        <f t="shared" si="132"/>
        <v>Master's</v>
      </c>
      <c r="O663" t="str">
        <f t="shared" si="133"/>
        <v>Senior Level</v>
      </c>
      <c r="P663" t="str">
        <f t="shared" si="134"/>
        <v>Average</v>
      </c>
      <c r="Q663" t="str">
        <f t="shared" si="135"/>
        <v>Intermediate</v>
      </c>
      <c r="R663" t="str">
        <f t="shared" si="136"/>
        <v>Needs Improvement</v>
      </c>
      <c r="S663" t="str">
        <f t="shared" si="137"/>
        <v>Not Hired</v>
      </c>
      <c r="T663">
        <f t="shared" si="138"/>
        <v>60</v>
      </c>
      <c r="U663" t="str">
        <f t="shared" si="139"/>
        <v>Developing</v>
      </c>
      <c r="V663" t="str">
        <f t="shared" si="140"/>
        <v>Technical Skills</v>
      </c>
      <c r="W663" t="str">
        <f t="shared" si="141"/>
        <v>Personality &amp; Communication</v>
      </c>
      <c r="X663" t="str">
        <f t="shared" si="142"/>
        <v>Work on communication and personality development</v>
      </c>
    </row>
    <row r="664" spans="1:24" x14ac:dyDescent="0.3">
      <c r="A664">
        <v>24</v>
      </c>
      <c r="B664">
        <v>1</v>
      </c>
      <c r="C664">
        <v>1</v>
      </c>
      <c r="D664">
        <v>2</v>
      </c>
      <c r="E664">
        <v>2</v>
      </c>
      <c r="F664">
        <v>16.2906755641831</v>
      </c>
      <c r="G664">
        <v>30</v>
      </c>
      <c r="H664">
        <v>53</v>
      </c>
      <c r="I664">
        <v>62</v>
      </c>
      <c r="J664">
        <v>2</v>
      </c>
      <c r="K664">
        <v>0</v>
      </c>
      <c r="L664" t="str">
        <f t="shared" si="130"/>
        <v>C663</v>
      </c>
      <c r="M664" t="str">
        <f t="shared" si="131"/>
        <v>Female</v>
      </c>
      <c r="N664" t="str">
        <f t="shared" si="132"/>
        <v>Bachelor's Type 1</v>
      </c>
      <c r="O664" t="str">
        <f t="shared" si="133"/>
        <v>Entry Level</v>
      </c>
      <c r="P664" t="str">
        <f t="shared" si="134"/>
        <v>Low</v>
      </c>
      <c r="Q664" t="str">
        <f t="shared" si="135"/>
        <v>Intermediate</v>
      </c>
      <c r="R664" t="str">
        <f t="shared" si="136"/>
        <v>Good</v>
      </c>
      <c r="S664" t="str">
        <f t="shared" si="137"/>
        <v>Not Hired</v>
      </c>
      <c r="T664">
        <f t="shared" si="138"/>
        <v>42</v>
      </c>
      <c r="U664" t="str">
        <f t="shared" si="139"/>
        <v>Needs Improvement</v>
      </c>
      <c r="V664" t="str">
        <f t="shared" si="140"/>
        <v>Personality</v>
      </c>
      <c r="W664" t="str">
        <f t="shared" si="141"/>
        <v>Interview Preparation</v>
      </c>
      <c r="X664" t="str">
        <f t="shared" si="142"/>
        <v>Improve interview preparation and communication</v>
      </c>
    </row>
    <row r="665" spans="1:24" x14ac:dyDescent="0.3">
      <c r="A665">
        <v>23</v>
      </c>
      <c r="B665">
        <v>1</v>
      </c>
      <c r="C665">
        <v>3</v>
      </c>
      <c r="D665">
        <v>9</v>
      </c>
      <c r="E665">
        <v>2</v>
      </c>
      <c r="F665">
        <v>38.961948982849698</v>
      </c>
      <c r="G665">
        <v>57</v>
      </c>
      <c r="H665">
        <v>98</v>
      </c>
      <c r="I665">
        <v>93</v>
      </c>
      <c r="J665">
        <v>2</v>
      </c>
      <c r="K665">
        <v>1</v>
      </c>
      <c r="L665" t="str">
        <f t="shared" si="130"/>
        <v>C664</v>
      </c>
      <c r="M665" t="str">
        <f t="shared" si="131"/>
        <v>Female</v>
      </c>
      <c r="N665" t="str">
        <f t="shared" si="132"/>
        <v>Master's</v>
      </c>
      <c r="O665" t="str">
        <f t="shared" si="133"/>
        <v>Senior Level</v>
      </c>
      <c r="P665" t="str">
        <f t="shared" si="134"/>
        <v>Average</v>
      </c>
      <c r="Q665" t="str">
        <f t="shared" si="135"/>
        <v>Advanced</v>
      </c>
      <c r="R665" t="str">
        <f t="shared" si="136"/>
        <v>Strong</v>
      </c>
      <c r="S665" t="str">
        <f t="shared" si="137"/>
        <v>Hired</v>
      </c>
      <c r="T665">
        <f t="shared" si="138"/>
        <v>78</v>
      </c>
      <c r="U665" t="str">
        <f t="shared" si="139"/>
        <v>Job Ready</v>
      </c>
      <c r="V665" t="str">
        <f t="shared" si="140"/>
        <v>Technical Skills</v>
      </c>
      <c r="W665" t="str">
        <f t="shared" si="141"/>
        <v>Interview Preparation</v>
      </c>
      <c r="X665" t="str">
        <f t="shared" si="142"/>
        <v>Improve interview preparation and communication</v>
      </c>
    </row>
    <row r="666" spans="1:24" x14ac:dyDescent="0.3">
      <c r="A666">
        <v>21</v>
      </c>
      <c r="B666">
        <v>0</v>
      </c>
      <c r="C666">
        <v>2</v>
      </c>
      <c r="D666">
        <v>6</v>
      </c>
      <c r="E666">
        <v>2</v>
      </c>
      <c r="F666">
        <v>31.987392724578299</v>
      </c>
      <c r="G666">
        <v>41</v>
      </c>
      <c r="H666">
        <v>93</v>
      </c>
      <c r="I666">
        <v>51</v>
      </c>
      <c r="J666">
        <v>3</v>
      </c>
      <c r="K666">
        <v>0</v>
      </c>
      <c r="L666" t="str">
        <f t="shared" si="130"/>
        <v>C665</v>
      </c>
      <c r="M666" t="str">
        <f t="shared" si="131"/>
        <v>Male</v>
      </c>
      <c r="N666" t="str">
        <f t="shared" si="132"/>
        <v>Bachelor's Type 2</v>
      </c>
      <c r="O666" t="str">
        <f t="shared" si="133"/>
        <v>Mid Level</v>
      </c>
      <c r="P666" t="str">
        <f t="shared" si="134"/>
        <v>Low</v>
      </c>
      <c r="Q666" t="str">
        <f t="shared" si="135"/>
        <v>Advanced</v>
      </c>
      <c r="R666" t="str">
        <f t="shared" si="136"/>
        <v>Good</v>
      </c>
      <c r="S666" t="str">
        <f t="shared" si="137"/>
        <v>Not Hired</v>
      </c>
      <c r="T666">
        <f t="shared" si="138"/>
        <v>59</v>
      </c>
      <c r="U666" t="str">
        <f t="shared" si="139"/>
        <v>Developing</v>
      </c>
      <c r="V666" t="str">
        <f t="shared" si="140"/>
        <v>Technical Skills</v>
      </c>
      <c r="W666" t="str">
        <f t="shared" si="141"/>
        <v>Interview Preparation</v>
      </c>
      <c r="X666" t="str">
        <f t="shared" si="142"/>
        <v>Improve interview preparation and communication</v>
      </c>
    </row>
    <row r="667" spans="1:24" x14ac:dyDescent="0.3">
      <c r="A667">
        <v>39</v>
      </c>
      <c r="B667">
        <v>1</v>
      </c>
      <c r="C667">
        <v>3</v>
      </c>
      <c r="D667">
        <v>1</v>
      </c>
      <c r="E667">
        <v>5</v>
      </c>
      <c r="F667">
        <v>4.87057759923752</v>
      </c>
      <c r="G667">
        <v>57</v>
      </c>
      <c r="H667">
        <v>75</v>
      </c>
      <c r="I667">
        <v>25</v>
      </c>
      <c r="J667">
        <v>2</v>
      </c>
      <c r="K667">
        <v>0</v>
      </c>
      <c r="L667" t="str">
        <f t="shared" si="130"/>
        <v>C666</v>
      </c>
      <c r="M667" t="str">
        <f t="shared" si="131"/>
        <v>Female</v>
      </c>
      <c r="N667" t="str">
        <f t="shared" si="132"/>
        <v>Master's</v>
      </c>
      <c r="O667" t="str">
        <f t="shared" si="133"/>
        <v>Entry Level</v>
      </c>
      <c r="P667" t="str">
        <f t="shared" si="134"/>
        <v>Average</v>
      </c>
      <c r="Q667" t="str">
        <f t="shared" si="135"/>
        <v>Advanced</v>
      </c>
      <c r="R667" t="str">
        <f t="shared" si="136"/>
        <v>Needs Improvement</v>
      </c>
      <c r="S667" t="str">
        <f t="shared" si="137"/>
        <v>Not Hired</v>
      </c>
      <c r="T667">
        <f t="shared" si="138"/>
        <v>49</v>
      </c>
      <c r="U667" t="str">
        <f t="shared" si="139"/>
        <v>Needs Improvement</v>
      </c>
      <c r="V667" t="str">
        <f t="shared" si="140"/>
        <v>Technical Skills</v>
      </c>
      <c r="W667" t="str">
        <f t="shared" si="141"/>
        <v>Personality &amp; Communication</v>
      </c>
      <c r="X667" t="str">
        <f t="shared" si="142"/>
        <v>Work on communication and personality development</v>
      </c>
    </row>
    <row r="668" spans="1:24" x14ac:dyDescent="0.3">
      <c r="A668">
        <v>50</v>
      </c>
      <c r="B668">
        <v>0</v>
      </c>
      <c r="C668">
        <v>1</v>
      </c>
      <c r="D668">
        <v>13</v>
      </c>
      <c r="E668">
        <v>4</v>
      </c>
      <c r="F668">
        <v>26.641768121757099</v>
      </c>
      <c r="G668">
        <v>81</v>
      </c>
      <c r="H668">
        <v>34</v>
      </c>
      <c r="I668">
        <v>52</v>
      </c>
      <c r="J668">
        <v>1</v>
      </c>
      <c r="K668">
        <v>1</v>
      </c>
      <c r="L668" t="str">
        <f t="shared" si="130"/>
        <v>C667</v>
      </c>
      <c r="M668" t="str">
        <f t="shared" si="131"/>
        <v>Male</v>
      </c>
      <c r="N668" t="str">
        <f t="shared" si="132"/>
        <v>Bachelor's Type 1</v>
      </c>
      <c r="O668" t="str">
        <f t="shared" si="133"/>
        <v>Senior Level</v>
      </c>
      <c r="P668" t="str">
        <f t="shared" si="134"/>
        <v>Strong</v>
      </c>
      <c r="Q668" t="str">
        <f t="shared" si="135"/>
        <v>Beginner</v>
      </c>
      <c r="R668" t="str">
        <f t="shared" si="136"/>
        <v>Good</v>
      </c>
      <c r="S668" t="str">
        <f t="shared" si="137"/>
        <v>Hired</v>
      </c>
      <c r="T668">
        <f t="shared" si="138"/>
        <v>60</v>
      </c>
      <c r="U668" t="str">
        <f t="shared" si="139"/>
        <v>Developing</v>
      </c>
      <c r="V668" t="str">
        <f t="shared" si="140"/>
        <v>Interview</v>
      </c>
      <c r="W668" t="str">
        <f t="shared" si="141"/>
        <v>Technical Skills</v>
      </c>
      <c r="X668" t="str">
        <f t="shared" si="142"/>
        <v>Strengthen technical skills and practical knowledge</v>
      </c>
    </row>
    <row r="669" spans="1:24" x14ac:dyDescent="0.3">
      <c r="A669">
        <v>29</v>
      </c>
      <c r="B669">
        <v>1</v>
      </c>
      <c r="C669">
        <v>1</v>
      </c>
      <c r="D669">
        <v>15</v>
      </c>
      <c r="E669">
        <v>3</v>
      </c>
      <c r="F669">
        <v>18.165048459786998</v>
      </c>
      <c r="G669">
        <v>29</v>
      </c>
      <c r="H669">
        <v>10</v>
      </c>
      <c r="I669">
        <v>28</v>
      </c>
      <c r="J669">
        <v>2</v>
      </c>
      <c r="K669">
        <v>0</v>
      </c>
      <c r="L669" t="str">
        <f t="shared" si="130"/>
        <v>C668</v>
      </c>
      <c r="M669" t="str">
        <f t="shared" si="131"/>
        <v>Female</v>
      </c>
      <c r="N669" t="str">
        <f t="shared" si="132"/>
        <v>Bachelor's Type 1</v>
      </c>
      <c r="O669" t="str">
        <f t="shared" si="133"/>
        <v>Senior Level</v>
      </c>
      <c r="P669" t="str">
        <f t="shared" si="134"/>
        <v>Low</v>
      </c>
      <c r="Q669" t="str">
        <f t="shared" si="135"/>
        <v>Beginner</v>
      </c>
      <c r="R669" t="str">
        <f t="shared" si="136"/>
        <v>Needs Improvement</v>
      </c>
      <c r="S669" t="str">
        <f t="shared" si="137"/>
        <v>Not Hired</v>
      </c>
      <c r="T669">
        <f t="shared" si="138"/>
        <v>35</v>
      </c>
      <c r="U669" t="str">
        <f t="shared" si="139"/>
        <v>Needs Improvement</v>
      </c>
      <c r="V669" t="str">
        <f t="shared" si="140"/>
        <v>Interview</v>
      </c>
      <c r="W669" t="str">
        <f t="shared" si="141"/>
        <v>Technical Skills</v>
      </c>
      <c r="X669" t="str">
        <f t="shared" si="142"/>
        <v>Strengthen technical skills and practical knowledge</v>
      </c>
    </row>
    <row r="670" spans="1:24" x14ac:dyDescent="0.3">
      <c r="A670">
        <v>45</v>
      </c>
      <c r="B670">
        <v>0</v>
      </c>
      <c r="C670">
        <v>2</v>
      </c>
      <c r="D670">
        <v>0</v>
      </c>
      <c r="E670">
        <v>5</v>
      </c>
      <c r="F670">
        <v>17.4285316366147</v>
      </c>
      <c r="G670">
        <v>24</v>
      </c>
      <c r="H670">
        <v>60</v>
      </c>
      <c r="I670">
        <v>18</v>
      </c>
      <c r="J670">
        <v>2</v>
      </c>
      <c r="K670">
        <v>0</v>
      </c>
      <c r="L670" t="str">
        <f t="shared" si="130"/>
        <v>C669</v>
      </c>
      <c r="M670" t="str">
        <f t="shared" si="131"/>
        <v>Male</v>
      </c>
      <c r="N670" t="str">
        <f t="shared" si="132"/>
        <v>Bachelor's Type 2</v>
      </c>
      <c r="O670" t="str">
        <f t="shared" si="133"/>
        <v>Entry Level</v>
      </c>
      <c r="P670" t="str">
        <f t="shared" si="134"/>
        <v>Low</v>
      </c>
      <c r="Q670" t="str">
        <f t="shared" si="135"/>
        <v>Intermediate</v>
      </c>
      <c r="R670" t="str">
        <f t="shared" si="136"/>
        <v>Needs Improvement</v>
      </c>
      <c r="S670" t="str">
        <f t="shared" si="137"/>
        <v>Not Hired</v>
      </c>
      <c r="T670">
        <f t="shared" si="138"/>
        <v>31</v>
      </c>
      <c r="U670" t="str">
        <f t="shared" si="139"/>
        <v>Needs Improvement</v>
      </c>
      <c r="V670" t="str">
        <f t="shared" si="140"/>
        <v>Technical Skills</v>
      </c>
      <c r="W670" t="str">
        <f t="shared" si="141"/>
        <v>Personality &amp; Communication</v>
      </c>
      <c r="X670" t="str">
        <f t="shared" si="142"/>
        <v>Work on communication and personality development</v>
      </c>
    </row>
    <row r="671" spans="1:24" x14ac:dyDescent="0.3">
      <c r="A671">
        <v>38</v>
      </c>
      <c r="B671">
        <v>1</v>
      </c>
      <c r="C671">
        <v>2</v>
      </c>
      <c r="D671">
        <v>15</v>
      </c>
      <c r="E671">
        <v>2</v>
      </c>
      <c r="F671">
        <v>31.112815118862802</v>
      </c>
      <c r="G671">
        <v>62</v>
      </c>
      <c r="H671">
        <v>43</v>
      </c>
      <c r="I671">
        <v>46</v>
      </c>
      <c r="J671">
        <v>2</v>
      </c>
      <c r="K671">
        <v>0</v>
      </c>
      <c r="L671" t="str">
        <f t="shared" si="130"/>
        <v>C670</v>
      </c>
      <c r="M671" t="str">
        <f t="shared" si="131"/>
        <v>Female</v>
      </c>
      <c r="N671" t="str">
        <f t="shared" si="132"/>
        <v>Bachelor's Type 2</v>
      </c>
      <c r="O671" t="str">
        <f t="shared" si="133"/>
        <v>Senior Level</v>
      </c>
      <c r="P671" t="str">
        <f t="shared" si="134"/>
        <v>Average</v>
      </c>
      <c r="Q671" t="str">
        <f t="shared" si="135"/>
        <v>Beginner</v>
      </c>
      <c r="R671" t="str">
        <f t="shared" si="136"/>
        <v>Needs Improvement</v>
      </c>
      <c r="S671" t="str">
        <f t="shared" si="137"/>
        <v>Not Hired</v>
      </c>
      <c r="T671">
        <f t="shared" si="138"/>
        <v>58</v>
      </c>
      <c r="U671" t="str">
        <f t="shared" si="139"/>
        <v>Developing</v>
      </c>
      <c r="V671" t="str">
        <f t="shared" si="140"/>
        <v>Interview</v>
      </c>
      <c r="W671" t="str">
        <f t="shared" si="141"/>
        <v>Technical Skills</v>
      </c>
      <c r="X671" t="str">
        <f t="shared" si="142"/>
        <v>Strengthen technical skills and practical knowledge</v>
      </c>
    </row>
    <row r="672" spans="1:24" x14ac:dyDescent="0.3">
      <c r="A672">
        <v>45</v>
      </c>
      <c r="B672">
        <v>0</v>
      </c>
      <c r="C672">
        <v>2</v>
      </c>
      <c r="D672">
        <v>13</v>
      </c>
      <c r="E672">
        <v>5</v>
      </c>
      <c r="F672">
        <v>17.116241223471199</v>
      </c>
      <c r="G672">
        <v>18</v>
      </c>
      <c r="H672">
        <v>67</v>
      </c>
      <c r="I672">
        <v>7</v>
      </c>
      <c r="J672">
        <v>1</v>
      </c>
      <c r="K672">
        <v>1</v>
      </c>
      <c r="L672" t="str">
        <f t="shared" si="130"/>
        <v>C671</v>
      </c>
      <c r="M672" t="str">
        <f t="shared" si="131"/>
        <v>Male</v>
      </c>
      <c r="N672" t="str">
        <f t="shared" si="132"/>
        <v>Bachelor's Type 2</v>
      </c>
      <c r="O672" t="str">
        <f t="shared" si="133"/>
        <v>Senior Level</v>
      </c>
      <c r="P672" t="str">
        <f t="shared" si="134"/>
        <v>Low</v>
      </c>
      <c r="Q672" t="str">
        <f t="shared" si="135"/>
        <v>Intermediate</v>
      </c>
      <c r="R672" t="str">
        <f t="shared" si="136"/>
        <v>Needs Improvement</v>
      </c>
      <c r="S672" t="str">
        <f t="shared" si="137"/>
        <v>Hired</v>
      </c>
      <c r="T672">
        <f t="shared" si="138"/>
        <v>42</v>
      </c>
      <c r="U672" t="str">
        <f t="shared" si="139"/>
        <v>Needs Improvement</v>
      </c>
      <c r="V672" t="str">
        <f t="shared" si="140"/>
        <v>Technical Skills</v>
      </c>
      <c r="W672" t="str">
        <f t="shared" si="141"/>
        <v>Personality &amp; Communication</v>
      </c>
      <c r="X672" t="str">
        <f t="shared" si="142"/>
        <v>Work on communication and personality development</v>
      </c>
    </row>
    <row r="673" spans="1:24" x14ac:dyDescent="0.3">
      <c r="A673">
        <v>20</v>
      </c>
      <c r="B673">
        <v>1</v>
      </c>
      <c r="C673">
        <v>2</v>
      </c>
      <c r="D673">
        <v>5</v>
      </c>
      <c r="E673">
        <v>1</v>
      </c>
      <c r="F673">
        <v>39.844687410243601</v>
      </c>
      <c r="G673">
        <v>71</v>
      </c>
      <c r="H673">
        <v>24</v>
      </c>
      <c r="I673">
        <v>22</v>
      </c>
      <c r="J673">
        <v>2</v>
      </c>
      <c r="K673">
        <v>0</v>
      </c>
      <c r="L673" t="str">
        <f t="shared" si="130"/>
        <v>C672</v>
      </c>
      <c r="M673" t="str">
        <f t="shared" si="131"/>
        <v>Female</v>
      </c>
      <c r="N673" t="str">
        <f t="shared" si="132"/>
        <v>Bachelor's Type 2</v>
      </c>
      <c r="O673" t="str">
        <f t="shared" si="133"/>
        <v>Mid Level</v>
      </c>
      <c r="P673" t="str">
        <f t="shared" si="134"/>
        <v>Average</v>
      </c>
      <c r="Q673" t="str">
        <f t="shared" si="135"/>
        <v>Beginner</v>
      </c>
      <c r="R673" t="str">
        <f t="shared" si="136"/>
        <v>Needs Improvement</v>
      </c>
      <c r="S673" t="str">
        <f t="shared" si="137"/>
        <v>Not Hired</v>
      </c>
      <c r="T673">
        <f t="shared" si="138"/>
        <v>40</v>
      </c>
      <c r="U673" t="str">
        <f t="shared" si="139"/>
        <v>Needs Improvement</v>
      </c>
      <c r="V673" t="str">
        <f t="shared" si="140"/>
        <v>Interview</v>
      </c>
      <c r="W673" t="str">
        <f t="shared" si="141"/>
        <v>Personality &amp; Communication</v>
      </c>
      <c r="X673" t="str">
        <f t="shared" si="142"/>
        <v>Work on communication and personality development</v>
      </c>
    </row>
    <row r="674" spans="1:24" x14ac:dyDescent="0.3">
      <c r="A674">
        <v>43</v>
      </c>
      <c r="B674">
        <v>0</v>
      </c>
      <c r="C674">
        <v>1</v>
      </c>
      <c r="D674">
        <v>8</v>
      </c>
      <c r="E674">
        <v>2</v>
      </c>
      <c r="F674">
        <v>4.5395718005587202</v>
      </c>
      <c r="G674">
        <v>91</v>
      </c>
      <c r="H674">
        <v>47</v>
      </c>
      <c r="I674">
        <v>34</v>
      </c>
      <c r="J674">
        <v>3</v>
      </c>
      <c r="K674">
        <v>0</v>
      </c>
      <c r="L674" t="str">
        <f t="shared" si="130"/>
        <v>C673</v>
      </c>
      <c r="M674" t="str">
        <f t="shared" si="131"/>
        <v>Male</v>
      </c>
      <c r="N674" t="str">
        <f t="shared" si="132"/>
        <v>Bachelor's Type 1</v>
      </c>
      <c r="O674" t="str">
        <f t="shared" si="133"/>
        <v>Senior Level</v>
      </c>
      <c r="P674" t="str">
        <f t="shared" si="134"/>
        <v>Strong</v>
      </c>
      <c r="Q674" t="str">
        <f t="shared" si="135"/>
        <v>Beginner</v>
      </c>
      <c r="R674" t="str">
        <f t="shared" si="136"/>
        <v>Needs Improvement</v>
      </c>
      <c r="S674" t="str">
        <f t="shared" si="137"/>
        <v>Not Hired</v>
      </c>
      <c r="T674">
        <f t="shared" si="138"/>
        <v>59</v>
      </c>
      <c r="U674" t="str">
        <f t="shared" si="139"/>
        <v>Developing</v>
      </c>
      <c r="V674" t="str">
        <f t="shared" si="140"/>
        <v>Interview</v>
      </c>
      <c r="W674" t="str">
        <f t="shared" si="141"/>
        <v>Personality &amp; Communication</v>
      </c>
      <c r="X674" t="str">
        <f t="shared" si="142"/>
        <v>Work on communication and personality development</v>
      </c>
    </row>
    <row r="675" spans="1:24" x14ac:dyDescent="0.3">
      <c r="A675">
        <v>24</v>
      </c>
      <c r="B675">
        <v>0</v>
      </c>
      <c r="C675">
        <v>2</v>
      </c>
      <c r="D675">
        <v>14</v>
      </c>
      <c r="E675">
        <v>1</v>
      </c>
      <c r="F675">
        <v>34.019412619791197</v>
      </c>
      <c r="G675">
        <v>7</v>
      </c>
      <c r="H675">
        <v>31</v>
      </c>
      <c r="I675">
        <v>94</v>
      </c>
      <c r="J675">
        <v>2</v>
      </c>
      <c r="K675">
        <v>0</v>
      </c>
      <c r="L675" t="str">
        <f t="shared" si="130"/>
        <v>C674</v>
      </c>
      <c r="M675" t="str">
        <f t="shared" si="131"/>
        <v>Male</v>
      </c>
      <c r="N675" t="str">
        <f t="shared" si="132"/>
        <v>Bachelor's Type 2</v>
      </c>
      <c r="O675" t="str">
        <f t="shared" si="133"/>
        <v>Senior Level</v>
      </c>
      <c r="P675" t="str">
        <f t="shared" si="134"/>
        <v>Low</v>
      </c>
      <c r="Q675" t="str">
        <f t="shared" si="135"/>
        <v>Beginner</v>
      </c>
      <c r="R675" t="str">
        <f t="shared" si="136"/>
        <v>Strong</v>
      </c>
      <c r="S675" t="str">
        <f t="shared" si="137"/>
        <v>Not Hired</v>
      </c>
      <c r="T675">
        <f t="shared" si="138"/>
        <v>47</v>
      </c>
      <c r="U675" t="str">
        <f t="shared" si="139"/>
        <v>Needs Improvement</v>
      </c>
      <c r="V675" t="str">
        <f t="shared" si="140"/>
        <v>Personality</v>
      </c>
      <c r="W675" t="str">
        <f t="shared" si="141"/>
        <v>Interview Preparation</v>
      </c>
      <c r="X675" t="str">
        <f t="shared" si="142"/>
        <v>Improve interview preparation and communication</v>
      </c>
    </row>
    <row r="676" spans="1:24" x14ac:dyDescent="0.3">
      <c r="A676">
        <v>32</v>
      </c>
      <c r="B676">
        <v>0</v>
      </c>
      <c r="C676">
        <v>3</v>
      </c>
      <c r="D676">
        <v>2</v>
      </c>
      <c r="E676">
        <v>2</v>
      </c>
      <c r="F676">
        <v>41.459740182837002</v>
      </c>
      <c r="G676">
        <v>94</v>
      </c>
      <c r="H676">
        <v>83</v>
      </c>
      <c r="I676">
        <v>52</v>
      </c>
      <c r="J676">
        <v>3</v>
      </c>
      <c r="K676">
        <v>0</v>
      </c>
      <c r="L676" t="str">
        <f t="shared" si="130"/>
        <v>C675</v>
      </c>
      <c r="M676" t="str">
        <f t="shared" si="131"/>
        <v>Male</v>
      </c>
      <c r="N676" t="str">
        <f t="shared" si="132"/>
        <v>Master's</v>
      </c>
      <c r="O676" t="str">
        <f t="shared" si="133"/>
        <v>Entry Level</v>
      </c>
      <c r="P676" t="str">
        <f t="shared" si="134"/>
        <v>Strong</v>
      </c>
      <c r="Q676" t="str">
        <f t="shared" si="135"/>
        <v>Advanced</v>
      </c>
      <c r="R676" t="str">
        <f t="shared" si="136"/>
        <v>Good</v>
      </c>
      <c r="S676" t="str">
        <f t="shared" si="137"/>
        <v>Not Hired</v>
      </c>
      <c r="T676">
        <f t="shared" si="138"/>
        <v>69</v>
      </c>
      <c r="U676" t="str">
        <f t="shared" si="139"/>
        <v>Developing</v>
      </c>
      <c r="V676" t="str">
        <f t="shared" si="140"/>
        <v>Interview</v>
      </c>
      <c r="W676" t="str">
        <f t="shared" si="141"/>
        <v>Personality &amp; Communication</v>
      </c>
      <c r="X676" t="str">
        <f t="shared" si="142"/>
        <v>Work on communication and personality development</v>
      </c>
    </row>
    <row r="677" spans="1:24" x14ac:dyDescent="0.3">
      <c r="A677">
        <v>23</v>
      </c>
      <c r="B677">
        <v>0</v>
      </c>
      <c r="C677">
        <v>2</v>
      </c>
      <c r="D677">
        <v>5</v>
      </c>
      <c r="E677">
        <v>5</v>
      </c>
      <c r="F677">
        <v>34.641584496021501</v>
      </c>
      <c r="G677">
        <v>2</v>
      </c>
      <c r="H677">
        <v>94</v>
      </c>
      <c r="I677">
        <v>98</v>
      </c>
      <c r="J677">
        <v>3</v>
      </c>
      <c r="K677">
        <v>0</v>
      </c>
      <c r="L677" t="str">
        <f t="shared" si="130"/>
        <v>C676</v>
      </c>
      <c r="M677" t="str">
        <f t="shared" si="131"/>
        <v>Male</v>
      </c>
      <c r="N677" t="str">
        <f t="shared" si="132"/>
        <v>Bachelor's Type 2</v>
      </c>
      <c r="O677" t="str">
        <f t="shared" si="133"/>
        <v>Mid Level</v>
      </c>
      <c r="P677" t="str">
        <f t="shared" si="134"/>
        <v>Low</v>
      </c>
      <c r="Q677" t="str">
        <f t="shared" si="135"/>
        <v>Advanced</v>
      </c>
      <c r="R677" t="str">
        <f t="shared" si="136"/>
        <v>Strong</v>
      </c>
      <c r="S677" t="str">
        <f t="shared" si="137"/>
        <v>Not Hired</v>
      </c>
      <c r="T677">
        <f t="shared" si="138"/>
        <v>56</v>
      </c>
      <c r="U677" t="str">
        <f t="shared" si="139"/>
        <v>Developing</v>
      </c>
      <c r="V677" t="str">
        <f t="shared" si="140"/>
        <v>Personality</v>
      </c>
      <c r="W677" t="str">
        <f t="shared" si="141"/>
        <v>Interview Preparation</v>
      </c>
      <c r="X677" t="str">
        <f t="shared" si="142"/>
        <v>Improve interview preparation and communication</v>
      </c>
    </row>
    <row r="678" spans="1:24" x14ac:dyDescent="0.3">
      <c r="A678">
        <v>35</v>
      </c>
      <c r="B678">
        <v>1</v>
      </c>
      <c r="C678">
        <v>1</v>
      </c>
      <c r="D678">
        <v>2</v>
      </c>
      <c r="E678">
        <v>4</v>
      </c>
      <c r="F678">
        <v>25.8614597509997</v>
      </c>
      <c r="G678">
        <v>66</v>
      </c>
      <c r="H678">
        <v>3</v>
      </c>
      <c r="I678">
        <v>95</v>
      </c>
      <c r="J678">
        <v>1</v>
      </c>
      <c r="K678">
        <v>0</v>
      </c>
      <c r="L678" t="str">
        <f t="shared" si="130"/>
        <v>C677</v>
      </c>
      <c r="M678" t="str">
        <f t="shared" si="131"/>
        <v>Female</v>
      </c>
      <c r="N678" t="str">
        <f t="shared" si="132"/>
        <v>Bachelor's Type 1</v>
      </c>
      <c r="O678" t="str">
        <f t="shared" si="133"/>
        <v>Entry Level</v>
      </c>
      <c r="P678" t="str">
        <f t="shared" si="134"/>
        <v>Average</v>
      </c>
      <c r="Q678" t="str">
        <f t="shared" si="135"/>
        <v>Beginner</v>
      </c>
      <c r="R678" t="str">
        <f t="shared" si="136"/>
        <v>Strong</v>
      </c>
      <c r="S678" t="str">
        <f t="shared" si="137"/>
        <v>Not Hired</v>
      </c>
      <c r="T678">
        <f t="shared" si="138"/>
        <v>44</v>
      </c>
      <c r="U678" t="str">
        <f t="shared" si="139"/>
        <v>Needs Improvement</v>
      </c>
      <c r="V678" t="str">
        <f t="shared" si="140"/>
        <v>Personality</v>
      </c>
      <c r="W678" t="str">
        <f t="shared" si="141"/>
        <v>Technical Skills</v>
      </c>
      <c r="X678" t="str">
        <f t="shared" si="142"/>
        <v>Strengthen technical skills and practical knowledge</v>
      </c>
    </row>
    <row r="679" spans="1:24" x14ac:dyDescent="0.3">
      <c r="A679">
        <v>43</v>
      </c>
      <c r="B679">
        <v>1</v>
      </c>
      <c r="C679">
        <v>2</v>
      </c>
      <c r="D679">
        <v>13</v>
      </c>
      <c r="E679">
        <v>3</v>
      </c>
      <c r="F679">
        <v>48.515350686809001</v>
      </c>
      <c r="G679">
        <v>85</v>
      </c>
      <c r="H679">
        <v>37</v>
      </c>
      <c r="I679">
        <v>57</v>
      </c>
      <c r="J679">
        <v>2</v>
      </c>
      <c r="K679">
        <v>0</v>
      </c>
      <c r="L679" t="str">
        <f t="shared" si="130"/>
        <v>C678</v>
      </c>
      <c r="M679" t="str">
        <f t="shared" si="131"/>
        <v>Female</v>
      </c>
      <c r="N679" t="str">
        <f t="shared" si="132"/>
        <v>Bachelor's Type 2</v>
      </c>
      <c r="O679" t="str">
        <f t="shared" si="133"/>
        <v>Senior Level</v>
      </c>
      <c r="P679" t="str">
        <f t="shared" si="134"/>
        <v>Strong</v>
      </c>
      <c r="Q679" t="str">
        <f t="shared" si="135"/>
        <v>Beginner</v>
      </c>
      <c r="R679" t="str">
        <f t="shared" si="136"/>
        <v>Good</v>
      </c>
      <c r="S679" t="str">
        <f t="shared" si="137"/>
        <v>Not Hired</v>
      </c>
      <c r="T679">
        <f t="shared" si="138"/>
        <v>64</v>
      </c>
      <c r="U679" t="str">
        <f t="shared" si="139"/>
        <v>Developing</v>
      </c>
      <c r="V679" t="str">
        <f t="shared" si="140"/>
        <v>Interview</v>
      </c>
      <c r="W679" t="str">
        <f t="shared" si="141"/>
        <v>Technical Skills</v>
      </c>
      <c r="X679" t="str">
        <f t="shared" si="142"/>
        <v>Strengthen technical skills and practical knowledge</v>
      </c>
    </row>
    <row r="680" spans="1:24" x14ac:dyDescent="0.3">
      <c r="A680">
        <v>35</v>
      </c>
      <c r="B680">
        <v>0</v>
      </c>
      <c r="C680">
        <v>1</v>
      </c>
      <c r="D680">
        <v>12</v>
      </c>
      <c r="E680">
        <v>1</v>
      </c>
      <c r="F680">
        <v>15.996924489903099</v>
      </c>
      <c r="G680">
        <v>80</v>
      </c>
      <c r="H680">
        <v>62</v>
      </c>
      <c r="I680">
        <v>4</v>
      </c>
      <c r="J680">
        <v>2</v>
      </c>
      <c r="K680">
        <v>0</v>
      </c>
      <c r="L680" t="str">
        <f t="shared" si="130"/>
        <v>C679</v>
      </c>
      <c r="M680" t="str">
        <f t="shared" si="131"/>
        <v>Male</v>
      </c>
      <c r="N680" t="str">
        <f t="shared" si="132"/>
        <v>Bachelor's Type 1</v>
      </c>
      <c r="O680" t="str">
        <f t="shared" si="133"/>
        <v>Senior Level</v>
      </c>
      <c r="P680" t="str">
        <f t="shared" si="134"/>
        <v>Strong</v>
      </c>
      <c r="Q680" t="str">
        <f t="shared" si="135"/>
        <v>Intermediate</v>
      </c>
      <c r="R680" t="str">
        <f t="shared" si="136"/>
        <v>Needs Improvement</v>
      </c>
      <c r="S680" t="str">
        <f t="shared" si="137"/>
        <v>Not Hired</v>
      </c>
      <c r="T680">
        <f t="shared" si="138"/>
        <v>58</v>
      </c>
      <c r="U680" t="str">
        <f t="shared" si="139"/>
        <v>Developing</v>
      </c>
      <c r="V680" t="str">
        <f t="shared" si="140"/>
        <v>Interview</v>
      </c>
      <c r="W680" t="str">
        <f t="shared" si="141"/>
        <v>Personality &amp; Communication</v>
      </c>
      <c r="X680" t="str">
        <f t="shared" si="142"/>
        <v>Work on communication and personality development</v>
      </c>
    </row>
    <row r="681" spans="1:24" x14ac:dyDescent="0.3">
      <c r="A681">
        <v>42</v>
      </c>
      <c r="B681">
        <v>1</v>
      </c>
      <c r="C681">
        <v>4</v>
      </c>
      <c r="D681">
        <v>0</v>
      </c>
      <c r="E681">
        <v>5</v>
      </c>
      <c r="F681">
        <v>1.95839437624888</v>
      </c>
      <c r="G681">
        <v>99</v>
      </c>
      <c r="H681">
        <v>46</v>
      </c>
      <c r="I681">
        <v>15</v>
      </c>
      <c r="J681">
        <v>1</v>
      </c>
      <c r="K681">
        <v>1</v>
      </c>
      <c r="L681" t="str">
        <f t="shared" si="130"/>
        <v>C680</v>
      </c>
      <c r="M681" t="str">
        <f t="shared" si="131"/>
        <v>Female</v>
      </c>
      <c r="N681" t="str">
        <f t="shared" si="132"/>
        <v>PhD</v>
      </c>
      <c r="O681" t="str">
        <f t="shared" si="133"/>
        <v>Entry Level</v>
      </c>
      <c r="P681" t="str">
        <f t="shared" si="134"/>
        <v>Strong</v>
      </c>
      <c r="Q681" t="str">
        <f t="shared" si="135"/>
        <v>Beginner</v>
      </c>
      <c r="R681" t="str">
        <f t="shared" si="136"/>
        <v>Needs Improvement</v>
      </c>
      <c r="S681" t="str">
        <f t="shared" si="137"/>
        <v>Hired</v>
      </c>
      <c r="T681">
        <f t="shared" si="138"/>
        <v>52</v>
      </c>
      <c r="U681" t="str">
        <f t="shared" si="139"/>
        <v>Developing</v>
      </c>
      <c r="V681" t="str">
        <f t="shared" si="140"/>
        <v>Interview</v>
      </c>
      <c r="W681" t="str">
        <f t="shared" si="141"/>
        <v>Personality &amp; Communication</v>
      </c>
      <c r="X681" t="str">
        <f t="shared" si="142"/>
        <v>Work on communication and personality development</v>
      </c>
    </row>
    <row r="682" spans="1:24" x14ac:dyDescent="0.3">
      <c r="A682">
        <v>21</v>
      </c>
      <c r="B682">
        <v>0</v>
      </c>
      <c r="C682">
        <v>1</v>
      </c>
      <c r="D682">
        <v>13</v>
      </c>
      <c r="E682">
        <v>4</v>
      </c>
      <c r="F682">
        <v>22.599468573172</v>
      </c>
      <c r="G682">
        <v>16</v>
      </c>
      <c r="H682">
        <v>0</v>
      </c>
      <c r="I682">
        <v>16</v>
      </c>
      <c r="J682">
        <v>2</v>
      </c>
      <c r="K682">
        <v>0</v>
      </c>
      <c r="L682" t="str">
        <f t="shared" si="130"/>
        <v>C681</v>
      </c>
      <c r="M682" t="str">
        <f t="shared" si="131"/>
        <v>Male</v>
      </c>
      <c r="N682" t="str">
        <f t="shared" si="132"/>
        <v>Bachelor's Type 1</v>
      </c>
      <c r="O682" t="str">
        <f t="shared" si="133"/>
        <v>Senior Level</v>
      </c>
      <c r="P682" t="str">
        <f t="shared" si="134"/>
        <v>Low</v>
      </c>
      <c r="Q682" t="str">
        <f t="shared" si="135"/>
        <v>Beginner</v>
      </c>
      <c r="R682" t="str">
        <f t="shared" si="136"/>
        <v>Needs Improvement</v>
      </c>
      <c r="S682" t="str">
        <f t="shared" si="137"/>
        <v>Not Hired</v>
      </c>
      <c r="T682">
        <f t="shared" si="138"/>
        <v>24</v>
      </c>
      <c r="U682" t="str">
        <f t="shared" si="139"/>
        <v>Needs Improvement</v>
      </c>
      <c r="V682" t="str">
        <f t="shared" si="140"/>
        <v>Interview</v>
      </c>
      <c r="W682" t="str">
        <f t="shared" si="141"/>
        <v>Technical Skills</v>
      </c>
      <c r="X682" t="str">
        <f t="shared" si="142"/>
        <v>Strengthen technical skills and practical knowledge</v>
      </c>
    </row>
    <row r="683" spans="1:24" x14ac:dyDescent="0.3">
      <c r="A683">
        <v>36</v>
      </c>
      <c r="B683">
        <v>0</v>
      </c>
      <c r="C683">
        <v>3</v>
      </c>
      <c r="D683">
        <v>12</v>
      </c>
      <c r="E683">
        <v>5</v>
      </c>
      <c r="F683">
        <v>2.65059679501636</v>
      </c>
      <c r="G683">
        <v>13</v>
      </c>
      <c r="H683">
        <v>2</v>
      </c>
      <c r="I683">
        <v>31</v>
      </c>
      <c r="J683">
        <v>2</v>
      </c>
      <c r="K683">
        <v>0</v>
      </c>
      <c r="L683" t="str">
        <f t="shared" si="130"/>
        <v>C682</v>
      </c>
      <c r="M683" t="str">
        <f t="shared" si="131"/>
        <v>Male</v>
      </c>
      <c r="N683" t="str">
        <f t="shared" si="132"/>
        <v>Master's</v>
      </c>
      <c r="O683" t="str">
        <f t="shared" si="133"/>
        <v>Senior Level</v>
      </c>
      <c r="P683" t="str">
        <f t="shared" si="134"/>
        <v>Low</v>
      </c>
      <c r="Q683" t="str">
        <f t="shared" si="135"/>
        <v>Beginner</v>
      </c>
      <c r="R683" t="str">
        <f t="shared" si="136"/>
        <v>Needs Improvement</v>
      </c>
      <c r="S683" t="str">
        <f t="shared" si="137"/>
        <v>Not Hired</v>
      </c>
      <c r="T683">
        <f t="shared" si="138"/>
        <v>26</v>
      </c>
      <c r="U683" t="str">
        <f t="shared" si="139"/>
        <v>Needs Improvement</v>
      </c>
      <c r="V683" t="str">
        <f t="shared" si="140"/>
        <v>Personality</v>
      </c>
      <c r="W683" t="str">
        <f t="shared" si="141"/>
        <v>Technical Skills</v>
      </c>
      <c r="X683" t="str">
        <f t="shared" si="142"/>
        <v>Strengthen technical skills and practical knowledge</v>
      </c>
    </row>
    <row r="684" spans="1:24" x14ac:dyDescent="0.3">
      <c r="A684">
        <v>47</v>
      </c>
      <c r="B684">
        <v>1</v>
      </c>
      <c r="C684">
        <v>4</v>
      </c>
      <c r="D684">
        <v>15</v>
      </c>
      <c r="E684">
        <v>1</v>
      </c>
      <c r="F684">
        <v>48.696837626320402</v>
      </c>
      <c r="G684">
        <v>8</v>
      </c>
      <c r="H684">
        <v>100</v>
      </c>
      <c r="I684">
        <v>95</v>
      </c>
      <c r="J684">
        <v>1</v>
      </c>
      <c r="K684">
        <v>1</v>
      </c>
      <c r="L684" t="str">
        <f t="shared" si="130"/>
        <v>C683</v>
      </c>
      <c r="M684" t="str">
        <f t="shared" si="131"/>
        <v>Female</v>
      </c>
      <c r="N684" t="str">
        <f t="shared" si="132"/>
        <v>PhD</v>
      </c>
      <c r="O684" t="str">
        <f t="shared" si="133"/>
        <v>Senior Level</v>
      </c>
      <c r="P684" t="str">
        <f t="shared" si="134"/>
        <v>Low</v>
      </c>
      <c r="Q684" t="str">
        <f t="shared" si="135"/>
        <v>Advanced</v>
      </c>
      <c r="R684" t="str">
        <f t="shared" si="136"/>
        <v>Strong</v>
      </c>
      <c r="S684" t="str">
        <f t="shared" si="137"/>
        <v>Hired</v>
      </c>
      <c r="T684">
        <f t="shared" si="138"/>
        <v>71</v>
      </c>
      <c r="U684" t="str">
        <f t="shared" si="139"/>
        <v>Developing</v>
      </c>
      <c r="V684" t="str">
        <f t="shared" si="140"/>
        <v>Technical Skills</v>
      </c>
      <c r="W684" t="str">
        <f t="shared" si="141"/>
        <v>Interview Preparation</v>
      </c>
      <c r="X684" t="str">
        <f t="shared" si="142"/>
        <v>Improve interview preparation and communication</v>
      </c>
    </row>
    <row r="685" spans="1:24" x14ac:dyDescent="0.3">
      <c r="A685">
        <v>46</v>
      </c>
      <c r="B685">
        <v>0</v>
      </c>
      <c r="C685">
        <v>3</v>
      </c>
      <c r="D685">
        <v>11</v>
      </c>
      <c r="E685">
        <v>3</v>
      </c>
      <c r="F685">
        <v>11.495902287402499</v>
      </c>
      <c r="G685">
        <v>61</v>
      </c>
      <c r="H685">
        <v>85</v>
      </c>
      <c r="I685">
        <v>51</v>
      </c>
      <c r="J685">
        <v>3</v>
      </c>
      <c r="K685">
        <v>0</v>
      </c>
      <c r="L685" t="str">
        <f t="shared" si="130"/>
        <v>C684</v>
      </c>
      <c r="M685" t="str">
        <f t="shared" si="131"/>
        <v>Male</v>
      </c>
      <c r="N685" t="str">
        <f t="shared" si="132"/>
        <v>Master's</v>
      </c>
      <c r="O685" t="str">
        <f t="shared" si="133"/>
        <v>Senior Level</v>
      </c>
      <c r="P685" t="str">
        <f t="shared" si="134"/>
        <v>Average</v>
      </c>
      <c r="Q685" t="str">
        <f t="shared" si="135"/>
        <v>Advanced</v>
      </c>
      <c r="R685" t="str">
        <f t="shared" si="136"/>
        <v>Good</v>
      </c>
      <c r="S685" t="str">
        <f t="shared" si="137"/>
        <v>Not Hired</v>
      </c>
      <c r="T685">
        <f t="shared" si="138"/>
        <v>69</v>
      </c>
      <c r="U685" t="str">
        <f t="shared" si="139"/>
        <v>Developing</v>
      </c>
      <c r="V685" t="str">
        <f t="shared" si="140"/>
        <v>Technical Skills</v>
      </c>
      <c r="W685" t="str">
        <f t="shared" si="141"/>
        <v>Personality &amp; Communication</v>
      </c>
      <c r="X685" t="str">
        <f t="shared" si="142"/>
        <v>Work on communication and personality development</v>
      </c>
    </row>
    <row r="686" spans="1:24" x14ac:dyDescent="0.3">
      <c r="A686">
        <v>39</v>
      </c>
      <c r="B686">
        <v>0</v>
      </c>
      <c r="C686">
        <v>2</v>
      </c>
      <c r="D686">
        <v>4</v>
      </c>
      <c r="E686">
        <v>5</v>
      </c>
      <c r="F686">
        <v>40.446351197443903</v>
      </c>
      <c r="G686">
        <v>93</v>
      </c>
      <c r="H686">
        <v>61</v>
      </c>
      <c r="I686">
        <v>19</v>
      </c>
      <c r="J686">
        <v>2</v>
      </c>
      <c r="K686">
        <v>0</v>
      </c>
      <c r="L686" t="str">
        <f t="shared" si="130"/>
        <v>C685</v>
      </c>
      <c r="M686" t="str">
        <f t="shared" si="131"/>
        <v>Male</v>
      </c>
      <c r="N686" t="str">
        <f t="shared" si="132"/>
        <v>Bachelor's Type 2</v>
      </c>
      <c r="O686" t="str">
        <f t="shared" si="133"/>
        <v>Mid Level</v>
      </c>
      <c r="P686" t="str">
        <f t="shared" si="134"/>
        <v>Strong</v>
      </c>
      <c r="Q686" t="str">
        <f t="shared" si="135"/>
        <v>Intermediate</v>
      </c>
      <c r="R686" t="str">
        <f t="shared" si="136"/>
        <v>Needs Improvement</v>
      </c>
      <c r="S686" t="str">
        <f t="shared" si="137"/>
        <v>Not Hired</v>
      </c>
      <c r="T686">
        <f t="shared" si="138"/>
        <v>57</v>
      </c>
      <c r="U686" t="str">
        <f t="shared" si="139"/>
        <v>Developing</v>
      </c>
      <c r="V686" t="str">
        <f t="shared" si="140"/>
        <v>Interview</v>
      </c>
      <c r="W686" t="str">
        <f t="shared" si="141"/>
        <v>Personality &amp; Communication</v>
      </c>
      <c r="X686" t="str">
        <f t="shared" si="142"/>
        <v>Work on communication and personality development</v>
      </c>
    </row>
    <row r="687" spans="1:24" x14ac:dyDescent="0.3">
      <c r="A687">
        <v>43</v>
      </c>
      <c r="B687">
        <v>1</v>
      </c>
      <c r="C687">
        <v>3</v>
      </c>
      <c r="D687">
        <v>9</v>
      </c>
      <c r="E687">
        <v>2</v>
      </c>
      <c r="F687">
        <v>39.728604158718198</v>
      </c>
      <c r="G687">
        <v>20</v>
      </c>
      <c r="H687">
        <v>63</v>
      </c>
      <c r="I687">
        <v>65</v>
      </c>
      <c r="J687">
        <v>3</v>
      </c>
      <c r="K687">
        <v>1</v>
      </c>
      <c r="L687" t="str">
        <f t="shared" si="130"/>
        <v>C686</v>
      </c>
      <c r="M687" t="str">
        <f t="shared" si="131"/>
        <v>Female</v>
      </c>
      <c r="N687" t="str">
        <f t="shared" si="132"/>
        <v>Master's</v>
      </c>
      <c r="O687" t="str">
        <f t="shared" si="133"/>
        <v>Senior Level</v>
      </c>
      <c r="P687" t="str">
        <f t="shared" si="134"/>
        <v>Low</v>
      </c>
      <c r="Q687" t="str">
        <f t="shared" si="135"/>
        <v>Intermediate</v>
      </c>
      <c r="R687" t="str">
        <f t="shared" si="136"/>
        <v>Good</v>
      </c>
      <c r="S687" t="str">
        <f t="shared" si="137"/>
        <v>Hired</v>
      </c>
      <c r="T687">
        <f t="shared" si="138"/>
        <v>51</v>
      </c>
      <c r="U687" t="str">
        <f t="shared" si="139"/>
        <v>Developing</v>
      </c>
      <c r="V687" t="str">
        <f t="shared" si="140"/>
        <v>Personality</v>
      </c>
      <c r="W687" t="str">
        <f t="shared" si="141"/>
        <v>Interview Preparation</v>
      </c>
      <c r="X687" t="str">
        <f t="shared" si="142"/>
        <v>Improve interview preparation and communication</v>
      </c>
    </row>
    <row r="688" spans="1:24" x14ac:dyDescent="0.3">
      <c r="A688">
        <v>31</v>
      </c>
      <c r="B688">
        <v>0</v>
      </c>
      <c r="C688">
        <v>4</v>
      </c>
      <c r="D688">
        <v>13</v>
      </c>
      <c r="E688">
        <v>4</v>
      </c>
      <c r="F688">
        <v>11.8864449841466</v>
      </c>
      <c r="G688">
        <v>75</v>
      </c>
      <c r="H688">
        <v>16</v>
      </c>
      <c r="I688">
        <v>83</v>
      </c>
      <c r="J688">
        <v>2</v>
      </c>
      <c r="K688">
        <v>1</v>
      </c>
      <c r="L688" t="str">
        <f t="shared" si="130"/>
        <v>C687</v>
      </c>
      <c r="M688" t="str">
        <f t="shared" si="131"/>
        <v>Male</v>
      </c>
      <c r="N688" t="str">
        <f t="shared" si="132"/>
        <v>PhD</v>
      </c>
      <c r="O688" t="str">
        <f t="shared" si="133"/>
        <v>Senior Level</v>
      </c>
      <c r="P688" t="str">
        <f t="shared" si="134"/>
        <v>Strong</v>
      </c>
      <c r="Q688" t="str">
        <f t="shared" si="135"/>
        <v>Beginner</v>
      </c>
      <c r="R688" t="str">
        <f t="shared" si="136"/>
        <v>Strong</v>
      </c>
      <c r="S688" t="str">
        <f t="shared" si="137"/>
        <v>Hired</v>
      </c>
      <c r="T688">
        <f t="shared" si="138"/>
        <v>62</v>
      </c>
      <c r="U688" t="str">
        <f t="shared" si="139"/>
        <v>Developing</v>
      </c>
      <c r="V688" t="str">
        <f t="shared" si="140"/>
        <v>Personality</v>
      </c>
      <c r="W688" t="str">
        <f t="shared" si="141"/>
        <v>Technical Skills</v>
      </c>
      <c r="X688" t="str">
        <f t="shared" si="142"/>
        <v>Strengthen technical skills and practical knowledge</v>
      </c>
    </row>
    <row r="689" spans="1:24" x14ac:dyDescent="0.3">
      <c r="A689">
        <v>37</v>
      </c>
      <c r="B689">
        <v>0</v>
      </c>
      <c r="C689">
        <v>2</v>
      </c>
      <c r="D689">
        <v>12</v>
      </c>
      <c r="E689">
        <v>5</v>
      </c>
      <c r="F689">
        <v>32.061326524008301</v>
      </c>
      <c r="G689">
        <v>36</v>
      </c>
      <c r="H689">
        <v>77</v>
      </c>
      <c r="I689">
        <v>81</v>
      </c>
      <c r="J689">
        <v>3</v>
      </c>
      <c r="K689">
        <v>0</v>
      </c>
      <c r="L689" t="str">
        <f t="shared" si="130"/>
        <v>C688</v>
      </c>
      <c r="M689" t="str">
        <f t="shared" si="131"/>
        <v>Male</v>
      </c>
      <c r="N689" t="str">
        <f t="shared" si="132"/>
        <v>Bachelor's Type 2</v>
      </c>
      <c r="O689" t="str">
        <f t="shared" si="133"/>
        <v>Senior Level</v>
      </c>
      <c r="P689" t="str">
        <f t="shared" si="134"/>
        <v>Low</v>
      </c>
      <c r="Q689" t="str">
        <f t="shared" si="135"/>
        <v>Advanced</v>
      </c>
      <c r="R689" t="str">
        <f t="shared" si="136"/>
        <v>Strong</v>
      </c>
      <c r="S689" t="str">
        <f t="shared" si="137"/>
        <v>Not Hired</v>
      </c>
      <c r="T689">
        <f t="shared" si="138"/>
        <v>65</v>
      </c>
      <c r="U689" t="str">
        <f t="shared" si="139"/>
        <v>Developing</v>
      </c>
      <c r="V689" t="str">
        <f t="shared" si="140"/>
        <v>Personality</v>
      </c>
      <c r="W689" t="str">
        <f t="shared" si="141"/>
        <v>Interview Preparation</v>
      </c>
      <c r="X689" t="str">
        <f t="shared" si="142"/>
        <v>Improve interview preparation and communication</v>
      </c>
    </row>
    <row r="690" spans="1:24" x14ac:dyDescent="0.3">
      <c r="A690">
        <v>22</v>
      </c>
      <c r="B690">
        <v>0</v>
      </c>
      <c r="C690">
        <v>2</v>
      </c>
      <c r="D690">
        <v>10</v>
      </c>
      <c r="E690">
        <v>4</v>
      </c>
      <c r="F690">
        <v>3.4039484243225102</v>
      </c>
      <c r="G690">
        <v>95</v>
      </c>
      <c r="H690">
        <v>61</v>
      </c>
      <c r="I690">
        <v>0</v>
      </c>
      <c r="J690">
        <v>2</v>
      </c>
      <c r="K690">
        <v>0</v>
      </c>
      <c r="L690" t="str">
        <f t="shared" si="130"/>
        <v>C689</v>
      </c>
      <c r="M690" t="str">
        <f t="shared" si="131"/>
        <v>Male</v>
      </c>
      <c r="N690" t="str">
        <f t="shared" si="132"/>
        <v>Bachelor's Type 2</v>
      </c>
      <c r="O690" t="str">
        <f t="shared" si="133"/>
        <v>Senior Level</v>
      </c>
      <c r="P690" t="str">
        <f t="shared" si="134"/>
        <v>Strong</v>
      </c>
      <c r="Q690" t="str">
        <f t="shared" si="135"/>
        <v>Intermediate</v>
      </c>
      <c r="R690" t="str">
        <f t="shared" si="136"/>
        <v>Needs Improvement</v>
      </c>
      <c r="S690" t="str">
        <f t="shared" si="137"/>
        <v>Not Hired</v>
      </c>
      <c r="T690">
        <f t="shared" si="138"/>
        <v>59</v>
      </c>
      <c r="U690" t="str">
        <f t="shared" si="139"/>
        <v>Developing</v>
      </c>
      <c r="V690" t="str">
        <f t="shared" si="140"/>
        <v>Interview</v>
      </c>
      <c r="W690" t="str">
        <f t="shared" si="141"/>
        <v>Personality &amp; Communication</v>
      </c>
      <c r="X690" t="str">
        <f t="shared" si="142"/>
        <v>Work on communication and personality development</v>
      </c>
    </row>
    <row r="691" spans="1:24" x14ac:dyDescent="0.3">
      <c r="A691">
        <v>47</v>
      </c>
      <c r="B691">
        <v>0</v>
      </c>
      <c r="C691">
        <v>2</v>
      </c>
      <c r="D691">
        <v>3</v>
      </c>
      <c r="E691">
        <v>2</v>
      </c>
      <c r="F691">
        <v>25.178729285193299</v>
      </c>
      <c r="G691">
        <v>10</v>
      </c>
      <c r="H691">
        <v>34</v>
      </c>
      <c r="I691">
        <v>57</v>
      </c>
      <c r="J691">
        <v>1</v>
      </c>
      <c r="K691">
        <v>0</v>
      </c>
      <c r="L691" t="str">
        <f t="shared" si="130"/>
        <v>C690</v>
      </c>
      <c r="M691" t="str">
        <f t="shared" si="131"/>
        <v>Male</v>
      </c>
      <c r="N691" t="str">
        <f t="shared" si="132"/>
        <v>Bachelor's Type 2</v>
      </c>
      <c r="O691" t="str">
        <f t="shared" si="133"/>
        <v>Mid Level</v>
      </c>
      <c r="P691" t="str">
        <f t="shared" si="134"/>
        <v>Low</v>
      </c>
      <c r="Q691" t="str">
        <f t="shared" si="135"/>
        <v>Beginner</v>
      </c>
      <c r="R691" t="str">
        <f t="shared" si="136"/>
        <v>Good</v>
      </c>
      <c r="S691" t="str">
        <f t="shared" si="137"/>
        <v>Not Hired</v>
      </c>
      <c r="T691">
        <f t="shared" si="138"/>
        <v>30</v>
      </c>
      <c r="U691" t="str">
        <f t="shared" si="139"/>
        <v>Needs Improvement</v>
      </c>
      <c r="V691" t="str">
        <f t="shared" si="140"/>
        <v>Personality</v>
      </c>
      <c r="W691" t="str">
        <f t="shared" si="141"/>
        <v>Interview Preparation</v>
      </c>
      <c r="X691" t="str">
        <f t="shared" si="142"/>
        <v>Improve interview preparation and communication</v>
      </c>
    </row>
    <row r="692" spans="1:24" x14ac:dyDescent="0.3">
      <c r="A692">
        <v>20</v>
      </c>
      <c r="B692">
        <v>1</v>
      </c>
      <c r="C692">
        <v>2</v>
      </c>
      <c r="D692">
        <v>6</v>
      </c>
      <c r="E692">
        <v>3</v>
      </c>
      <c r="F692">
        <v>1.73235636362433</v>
      </c>
      <c r="G692">
        <v>19</v>
      </c>
      <c r="H692">
        <v>12</v>
      </c>
      <c r="I692">
        <v>92</v>
      </c>
      <c r="J692">
        <v>2</v>
      </c>
      <c r="K692">
        <v>0</v>
      </c>
      <c r="L692" t="str">
        <f t="shared" si="130"/>
        <v>C691</v>
      </c>
      <c r="M692" t="str">
        <f t="shared" si="131"/>
        <v>Female</v>
      </c>
      <c r="N692" t="str">
        <f t="shared" si="132"/>
        <v>Bachelor's Type 2</v>
      </c>
      <c r="O692" t="str">
        <f t="shared" si="133"/>
        <v>Mid Level</v>
      </c>
      <c r="P692" t="str">
        <f t="shared" si="134"/>
        <v>Low</v>
      </c>
      <c r="Q692" t="str">
        <f t="shared" si="135"/>
        <v>Beginner</v>
      </c>
      <c r="R692" t="str">
        <f t="shared" si="136"/>
        <v>Strong</v>
      </c>
      <c r="S692" t="str">
        <f t="shared" si="137"/>
        <v>Not Hired</v>
      </c>
      <c r="T692">
        <f t="shared" si="138"/>
        <v>36</v>
      </c>
      <c r="U692" t="str">
        <f t="shared" si="139"/>
        <v>Needs Improvement</v>
      </c>
      <c r="V692" t="str">
        <f t="shared" si="140"/>
        <v>Personality</v>
      </c>
      <c r="W692" t="str">
        <f t="shared" si="141"/>
        <v>Technical Skills</v>
      </c>
      <c r="X692" t="str">
        <f t="shared" si="142"/>
        <v>Strengthen technical skills and practical knowledge</v>
      </c>
    </row>
    <row r="693" spans="1:24" x14ac:dyDescent="0.3">
      <c r="A693">
        <v>20</v>
      </c>
      <c r="B693">
        <v>1</v>
      </c>
      <c r="C693">
        <v>2</v>
      </c>
      <c r="D693">
        <v>5</v>
      </c>
      <c r="E693">
        <v>3</v>
      </c>
      <c r="F693">
        <v>47.057194009042</v>
      </c>
      <c r="G693">
        <v>34</v>
      </c>
      <c r="H693">
        <v>34</v>
      </c>
      <c r="I693">
        <v>92</v>
      </c>
      <c r="J693">
        <v>2</v>
      </c>
      <c r="K693">
        <v>0</v>
      </c>
      <c r="L693" t="str">
        <f t="shared" si="130"/>
        <v>C692</v>
      </c>
      <c r="M693" t="str">
        <f t="shared" si="131"/>
        <v>Female</v>
      </c>
      <c r="N693" t="str">
        <f t="shared" si="132"/>
        <v>Bachelor's Type 2</v>
      </c>
      <c r="O693" t="str">
        <f t="shared" si="133"/>
        <v>Mid Level</v>
      </c>
      <c r="P693" t="str">
        <f t="shared" si="134"/>
        <v>Low</v>
      </c>
      <c r="Q693" t="str">
        <f t="shared" si="135"/>
        <v>Beginner</v>
      </c>
      <c r="R693" t="str">
        <f t="shared" si="136"/>
        <v>Strong</v>
      </c>
      <c r="S693" t="str">
        <f t="shared" si="137"/>
        <v>Not Hired</v>
      </c>
      <c r="T693">
        <f t="shared" si="138"/>
        <v>46</v>
      </c>
      <c r="U693" t="str">
        <f t="shared" si="139"/>
        <v>Needs Improvement</v>
      </c>
      <c r="V693" t="str">
        <f t="shared" si="140"/>
        <v>Personality</v>
      </c>
      <c r="W693" t="str">
        <f t="shared" si="141"/>
        <v>Interview Preparation</v>
      </c>
      <c r="X693" t="str">
        <f t="shared" si="142"/>
        <v>Improve interview preparation and communication</v>
      </c>
    </row>
    <row r="694" spans="1:24" x14ac:dyDescent="0.3">
      <c r="A694">
        <v>48</v>
      </c>
      <c r="B694">
        <v>1</v>
      </c>
      <c r="C694">
        <v>2</v>
      </c>
      <c r="D694">
        <v>9</v>
      </c>
      <c r="E694">
        <v>2</v>
      </c>
      <c r="F694">
        <v>49.804301209978497</v>
      </c>
      <c r="G694">
        <v>52</v>
      </c>
      <c r="H694">
        <v>42</v>
      </c>
      <c r="I694">
        <v>82</v>
      </c>
      <c r="J694">
        <v>2</v>
      </c>
      <c r="K694">
        <v>0</v>
      </c>
      <c r="L694" t="str">
        <f t="shared" si="130"/>
        <v>C693</v>
      </c>
      <c r="M694" t="str">
        <f t="shared" si="131"/>
        <v>Female</v>
      </c>
      <c r="N694" t="str">
        <f t="shared" si="132"/>
        <v>Bachelor's Type 2</v>
      </c>
      <c r="O694" t="str">
        <f t="shared" si="133"/>
        <v>Senior Level</v>
      </c>
      <c r="P694" t="str">
        <f t="shared" si="134"/>
        <v>Average</v>
      </c>
      <c r="Q694" t="str">
        <f t="shared" si="135"/>
        <v>Beginner</v>
      </c>
      <c r="R694" t="str">
        <f t="shared" si="136"/>
        <v>Strong</v>
      </c>
      <c r="S694" t="str">
        <f t="shared" si="137"/>
        <v>Not Hired</v>
      </c>
      <c r="T694">
        <f t="shared" si="138"/>
        <v>56</v>
      </c>
      <c r="U694" t="str">
        <f t="shared" si="139"/>
        <v>Developing</v>
      </c>
      <c r="V694" t="str">
        <f t="shared" si="140"/>
        <v>Personality</v>
      </c>
      <c r="W694" t="str">
        <f t="shared" si="141"/>
        <v>Technical Skills</v>
      </c>
      <c r="X694" t="str">
        <f t="shared" si="142"/>
        <v>Strengthen technical skills and practical knowledge</v>
      </c>
    </row>
    <row r="695" spans="1:24" x14ac:dyDescent="0.3">
      <c r="A695">
        <v>38</v>
      </c>
      <c r="B695">
        <v>0</v>
      </c>
      <c r="C695">
        <v>2</v>
      </c>
      <c r="D695">
        <v>6</v>
      </c>
      <c r="E695">
        <v>4</v>
      </c>
      <c r="F695">
        <v>12.114138331929199</v>
      </c>
      <c r="G695">
        <v>46</v>
      </c>
      <c r="H695">
        <v>1</v>
      </c>
      <c r="I695">
        <v>43</v>
      </c>
      <c r="J695">
        <v>2</v>
      </c>
      <c r="K695">
        <v>0</v>
      </c>
      <c r="L695" t="str">
        <f t="shared" si="130"/>
        <v>C694</v>
      </c>
      <c r="M695" t="str">
        <f t="shared" si="131"/>
        <v>Male</v>
      </c>
      <c r="N695" t="str">
        <f t="shared" si="132"/>
        <v>Bachelor's Type 2</v>
      </c>
      <c r="O695" t="str">
        <f t="shared" si="133"/>
        <v>Mid Level</v>
      </c>
      <c r="P695" t="str">
        <f t="shared" si="134"/>
        <v>Low</v>
      </c>
      <c r="Q695" t="str">
        <f t="shared" si="135"/>
        <v>Beginner</v>
      </c>
      <c r="R695" t="str">
        <f t="shared" si="136"/>
        <v>Needs Improvement</v>
      </c>
      <c r="S695" t="str">
        <f t="shared" si="137"/>
        <v>Not Hired</v>
      </c>
      <c r="T695">
        <f t="shared" si="138"/>
        <v>31</v>
      </c>
      <c r="U695" t="str">
        <f t="shared" si="139"/>
        <v>Needs Improvement</v>
      </c>
      <c r="V695" t="str">
        <f t="shared" si="140"/>
        <v>Interview</v>
      </c>
      <c r="W695" t="str">
        <f t="shared" si="141"/>
        <v>Technical Skills</v>
      </c>
      <c r="X695" t="str">
        <f t="shared" si="142"/>
        <v>Strengthen technical skills and practical knowledge</v>
      </c>
    </row>
    <row r="696" spans="1:24" x14ac:dyDescent="0.3">
      <c r="A696">
        <v>30</v>
      </c>
      <c r="B696">
        <v>0</v>
      </c>
      <c r="C696">
        <v>1</v>
      </c>
      <c r="D696">
        <v>4</v>
      </c>
      <c r="E696">
        <v>5</v>
      </c>
      <c r="F696">
        <v>11.4053017298186</v>
      </c>
      <c r="G696">
        <v>74</v>
      </c>
      <c r="H696">
        <v>55</v>
      </c>
      <c r="I696">
        <v>5</v>
      </c>
      <c r="J696">
        <v>1</v>
      </c>
      <c r="K696">
        <v>1</v>
      </c>
      <c r="L696" t="str">
        <f t="shared" si="130"/>
        <v>C695</v>
      </c>
      <c r="M696" t="str">
        <f t="shared" si="131"/>
        <v>Male</v>
      </c>
      <c r="N696" t="str">
        <f t="shared" si="132"/>
        <v>Bachelor's Type 1</v>
      </c>
      <c r="O696" t="str">
        <f t="shared" si="133"/>
        <v>Mid Level</v>
      </c>
      <c r="P696" t="str">
        <f t="shared" si="134"/>
        <v>Average</v>
      </c>
      <c r="Q696" t="str">
        <f t="shared" si="135"/>
        <v>Intermediate</v>
      </c>
      <c r="R696" t="str">
        <f t="shared" si="136"/>
        <v>Needs Improvement</v>
      </c>
      <c r="S696" t="str">
        <f t="shared" si="137"/>
        <v>Hired</v>
      </c>
      <c r="T696">
        <f t="shared" si="138"/>
        <v>46</v>
      </c>
      <c r="U696" t="str">
        <f t="shared" si="139"/>
        <v>Needs Improvement</v>
      </c>
      <c r="V696" t="str">
        <f t="shared" si="140"/>
        <v>Interview</v>
      </c>
      <c r="W696" t="str">
        <f t="shared" si="141"/>
        <v>Personality &amp; Communication</v>
      </c>
      <c r="X696" t="str">
        <f t="shared" si="142"/>
        <v>Work on communication and personality development</v>
      </c>
    </row>
    <row r="697" spans="1:24" x14ac:dyDescent="0.3">
      <c r="A697">
        <v>24</v>
      </c>
      <c r="B697">
        <v>1</v>
      </c>
      <c r="C697">
        <v>1</v>
      </c>
      <c r="D697">
        <v>14</v>
      </c>
      <c r="E697">
        <v>2</v>
      </c>
      <c r="F697">
        <v>38.686008828106402</v>
      </c>
      <c r="G697">
        <v>51</v>
      </c>
      <c r="H697">
        <v>76</v>
      </c>
      <c r="I697">
        <v>49</v>
      </c>
      <c r="J697">
        <v>2</v>
      </c>
      <c r="K697">
        <v>0</v>
      </c>
      <c r="L697" t="str">
        <f t="shared" si="130"/>
        <v>C696</v>
      </c>
      <c r="M697" t="str">
        <f t="shared" si="131"/>
        <v>Female</v>
      </c>
      <c r="N697" t="str">
        <f t="shared" si="132"/>
        <v>Bachelor's Type 1</v>
      </c>
      <c r="O697" t="str">
        <f t="shared" si="133"/>
        <v>Senior Level</v>
      </c>
      <c r="P697" t="str">
        <f t="shared" si="134"/>
        <v>Average</v>
      </c>
      <c r="Q697" t="str">
        <f t="shared" si="135"/>
        <v>Advanced</v>
      </c>
      <c r="R697" t="str">
        <f t="shared" si="136"/>
        <v>Needs Improvement</v>
      </c>
      <c r="S697" t="str">
        <f t="shared" si="137"/>
        <v>Not Hired</v>
      </c>
      <c r="T697">
        <f t="shared" si="138"/>
        <v>64</v>
      </c>
      <c r="U697" t="str">
        <f t="shared" si="139"/>
        <v>Developing</v>
      </c>
      <c r="V697" t="str">
        <f t="shared" si="140"/>
        <v>Technical Skills</v>
      </c>
      <c r="W697" t="str">
        <f t="shared" si="141"/>
        <v>Personality &amp; Communication</v>
      </c>
      <c r="X697" t="str">
        <f t="shared" si="142"/>
        <v>Work on communication and personality development</v>
      </c>
    </row>
    <row r="698" spans="1:24" x14ac:dyDescent="0.3">
      <c r="A698">
        <v>31</v>
      </c>
      <c r="B698">
        <v>0</v>
      </c>
      <c r="C698">
        <v>2</v>
      </c>
      <c r="D698">
        <v>14</v>
      </c>
      <c r="E698">
        <v>1</v>
      </c>
      <c r="F698">
        <v>13.668969941466701</v>
      </c>
      <c r="G698">
        <v>7</v>
      </c>
      <c r="H698">
        <v>50</v>
      </c>
      <c r="I698">
        <v>71</v>
      </c>
      <c r="J698">
        <v>2</v>
      </c>
      <c r="K698">
        <v>0</v>
      </c>
      <c r="L698" t="str">
        <f t="shared" si="130"/>
        <v>C697</v>
      </c>
      <c r="M698" t="str">
        <f t="shared" si="131"/>
        <v>Male</v>
      </c>
      <c r="N698" t="str">
        <f t="shared" si="132"/>
        <v>Bachelor's Type 2</v>
      </c>
      <c r="O698" t="str">
        <f t="shared" si="133"/>
        <v>Senior Level</v>
      </c>
      <c r="P698" t="str">
        <f t="shared" si="134"/>
        <v>Low</v>
      </c>
      <c r="Q698" t="str">
        <f t="shared" si="135"/>
        <v>Intermediate</v>
      </c>
      <c r="R698" t="str">
        <f t="shared" si="136"/>
        <v>Good</v>
      </c>
      <c r="S698" t="str">
        <f t="shared" si="137"/>
        <v>Not Hired</v>
      </c>
      <c r="T698">
        <f t="shared" si="138"/>
        <v>48</v>
      </c>
      <c r="U698" t="str">
        <f t="shared" si="139"/>
        <v>Needs Improvement</v>
      </c>
      <c r="V698" t="str">
        <f t="shared" si="140"/>
        <v>Personality</v>
      </c>
      <c r="W698" t="str">
        <f t="shared" si="141"/>
        <v>Interview Preparation</v>
      </c>
      <c r="X698" t="str">
        <f t="shared" si="142"/>
        <v>Improve interview preparation and communication</v>
      </c>
    </row>
    <row r="699" spans="1:24" x14ac:dyDescent="0.3">
      <c r="A699">
        <v>22</v>
      </c>
      <c r="B699">
        <v>0</v>
      </c>
      <c r="C699">
        <v>1</v>
      </c>
      <c r="D699">
        <v>3</v>
      </c>
      <c r="E699">
        <v>4</v>
      </c>
      <c r="F699">
        <v>45.753827958092202</v>
      </c>
      <c r="G699">
        <v>3</v>
      </c>
      <c r="H699">
        <v>53</v>
      </c>
      <c r="I699">
        <v>87</v>
      </c>
      <c r="J699">
        <v>2</v>
      </c>
      <c r="K699">
        <v>0</v>
      </c>
      <c r="L699" t="str">
        <f t="shared" si="130"/>
        <v>C698</v>
      </c>
      <c r="M699" t="str">
        <f t="shared" si="131"/>
        <v>Male</v>
      </c>
      <c r="N699" t="str">
        <f t="shared" si="132"/>
        <v>Bachelor's Type 1</v>
      </c>
      <c r="O699" t="str">
        <f t="shared" si="133"/>
        <v>Mid Level</v>
      </c>
      <c r="P699" t="str">
        <f t="shared" si="134"/>
        <v>Low</v>
      </c>
      <c r="Q699" t="str">
        <f t="shared" si="135"/>
        <v>Intermediate</v>
      </c>
      <c r="R699" t="str">
        <f t="shared" si="136"/>
        <v>Strong</v>
      </c>
      <c r="S699" t="str">
        <f t="shared" si="137"/>
        <v>Not Hired</v>
      </c>
      <c r="T699">
        <f t="shared" si="138"/>
        <v>40</v>
      </c>
      <c r="U699" t="str">
        <f t="shared" si="139"/>
        <v>Needs Improvement</v>
      </c>
      <c r="V699" t="str">
        <f t="shared" si="140"/>
        <v>Personality</v>
      </c>
      <c r="W699" t="str">
        <f t="shared" si="141"/>
        <v>Interview Preparation</v>
      </c>
      <c r="X699" t="str">
        <f t="shared" si="142"/>
        <v>Improve interview preparation and communication</v>
      </c>
    </row>
    <row r="700" spans="1:24" x14ac:dyDescent="0.3">
      <c r="A700">
        <v>20</v>
      </c>
      <c r="B700">
        <v>0</v>
      </c>
      <c r="C700">
        <v>2</v>
      </c>
      <c r="D700">
        <v>15</v>
      </c>
      <c r="E700">
        <v>3</v>
      </c>
      <c r="F700">
        <v>29.696456806149101</v>
      </c>
      <c r="G700">
        <v>26</v>
      </c>
      <c r="H700">
        <v>15</v>
      </c>
      <c r="I700">
        <v>19</v>
      </c>
      <c r="J700">
        <v>2</v>
      </c>
      <c r="K700">
        <v>0</v>
      </c>
      <c r="L700" t="str">
        <f t="shared" si="130"/>
        <v>C699</v>
      </c>
      <c r="M700" t="str">
        <f t="shared" si="131"/>
        <v>Male</v>
      </c>
      <c r="N700" t="str">
        <f t="shared" si="132"/>
        <v>Bachelor's Type 2</v>
      </c>
      <c r="O700" t="str">
        <f t="shared" si="133"/>
        <v>Senior Level</v>
      </c>
      <c r="P700" t="str">
        <f t="shared" si="134"/>
        <v>Low</v>
      </c>
      <c r="Q700" t="str">
        <f t="shared" si="135"/>
        <v>Beginner</v>
      </c>
      <c r="R700" t="str">
        <f t="shared" si="136"/>
        <v>Needs Improvement</v>
      </c>
      <c r="S700" t="str">
        <f t="shared" si="137"/>
        <v>Not Hired</v>
      </c>
      <c r="T700">
        <f t="shared" si="138"/>
        <v>34</v>
      </c>
      <c r="U700" t="str">
        <f t="shared" si="139"/>
        <v>Needs Improvement</v>
      </c>
      <c r="V700" t="str">
        <f t="shared" si="140"/>
        <v>Interview</v>
      </c>
      <c r="W700" t="str">
        <f t="shared" si="141"/>
        <v>Technical Skills</v>
      </c>
      <c r="X700" t="str">
        <f t="shared" si="142"/>
        <v>Strengthen technical skills and practical knowledge</v>
      </c>
    </row>
    <row r="701" spans="1:24" x14ac:dyDescent="0.3">
      <c r="A701">
        <v>20</v>
      </c>
      <c r="B701">
        <v>0</v>
      </c>
      <c r="C701">
        <v>2</v>
      </c>
      <c r="D701">
        <v>6</v>
      </c>
      <c r="E701">
        <v>2</v>
      </c>
      <c r="F701">
        <v>18.5388811505156</v>
      </c>
      <c r="G701">
        <v>43</v>
      </c>
      <c r="H701">
        <v>17</v>
      </c>
      <c r="I701">
        <v>13</v>
      </c>
      <c r="J701">
        <v>3</v>
      </c>
      <c r="K701">
        <v>0</v>
      </c>
      <c r="L701" t="str">
        <f t="shared" si="130"/>
        <v>C700</v>
      </c>
      <c r="M701" t="str">
        <f t="shared" si="131"/>
        <v>Male</v>
      </c>
      <c r="N701" t="str">
        <f t="shared" si="132"/>
        <v>Bachelor's Type 2</v>
      </c>
      <c r="O701" t="str">
        <f t="shared" si="133"/>
        <v>Mid Level</v>
      </c>
      <c r="P701" t="str">
        <f t="shared" si="134"/>
        <v>Low</v>
      </c>
      <c r="Q701" t="str">
        <f t="shared" si="135"/>
        <v>Beginner</v>
      </c>
      <c r="R701" t="str">
        <f t="shared" si="136"/>
        <v>Needs Improvement</v>
      </c>
      <c r="S701" t="str">
        <f t="shared" si="137"/>
        <v>Not Hired</v>
      </c>
      <c r="T701">
        <f t="shared" si="138"/>
        <v>29</v>
      </c>
      <c r="U701" t="str">
        <f t="shared" si="139"/>
        <v>Needs Improvement</v>
      </c>
      <c r="V701" t="str">
        <f t="shared" si="140"/>
        <v>Interview</v>
      </c>
      <c r="W701" t="str">
        <f t="shared" si="141"/>
        <v>Personality &amp; Communication</v>
      </c>
      <c r="X701" t="str">
        <f t="shared" si="142"/>
        <v>Work on communication and personality development</v>
      </c>
    </row>
    <row r="702" spans="1:24" x14ac:dyDescent="0.3">
      <c r="A702">
        <v>27</v>
      </c>
      <c r="B702">
        <v>1</v>
      </c>
      <c r="C702">
        <v>3</v>
      </c>
      <c r="D702">
        <v>6</v>
      </c>
      <c r="E702">
        <v>3</v>
      </c>
      <c r="F702">
        <v>42.634687317470998</v>
      </c>
      <c r="G702">
        <v>39</v>
      </c>
      <c r="H702">
        <v>6</v>
      </c>
      <c r="I702">
        <v>4</v>
      </c>
      <c r="J702">
        <v>2</v>
      </c>
      <c r="K702">
        <v>0</v>
      </c>
      <c r="L702" t="str">
        <f t="shared" si="130"/>
        <v>C701</v>
      </c>
      <c r="M702" t="str">
        <f t="shared" si="131"/>
        <v>Female</v>
      </c>
      <c r="N702" t="str">
        <f t="shared" si="132"/>
        <v>Master's</v>
      </c>
      <c r="O702" t="str">
        <f t="shared" si="133"/>
        <v>Mid Level</v>
      </c>
      <c r="P702" t="str">
        <f t="shared" si="134"/>
        <v>Low</v>
      </c>
      <c r="Q702" t="str">
        <f t="shared" si="135"/>
        <v>Beginner</v>
      </c>
      <c r="R702" t="str">
        <f t="shared" si="136"/>
        <v>Needs Improvement</v>
      </c>
      <c r="S702" t="str">
        <f t="shared" si="137"/>
        <v>Not Hired</v>
      </c>
      <c r="T702">
        <f t="shared" si="138"/>
        <v>24</v>
      </c>
      <c r="U702" t="str">
        <f t="shared" si="139"/>
        <v>Needs Improvement</v>
      </c>
      <c r="V702" t="str">
        <f t="shared" si="140"/>
        <v>Interview</v>
      </c>
      <c r="W702" t="str">
        <f t="shared" si="141"/>
        <v>Personality &amp; Communication</v>
      </c>
      <c r="X702" t="str">
        <f t="shared" si="142"/>
        <v>Work on communication and personality development</v>
      </c>
    </row>
    <row r="703" spans="1:24" x14ac:dyDescent="0.3">
      <c r="A703">
        <v>29</v>
      </c>
      <c r="B703">
        <v>1</v>
      </c>
      <c r="C703">
        <v>1</v>
      </c>
      <c r="D703">
        <v>5</v>
      </c>
      <c r="E703">
        <v>4</v>
      </c>
      <c r="F703">
        <v>25.6703350206697</v>
      </c>
      <c r="G703">
        <v>46</v>
      </c>
      <c r="H703">
        <v>44</v>
      </c>
      <c r="I703">
        <v>40</v>
      </c>
      <c r="J703">
        <v>2</v>
      </c>
      <c r="K703">
        <v>0</v>
      </c>
      <c r="L703" t="str">
        <f t="shared" si="130"/>
        <v>C702</v>
      </c>
      <c r="M703" t="str">
        <f t="shared" si="131"/>
        <v>Female</v>
      </c>
      <c r="N703" t="str">
        <f t="shared" si="132"/>
        <v>Bachelor's Type 1</v>
      </c>
      <c r="O703" t="str">
        <f t="shared" si="133"/>
        <v>Mid Level</v>
      </c>
      <c r="P703" t="str">
        <f t="shared" si="134"/>
        <v>Low</v>
      </c>
      <c r="Q703" t="str">
        <f t="shared" si="135"/>
        <v>Beginner</v>
      </c>
      <c r="R703" t="str">
        <f t="shared" si="136"/>
        <v>Needs Improvement</v>
      </c>
      <c r="S703" t="str">
        <f t="shared" si="137"/>
        <v>Not Hired</v>
      </c>
      <c r="T703">
        <f t="shared" si="138"/>
        <v>43</v>
      </c>
      <c r="U703" t="str">
        <f t="shared" si="139"/>
        <v>Needs Improvement</v>
      </c>
      <c r="V703" t="str">
        <f t="shared" si="140"/>
        <v>Interview</v>
      </c>
      <c r="W703" t="str">
        <f t="shared" si="141"/>
        <v>Personality &amp; Communication</v>
      </c>
      <c r="X703" t="str">
        <f t="shared" si="142"/>
        <v>Work on communication and personality development</v>
      </c>
    </row>
    <row r="704" spans="1:24" x14ac:dyDescent="0.3">
      <c r="A704">
        <v>30</v>
      </c>
      <c r="B704">
        <v>1</v>
      </c>
      <c r="C704">
        <v>2</v>
      </c>
      <c r="D704">
        <v>7</v>
      </c>
      <c r="E704">
        <v>3</v>
      </c>
      <c r="F704">
        <v>46.581645685423702</v>
      </c>
      <c r="G704">
        <v>93</v>
      </c>
      <c r="H704">
        <v>35</v>
      </c>
      <c r="I704">
        <v>39</v>
      </c>
      <c r="J704">
        <v>3</v>
      </c>
      <c r="K704">
        <v>0</v>
      </c>
      <c r="L704" t="str">
        <f t="shared" si="130"/>
        <v>C703</v>
      </c>
      <c r="M704" t="str">
        <f t="shared" si="131"/>
        <v>Female</v>
      </c>
      <c r="N704" t="str">
        <f t="shared" si="132"/>
        <v>Bachelor's Type 2</v>
      </c>
      <c r="O704" t="str">
        <f t="shared" si="133"/>
        <v>Senior Level</v>
      </c>
      <c r="P704" t="str">
        <f t="shared" si="134"/>
        <v>Strong</v>
      </c>
      <c r="Q704" t="str">
        <f t="shared" si="135"/>
        <v>Beginner</v>
      </c>
      <c r="R704" t="str">
        <f t="shared" si="136"/>
        <v>Needs Improvement</v>
      </c>
      <c r="S704" t="str">
        <f t="shared" si="137"/>
        <v>Not Hired</v>
      </c>
      <c r="T704">
        <f t="shared" si="138"/>
        <v>56</v>
      </c>
      <c r="U704" t="str">
        <f t="shared" si="139"/>
        <v>Developing</v>
      </c>
      <c r="V704" t="str">
        <f t="shared" si="140"/>
        <v>Interview</v>
      </c>
      <c r="W704" t="str">
        <f t="shared" si="141"/>
        <v>Technical Skills</v>
      </c>
      <c r="X704" t="str">
        <f t="shared" si="142"/>
        <v>Strengthen technical skills and practical knowledge</v>
      </c>
    </row>
    <row r="705" spans="1:24" x14ac:dyDescent="0.3">
      <c r="A705">
        <v>31</v>
      </c>
      <c r="B705">
        <v>0</v>
      </c>
      <c r="C705">
        <v>3</v>
      </c>
      <c r="D705">
        <v>3</v>
      </c>
      <c r="E705">
        <v>2</v>
      </c>
      <c r="F705">
        <v>47.400711836469</v>
      </c>
      <c r="G705">
        <v>43</v>
      </c>
      <c r="H705">
        <v>40</v>
      </c>
      <c r="I705">
        <v>33</v>
      </c>
      <c r="J705">
        <v>2</v>
      </c>
      <c r="K705">
        <v>0</v>
      </c>
      <c r="L705" t="str">
        <f t="shared" si="130"/>
        <v>C704</v>
      </c>
      <c r="M705" t="str">
        <f t="shared" si="131"/>
        <v>Male</v>
      </c>
      <c r="N705" t="str">
        <f t="shared" si="132"/>
        <v>Master's</v>
      </c>
      <c r="O705" t="str">
        <f t="shared" si="133"/>
        <v>Mid Level</v>
      </c>
      <c r="P705" t="str">
        <f t="shared" si="134"/>
        <v>Low</v>
      </c>
      <c r="Q705" t="str">
        <f t="shared" si="135"/>
        <v>Beginner</v>
      </c>
      <c r="R705" t="str">
        <f t="shared" si="136"/>
        <v>Needs Improvement</v>
      </c>
      <c r="S705" t="str">
        <f t="shared" si="137"/>
        <v>Not Hired</v>
      </c>
      <c r="T705">
        <f t="shared" si="138"/>
        <v>38</v>
      </c>
      <c r="U705" t="str">
        <f t="shared" si="139"/>
        <v>Needs Improvement</v>
      </c>
      <c r="V705" t="str">
        <f t="shared" si="140"/>
        <v>Interview</v>
      </c>
      <c r="W705" t="str">
        <f t="shared" si="141"/>
        <v>Personality &amp; Communication</v>
      </c>
      <c r="X705" t="str">
        <f t="shared" si="142"/>
        <v>Work on communication and personality development</v>
      </c>
    </row>
    <row r="706" spans="1:24" x14ac:dyDescent="0.3">
      <c r="A706">
        <v>48</v>
      </c>
      <c r="B706">
        <v>1</v>
      </c>
      <c r="C706">
        <v>2</v>
      </c>
      <c r="D706">
        <v>9</v>
      </c>
      <c r="E706">
        <v>4</v>
      </c>
      <c r="F706">
        <v>9.2710076064204596</v>
      </c>
      <c r="G706">
        <v>47</v>
      </c>
      <c r="H706">
        <v>93</v>
      </c>
      <c r="I706">
        <v>79</v>
      </c>
      <c r="J706">
        <v>1</v>
      </c>
      <c r="K706">
        <v>1</v>
      </c>
      <c r="L706" t="str">
        <f t="shared" si="130"/>
        <v>C705</v>
      </c>
      <c r="M706" t="str">
        <f t="shared" si="131"/>
        <v>Female</v>
      </c>
      <c r="N706" t="str">
        <f t="shared" si="132"/>
        <v>Bachelor's Type 2</v>
      </c>
      <c r="O706" t="str">
        <f t="shared" si="133"/>
        <v>Senior Level</v>
      </c>
      <c r="P706" t="str">
        <f t="shared" si="134"/>
        <v>Low</v>
      </c>
      <c r="Q706" t="str">
        <f t="shared" si="135"/>
        <v>Advanced</v>
      </c>
      <c r="R706" t="str">
        <f t="shared" si="136"/>
        <v>Strong</v>
      </c>
      <c r="S706" t="str">
        <f t="shared" si="137"/>
        <v>Hired</v>
      </c>
      <c r="T706">
        <f t="shared" si="138"/>
        <v>69</v>
      </c>
      <c r="U706" t="str">
        <f t="shared" si="139"/>
        <v>Developing</v>
      </c>
      <c r="V706" t="str">
        <f t="shared" si="140"/>
        <v>Technical Skills</v>
      </c>
      <c r="W706" t="str">
        <f t="shared" si="141"/>
        <v>Interview Preparation</v>
      </c>
      <c r="X706" t="str">
        <f t="shared" si="142"/>
        <v>Improve interview preparation and communication</v>
      </c>
    </row>
    <row r="707" spans="1:24" x14ac:dyDescent="0.3">
      <c r="A707">
        <v>32</v>
      </c>
      <c r="B707">
        <v>1</v>
      </c>
      <c r="C707">
        <v>1</v>
      </c>
      <c r="D707">
        <v>4</v>
      </c>
      <c r="E707">
        <v>1</v>
      </c>
      <c r="F707">
        <v>1.1161703065965101</v>
      </c>
      <c r="G707">
        <v>90</v>
      </c>
      <c r="H707">
        <v>41</v>
      </c>
      <c r="I707">
        <v>44</v>
      </c>
      <c r="J707">
        <v>1</v>
      </c>
      <c r="K707">
        <v>0</v>
      </c>
      <c r="L707" t="str">
        <f t="shared" ref="L707:L770" si="143">"C"&amp;TEXT(ROW()-1,"000")</f>
        <v>C706</v>
      </c>
      <c r="M707" t="str">
        <f t="shared" ref="M707:M770" si="144">IF(B707=0,"Male","Female")</f>
        <v>Female</v>
      </c>
      <c r="N707" t="str">
        <f t="shared" ref="N707:N770" si="145">IF(C707=1,"Bachelor's Type 1",IF(C707=2,"Bachelor's Type 2",IF(C707=3,"Master's","PhD")))</f>
        <v>Bachelor's Type 1</v>
      </c>
      <c r="O707" t="str">
        <f t="shared" ref="O707:O770" si="146">IF(D707&lt;=2,"Entry Level",IF(D707&lt;=6,"Mid Level","Senior Level"))</f>
        <v>Mid Level</v>
      </c>
      <c r="P707" t="str">
        <f t="shared" ref="P707:P770" si="147">IF(G707&lt;50,"Low",IF(G707&lt;75,"Average","Strong"))</f>
        <v>Strong</v>
      </c>
      <c r="Q707" t="str">
        <f t="shared" ref="Q707:Q770" si="148">IF(H707&lt;50,"Beginner",IF(H707&lt;75,"Intermediate","Advanced"))</f>
        <v>Beginner</v>
      </c>
      <c r="R707" t="str">
        <f t="shared" ref="R707:R770" si="149">IF(I707&lt;50,"Needs Improvement",IF(I707&lt;75,"Good","Strong"))</f>
        <v>Needs Improvement</v>
      </c>
      <c r="S707" t="str">
        <f t="shared" ref="S707:S770" si="150">IF(K707=1,"Hired","Not Hired")</f>
        <v>Not Hired</v>
      </c>
      <c r="T707">
        <f t="shared" ref="T707:T770" si="151">ROUND((G707*30%)+(H707*30%)+(I707*20%)+((D707/15)*100*15%)+(IF(C707&lt;=2,50,IF(C707=3,75,100))*5%),0)</f>
        <v>55</v>
      </c>
      <c r="U707" t="str">
        <f t="shared" ref="U707:U770" si="152">IF(T707&lt;50,"Needs Improvement",IF(T707&lt;75,"Developing","Job Ready"))</f>
        <v>Developing</v>
      </c>
      <c r="V707" t="str">
        <f t="shared" ref="V707:V770" si="153">IF(AND(G707&gt;=H707,G707&gt;=I707),"Interview",IF(H707&gt;=I707,"Technical Skills","Personality"))</f>
        <v>Interview</v>
      </c>
      <c r="W707" t="str">
        <f t="shared" ref="W707:W770" si="154">IF(AND(G707&lt;=H707,G707&lt;=I707),"Interview Preparation",IF(H707&lt;=I707,"Technical Skills","Personality &amp; Communication"))</f>
        <v>Technical Skills</v>
      </c>
      <c r="X707" t="str">
        <f t="shared" ref="X707:X770" si="155">IF(W707="Interview Preparation","Improve interview preparation and communication",IF(W707="Technical Skills","Strengthen technical skills and practical knowledge","Work on communication and personality development"))</f>
        <v>Strengthen technical skills and practical knowledge</v>
      </c>
    </row>
    <row r="708" spans="1:24" x14ac:dyDescent="0.3">
      <c r="A708">
        <v>31</v>
      </c>
      <c r="B708">
        <v>0</v>
      </c>
      <c r="C708">
        <v>3</v>
      </c>
      <c r="D708">
        <v>3</v>
      </c>
      <c r="E708">
        <v>2</v>
      </c>
      <c r="F708">
        <v>50.196547007120103</v>
      </c>
      <c r="G708">
        <v>84</v>
      </c>
      <c r="H708">
        <v>6</v>
      </c>
      <c r="I708">
        <v>70</v>
      </c>
      <c r="J708">
        <v>2</v>
      </c>
      <c r="K708">
        <v>0</v>
      </c>
      <c r="L708" t="str">
        <f t="shared" si="143"/>
        <v>C707</v>
      </c>
      <c r="M708" t="str">
        <f t="shared" si="144"/>
        <v>Male</v>
      </c>
      <c r="N708" t="str">
        <f t="shared" si="145"/>
        <v>Master's</v>
      </c>
      <c r="O708" t="str">
        <f t="shared" si="146"/>
        <v>Mid Level</v>
      </c>
      <c r="P708" t="str">
        <f t="shared" si="147"/>
        <v>Strong</v>
      </c>
      <c r="Q708" t="str">
        <f t="shared" si="148"/>
        <v>Beginner</v>
      </c>
      <c r="R708" t="str">
        <f t="shared" si="149"/>
        <v>Good</v>
      </c>
      <c r="S708" t="str">
        <f t="shared" si="150"/>
        <v>Not Hired</v>
      </c>
      <c r="T708">
        <f t="shared" si="151"/>
        <v>48</v>
      </c>
      <c r="U708" t="str">
        <f t="shared" si="152"/>
        <v>Needs Improvement</v>
      </c>
      <c r="V708" t="str">
        <f t="shared" si="153"/>
        <v>Interview</v>
      </c>
      <c r="W708" t="str">
        <f t="shared" si="154"/>
        <v>Technical Skills</v>
      </c>
      <c r="X708" t="str">
        <f t="shared" si="155"/>
        <v>Strengthen technical skills and practical knowledge</v>
      </c>
    </row>
    <row r="709" spans="1:24" x14ac:dyDescent="0.3">
      <c r="A709">
        <v>50</v>
      </c>
      <c r="B709">
        <v>0</v>
      </c>
      <c r="C709">
        <v>3</v>
      </c>
      <c r="D709">
        <v>11</v>
      </c>
      <c r="E709">
        <v>5</v>
      </c>
      <c r="F709">
        <v>46.3068768063739</v>
      </c>
      <c r="G709">
        <v>51</v>
      </c>
      <c r="H709">
        <v>14</v>
      </c>
      <c r="I709">
        <v>79</v>
      </c>
      <c r="J709">
        <v>1</v>
      </c>
      <c r="K709">
        <v>1</v>
      </c>
      <c r="L709" t="str">
        <f t="shared" si="143"/>
        <v>C708</v>
      </c>
      <c r="M709" t="str">
        <f t="shared" si="144"/>
        <v>Male</v>
      </c>
      <c r="N709" t="str">
        <f t="shared" si="145"/>
        <v>Master's</v>
      </c>
      <c r="O709" t="str">
        <f t="shared" si="146"/>
        <v>Senior Level</v>
      </c>
      <c r="P709" t="str">
        <f t="shared" si="147"/>
        <v>Average</v>
      </c>
      <c r="Q709" t="str">
        <f t="shared" si="148"/>
        <v>Beginner</v>
      </c>
      <c r="R709" t="str">
        <f t="shared" si="149"/>
        <v>Strong</v>
      </c>
      <c r="S709" t="str">
        <f t="shared" si="150"/>
        <v>Hired</v>
      </c>
      <c r="T709">
        <f t="shared" si="151"/>
        <v>50</v>
      </c>
      <c r="U709" t="str">
        <f t="shared" si="152"/>
        <v>Developing</v>
      </c>
      <c r="V709" t="str">
        <f t="shared" si="153"/>
        <v>Personality</v>
      </c>
      <c r="W709" t="str">
        <f t="shared" si="154"/>
        <v>Technical Skills</v>
      </c>
      <c r="X709" t="str">
        <f t="shared" si="155"/>
        <v>Strengthen technical skills and practical knowledge</v>
      </c>
    </row>
    <row r="710" spans="1:24" x14ac:dyDescent="0.3">
      <c r="A710">
        <v>33</v>
      </c>
      <c r="B710">
        <v>1</v>
      </c>
      <c r="C710">
        <v>2</v>
      </c>
      <c r="D710">
        <v>0</v>
      </c>
      <c r="E710">
        <v>2</v>
      </c>
      <c r="F710">
        <v>3.7722617851920699</v>
      </c>
      <c r="G710">
        <v>83</v>
      </c>
      <c r="H710">
        <v>59</v>
      </c>
      <c r="I710">
        <v>70</v>
      </c>
      <c r="J710">
        <v>2</v>
      </c>
      <c r="K710">
        <v>0</v>
      </c>
      <c r="L710" t="str">
        <f t="shared" si="143"/>
        <v>C709</v>
      </c>
      <c r="M710" t="str">
        <f t="shared" si="144"/>
        <v>Female</v>
      </c>
      <c r="N710" t="str">
        <f t="shared" si="145"/>
        <v>Bachelor's Type 2</v>
      </c>
      <c r="O710" t="str">
        <f t="shared" si="146"/>
        <v>Entry Level</v>
      </c>
      <c r="P710" t="str">
        <f t="shared" si="147"/>
        <v>Strong</v>
      </c>
      <c r="Q710" t="str">
        <f t="shared" si="148"/>
        <v>Intermediate</v>
      </c>
      <c r="R710" t="str">
        <f t="shared" si="149"/>
        <v>Good</v>
      </c>
      <c r="S710" t="str">
        <f t="shared" si="150"/>
        <v>Not Hired</v>
      </c>
      <c r="T710">
        <f t="shared" si="151"/>
        <v>59</v>
      </c>
      <c r="U710" t="str">
        <f t="shared" si="152"/>
        <v>Developing</v>
      </c>
      <c r="V710" t="str">
        <f t="shared" si="153"/>
        <v>Interview</v>
      </c>
      <c r="W710" t="str">
        <f t="shared" si="154"/>
        <v>Technical Skills</v>
      </c>
      <c r="X710" t="str">
        <f t="shared" si="155"/>
        <v>Strengthen technical skills and practical knowledge</v>
      </c>
    </row>
    <row r="711" spans="1:24" x14ac:dyDescent="0.3">
      <c r="A711">
        <v>21</v>
      </c>
      <c r="B711">
        <v>1</v>
      </c>
      <c r="C711">
        <v>2</v>
      </c>
      <c r="D711">
        <v>11</v>
      </c>
      <c r="E711">
        <v>4</v>
      </c>
      <c r="F711">
        <v>42.651713197053397</v>
      </c>
      <c r="G711">
        <v>67</v>
      </c>
      <c r="H711">
        <v>39</v>
      </c>
      <c r="I711">
        <v>26</v>
      </c>
      <c r="J711">
        <v>1</v>
      </c>
      <c r="K711">
        <v>0</v>
      </c>
      <c r="L711" t="str">
        <f t="shared" si="143"/>
        <v>C710</v>
      </c>
      <c r="M711" t="str">
        <f t="shared" si="144"/>
        <v>Female</v>
      </c>
      <c r="N711" t="str">
        <f t="shared" si="145"/>
        <v>Bachelor's Type 2</v>
      </c>
      <c r="O711" t="str">
        <f t="shared" si="146"/>
        <v>Senior Level</v>
      </c>
      <c r="P711" t="str">
        <f t="shared" si="147"/>
        <v>Average</v>
      </c>
      <c r="Q711" t="str">
        <f t="shared" si="148"/>
        <v>Beginner</v>
      </c>
      <c r="R711" t="str">
        <f t="shared" si="149"/>
        <v>Needs Improvement</v>
      </c>
      <c r="S711" t="str">
        <f t="shared" si="150"/>
        <v>Not Hired</v>
      </c>
      <c r="T711">
        <f t="shared" si="151"/>
        <v>51</v>
      </c>
      <c r="U711" t="str">
        <f t="shared" si="152"/>
        <v>Developing</v>
      </c>
      <c r="V711" t="str">
        <f t="shared" si="153"/>
        <v>Interview</v>
      </c>
      <c r="W711" t="str">
        <f t="shared" si="154"/>
        <v>Personality &amp; Communication</v>
      </c>
      <c r="X711" t="str">
        <f t="shared" si="155"/>
        <v>Work on communication and personality development</v>
      </c>
    </row>
    <row r="712" spans="1:24" x14ac:dyDescent="0.3">
      <c r="A712">
        <v>48</v>
      </c>
      <c r="B712">
        <v>1</v>
      </c>
      <c r="C712">
        <v>4</v>
      </c>
      <c r="D712">
        <v>7</v>
      </c>
      <c r="E712">
        <v>2</v>
      </c>
      <c r="F712">
        <v>23.890246627960298</v>
      </c>
      <c r="G712">
        <v>10</v>
      </c>
      <c r="H712">
        <v>82</v>
      </c>
      <c r="I712">
        <v>77</v>
      </c>
      <c r="J712">
        <v>1</v>
      </c>
      <c r="K712">
        <v>1</v>
      </c>
      <c r="L712" t="str">
        <f t="shared" si="143"/>
        <v>C711</v>
      </c>
      <c r="M712" t="str">
        <f t="shared" si="144"/>
        <v>Female</v>
      </c>
      <c r="N712" t="str">
        <f t="shared" si="145"/>
        <v>PhD</v>
      </c>
      <c r="O712" t="str">
        <f t="shared" si="146"/>
        <v>Senior Level</v>
      </c>
      <c r="P712" t="str">
        <f t="shared" si="147"/>
        <v>Low</v>
      </c>
      <c r="Q712" t="str">
        <f t="shared" si="148"/>
        <v>Advanced</v>
      </c>
      <c r="R712" t="str">
        <f t="shared" si="149"/>
        <v>Strong</v>
      </c>
      <c r="S712" t="str">
        <f t="shared" si="150"/>
        <v>Hired</v>
      </c>
      <c r="T712">
        <f t="shared" si="151"/>
        <v>55</v>
      </c>
      <c r="U712" t="str">
        <f t="shared" si="152"/>
        <v>Developing</v>
      </c>
      <c r="V712" t="str">
        <f t="shared" si="153"/>
        <v>Technical Skills</v>
      </c>
      <c r="W712" t="str">
        <f t="shared" si="154"/>
        <v>Interview Preparation</v>
      </c>
      <c r="X712" t="str">
        <f t="shared" si="155"/>
        <v>Improve interview preparation and communication</v>
      </c>
    </row>
    <row r="713" spans="1:24" x14ac:dyDescent="0.3">
      <c r="A713">
        <v>38</v>
      </c>
      <c r="B713">
        <v>1</v>
      </c>
      <c r="C713">
        <v>2</v>
      </c>
      <c r="D713">
        <v>0</v>
      </c>
      <c r="E713">
        <v>1</v>
      </c>
      <c r="F713">
        <v>13.948080251248699</v>
      </c>
      <c r="G713">
        <v>76</v>
      </c>
      <c r="H713">
        <v>36</v>
      </c>
      <c r="I713">
        <v>77</v>
      </c>
      <c r="J713">
        <v>2</v>
      </c>
      <c r="K713">
        <v>0</v>
      </c>
      <c r="L713" t="str">
        <f t="shared" si="143"/>
        <v>C712</v>
      </c>
      <c r="M713" t="str">
        <f t="shared" si="144"/>
        <v>Female</v>
      </c>
      <c r="N713" t="str">
        <f t="shared" si="145"/>
        <v>Bachelor's Type 2</v>
      </c>
      <c r="O713" t="str">
        <f t="shared" si="146"/>
        <v>Entry Level</v>
      </c>
      <c r="P713" t="str">
        <f t="shared" si="147"/>
        <v>Strong</v>
      </c>
      <c r="Q713" t="str">
        <f t="shared" si="148"/>
        <v>Beginner</v>
      </c>
      <c r="R713" t="str">
        <f t="shared" si="149"/>
        <v>Strong</v>
      </c>
      <c r="S713" t="str">
        <f t="shared" si="150"/>
        <v>Not Hired</v>
      </c>
      <c r="T713">
        <f t="shared" si="151"/>
        <v>52</v>
      </c>
      <c r="U713" t="str">
        <f t="shared" si="152"/>
        <v>Developing</v>
      </c>
      <c r="V713" t="str">
        <f t="shared" si="153"/>
        <v>Personality</v>
      </c>
      <c r="W713" t="str">
        <f t="shared" si="154"/>
        <v>Technical Skills</v>
      </c>
      <c r="X713" t="str">
        <f t="shared" si="155"/>
        <v>Strengthen technical skills and practical knowledge</v>
      </c>
    </row>
    <row r="714" spans="1:24" x14ac:dyDescent="0.3">
      <c r="A714">
        <v>37</v>
      </c>
      <c r="B714">
        <v>0</v>
      </c>
      <c r="C714">
        <v>2</v>
      </c>
      <c r="D714">
        <v>4</v>
      </c>
      <c r="E714">
        <v>1</v>
      </c>
      <c r="F714">
        <v>44.937326183846402</v>
      </c>
      <c r="G714">
        <v>72</v>
      </c>
      <c r="H714">
        <v>65</v>
      </c>
      <c r="I714">
        <v>43</v>
      </c>
      <c r="J714">
        <v>3</v>
      </c>
      <c r="K714">
        <v>0</v>
      </c>
      <c r="L714" t="str">
        <f t="shared" si="143"/>
        <v>C713</v>
      </c>
      <c r="M714" t="str">
        <f t="shared" si="144"/>
        <v>Male</v>
      </c>
      <c r="N714" t="str">
        <f t="shared" si="145"/>
        <v>Bachelor's Type 2</v>
      </c>
      <c r="O714" t="str">
        <f t="shared" si="146"/>
        <v>Mid Level</v>
      </c>
      <c r="P714" t="str">
        <f t="shared" si="147"/>
        <v>Average</v>
      </c>
      <c r="Q714" t="str">
        <f t="shared" si="148"/>
        <v>Intermediate</v>
      </c>
      <c r="R714" t="str">
        <f t="shared" si="149"/>
        <v>Needs Improvement</v>
      </c>
      <c r="S714" t="str">
        <f t="shared" si="150"/>
        <v>Not Hired</v>
      </c>
      <c r="T714">
        <f t="shared" si="151"/>
        <v>56</v>
      </c>
      <c r="U714" t="str">
        <f t="shared" si="152"/>
        <v>Developing</v>
      </c>
      <c r="V714" t="str">
        <f t="shared" si="153"/>
        <v>Interview</v>
      </c>
      <c r="W714" t="str">
        <f t="shared" si="154"/>
        <v>Personality &amp; Communication</v>
      </c>
      <c r="X714" t="str">
        <f t="shared" si="155"/>
        <v>Work on communication and personality development</v>
      </c>
    </row>
    <row r="715" spans="1:24" x14ac:dyDescent="0.3">
      <c r="A715">
        <v>22</v>
      </c>
      <c r="B715">
        <v>1</v>
      </c>
      <c r="C715">
        <v>3</v>
      </c>
      <c r="D715">
        <v>14</v>
      </c>
      <c r="E715">
        <v>5</v>
      </c>
      <c r="F715">
        <v>10.8333616195153</v>
      </c>
      <c r="G715">
        <v>3</v>
      </c>
      <c r="H715">
        <v>54</v>
      </c>
      <c r="I715">
        <v>32</v>
      </c>
      <c r="J715">
        <v>2</v>
      </c>
      <c r="K715">
        <v>0</v>
      </c>
      <c r="L715" t="str">
        <f t="shared" si="143"/>
        <v>C714</v>
      </c>
      <c r="M715" t="str">
        <f t="shared" si="144"/>
        <v>Female</v>
      </c>
      <c r="N715" t="str">
        <f t="shared" si="145"/>
        <v>Master's</v>
      </c>
      <c r="O715" t="str">
        <f t="shared" si="146"/>
        <v>Senior Level</v>
      </c>
      <c r="P715" t="str">
        <f t="shared" si="147"/>
        <v>Low</v>
      </c>
      <c r="Q715" t="str">
        <f t="shared" si="148"/>
        <v>Intermediate</v>
      </c>
      <c r="R715" t="str">
        <f t="shared" si="149"/>
        <v>Needs Improvement</v>
      </c>
      <c r="S715" t="str">
        <f t="shared" si="150"/>
        <v>Not Hired</v>
      </c>
      <c r="T715">
        <f t="shared" si="151"/>
        <v>41</v>
      </c>
      <c r="U715" t="str">
        <f t="shared" si="152"/>
        <v>Needs Improvement</v>
      </c>
      <c r="V715" t="str">
        <f t="shared" si="153"/>
        <v>Technical Skills</v>
      </c>
      <c r="W715" t="str">
        <f t="shared" si="154"/>
        <v>Interview Preparation</v>
      </c>
      <c r="X715" t="str">
        <f t="shared" si="155"/>
        <v>Improve interview preparation and communication</v>
      </c>
    </row>
    <row r="716" spans="1:24" x14ac:dyDescent="0.3">
      <c r="A716">
        <v>42</v>
      </c>
      <c r="B716">
        <v>1</v>
      </c>
      <c r="C716">
        <v>2</v>
      </c>
      <c r="D716">
        <v>5</v>
      </c>
      <c r="E716">
        <v>3</v>
      </c>
      <c r="F716">
        <v>48.3649999710033</v>
      </c>
      <c r="G716">
        <v>75</v>
      </c>
      <c r="H716">
        <v>76</v>
      </c>
      <c r="I716">
        <v>32</v>
      </c>
      <c r="J716">
        <v>3</v>
      </c>
      <c r="K716">
        <v>0</v>
      </c>
      <c r="L716" t="str">
        <f t="shared" si="143"/>
        <v>C715</v>
      </c>
      <c r="M716" t="str">
        <f t="shared" si="144"/>
        <v>Female</v>
      </c>
      <c r="N716" t="str">
        <f t="shared" si="145"/>
        <v>Bachelor's Type 2</v>
      </c>
      <c r="O716" t="str">
        <f t="shared" si="146"/>
        <v>Mid Level</v>
      </c>
      <c r="P716" t="str">
        <f t="shared" si="147"/>
        <v>Strong</v>
      </c>
      <c r="Q716" t="str">
        <f t="shared" si="148"/>
        <v>Advanced</v>
      </c>
      <c r="R716" t="str">
        <f t="shared" si="149"/>
        <v>Needs Improvement</v>
      </c>
      <c r="S716" t="str">
        <f t="shared" si="150"/>
        <v>Not Hired</v>
      </c>
      <c r="T716">
        <f t="shared" si="151"/>
        <v>59</v>
      </c>
      <c r="U716" t="str">
        <f t="shared" si="152"/>
        <v>Developing</v>
      </c>
      <c r="V716" t="str">
        <f t="shared" si="153"/>
        <v>Technical Skills</v>
      </c>
      <c r="W716" t="str">
        <f t="shared" si="154"/>
        <v>Personality &amp; Communication</v>
      </c>
      <c r="X716" t="str">
        <f t="shared" si="155"/>
        <v>Work on communication and personality development</v>
      </c>
    </row>
    <row r="717" spans="1:24" x14ac:dyDescent="0.3">
      <c r="A717">
        <v>36</v>
      </c>
      <c r="B717">
        <v>0</v>
      </c>
      <c r="C717">
        <v>2</v>
      </c>
      <c r="D717">
        <v>5</v>
      </c>
      <c r="E717">
        <v>4</v>
      </c>
      <c r="F717">
        <v>11.281074384967001</v>
      </c>
      <c r="G717">
        <v>72</v>
      </c>
      <c r="H717">
        <v>94</v>
      </c>
      <c r="I717">
        <v>43</v>
      </c>
      <c r="J717">
        <v>3</v>
      </c>
      <c r="K717">
        <v>0</v>
      </c>
      <c r="L717" t="str">
        <f t="shared" si="143"/>
        <v>C716</v>
      </c>
      <c r="M717" t="str">
        <f t="shared" si="144"/>
        <v>Male</v>
      </c>
      <c r="N717" t="str">
        <f t="shared" si="145"/>
        <v>Bachelor's Type 2</v>
      </c>
      <c r="O717" t="str">
        <f t="shared" si="146"/>
        <v>Mid Level</v>
      </c>
      <c r="P717" t="str">
        <f t="shared" si="147"/>
        <v>Average</v>
      </c>
      <c r="Q717" t="str">
        <f t="shared" si="148"/>
        <v>Advanced</v>
      </c>
      <c r="R717" t="str">
        <f t="shared" si="149"/>
        <v>Needs Improvement</v>
      </c>
      <c r="S717" t="str">
        <f t="shared" si="150"/>
        <v>Not Hired</v>
      </c>
      <c r="T717">
        <f t="shared" si="151"/>
        <v>66</v>
      </c>
      <c r="U717" t="str">
        <f t="shared" si="152"/>
        <v>Developing</v>
      </c>
      <c r="V717" t="str">
        <f t="shared" si="153"/>
        <v>Technical Skills</v>
      </c>
      <c r="W717" t="str">
        <f t="shared" si="154"/>
        <v>Personality &amp; Communication</v>
      </c>
      <c r="X717" t="str">
        <f t="shared" si="155"/>
        <v>Work on communication and personality development</v>
      </c>
    </row>
    <row r="718" spans="1:24" x14ac:dyDescent="0.3">
      <c r="A718">
        <v>45</v>
      </c>
      <c r="B718">
        <v>1</v>
      </c>
      <c r="C718">
        <v>2</v>
      </c>
      <c r="D718">
        <v>12</v>
      </c>
      <c r="E718">
        <v>4</v>
      </c>
      <c r="F718">
        <v>31.684159386437099</v>
      </c>
      <c r="G718">
        <v>76</v>
      </c>
      <c r="H718">
        <v>79</v>
      </c>
      <c r="I718">
        <v>19</v>
      </c>
      <c r="J718">
        <v>1</v>
      </c>
      <c r="K718">
        <v>1</v>
      </c>
      <c r="L718" t="str">
        <f t="shared" si="143"/>
        <v>C717</v>
      </c>
      <c r="M718" t="str">
        <f t="shared" si="144"/>
        <v>Female</v>
      </c>
      <c r="N718" t="str">
        <f t="shared" si="145"/>
        <v>Bachelor's Type 2</v>
      </c>
      <c r="O718" t="str">
        <f t="shared" si="146"/>
        <v>Senior Level</v>
      </c>
      <c r="P718" t="str">
        <f t="shared" si="147"/>
        <v>Strong</v>
      </c>
      <c r="Q718" t="str">
        <f t="shared" si="148"/>
        <v>Advanced</v>
      </c>
      <c r="R718" t="str">
        <f t="shared" si="149"/>
        <v>Needs Improvement</v>
      </c>
      <c r="S718" t="str">
        <f t="shared" si="150"/>
        <v>Hired</v>
      </c>
      <c r="T718">
        <f t="shared" si="151"/>
        <v>65</v>
      </c>
      <c r="U718" t="str">
        <f t="shared" si="152"/>
        <v>Developing</v>
      </c>
      <c r="V718" t="str">
        <f t="shared" si="153"/>
        <v>Technical Skills</v>
      </c>
      <c r="W718" t="str">
        <f t="shared" si="154"/>
        <v>Personality &amp; Communication</v>
      </c>
      <c r="X718" t="str">
        <f t="shared" si="155"/>
        <v>Work on communication and personality development</v>
      </c>
    </row>
    <row r="719" spans="1:24" x14ac:dyDescent="0.3">
      <c r="A719">
        <v>27</v>
      </c>
      <c r="B719">
        <v>0</v>
      </c>
      <c r="C719">
        <v>3</v>
      </c>
      <c r="D719">
        <v>4</v>
      </c>
      <c r="E719">
        <v>3</v>
      </c>
      <c r="F719">
        <v>12.1543167264487</v>
      </c>
      <c r="G719">
        <v>47</v>
      </c>
      <c r="H719">
        <v>55</v>
      </c>
      <c r="I719">
        <v>35</v>
      </c>
      <c r="J719">
        <v>2</v>
      </c>
      <c r="K719">
        <v>0</v>
      </c>
      <c r="L719" t="str">
        <f t="shared" si="143"/>
        <v>C718</v>
      </c>
      <c r="M719" t="str">
        <f t="shared" si="144"/>
        <v>Male</v>
      </c>
      <c r="N719" t="str">
        <f t="shared" si="145"/>
        <v>Master's</v>
      </c>
      <c r="O719" t="str">
        <f t="shared" si="146"/>
        <v>Mid Level</v>
      </c>
      <c r="P719" t="str">
        <f t="shared" si="147"/>
        <v>Low</v>
      </c>
      <c r="Q719" t="str">
        <f t="shared" si="148"/>
        <v>Intermediate</v>
      </c>
      <c r="R719" t="str">
        <f t="shared" si="149"/>
        <v>Needs Improvement</v>
      </c>
      <c r="S719" t="str">
        <f t="shared" si="150"/>
        <v>Not Hired</v>
      </c>
      <c r="T719">
        <f t="shared" si="151"/>
        <v>45</v>
      </c>
      <c r="U719" t="str">
        <f t="shared" si="152"/>
        <v>Needs Improvement</v>
      </c>
      <c r="V719" t="str">
        <f t="shared" si="153"/>
        <v>Technical Skills</v>
      </c>
      <c r="W719" t="str">
        <f t="shared" si="154"/>
        <v>Personality &amp; Communication</v>
      </c>
      <c r="X719" t="str">
        <f t="shared" si="155"/>
        <v>Work on communication and personality development</v>
      </c>
    </row>
    <row r="720" spans="1:24" x14ac:dyDescent="0.3">
      <c r="A720">
        <v>48</v>
      </c>
      <c r="B720">
        <v>0</v>
      </c>
      <c r="C720">
        <v>2</v>
      </c>
      <c r="D720">
        <v>15</v>
      </c>
      <c r="E720">
        <v>1</v>
      </c>
      <c r="F720">
        <v>28.283433248431699</v>
      </c>
      <c r="G720">
        <v>25</v>
      </c>
      <c r="H720">
        <v>43</v>
      </c>
      <c r="I720">
        <v>6</v>
      </c>
      <c r="J720">
        <v>2</v>
      </c>
      <c r="K720">
        <v>0</v>
      </c>
      <c r="L720" t="str">
        <f t="shared" si="143"/>
        <v>C719</v>
      </c>
      <c r="M720" t="str">
        <f t="shared" si="144"/>
        <v>Male</v>
      </c>
      <c r="N720" t="str">
        <f t="shared" si="145"/>
        <v>Bachelor's Type 2</v>
      </c>
      <c r="O720" t="str">
        <f t="shared" si="146"/>
        <v>Senior Level</v>
      </c>
      <c r="P720" t="str">
        <f t="shared" si="147"/>
        <v>Low</v>
      </c>
      <c r="Q720" t="str">
        <f t="shared" si="148"/>
        <v>Beginner</v>
      </c>
      <c r="R720" t="str">
        <f t="shared" si="149"/>
        <v>Needs Improvement</v>
      </c>
      <c r="S720" t="str">
        <f t="shared" si="150"/>
        <v>Not Hired</v>
      </c>
      <c r="T720">
        <f t="shared" si="151"/>
        <v>39</v>
      </c>
      <c r="U720" t="str">
        <f t="shared" si="152"/>
        <v>Needs Improvement</v>
      </c>
      <c r="V720" t="str">
        <f t="shared" si="153"/>
        <v>Technical Skills</v>
      </c>
      <c r="W720" t="str">
        <f t="shared" si="154"/>
        <v>Personality &amp; Communication</v>
      </c>
      <c r="X720" t="str">
        <f t="shared" si="155"/>
        <v>Work on communication and personality development</v>
      </c>
    </row>
    <row r="721" spans="1:24" x14ac:dyDescent="0.3">
      <c r="A721">
        <v>45</v>
      </c>
      <c r="B721">
        <v>0</v>
      </c>
      <c r="C721">
        <v>2</v>
      </c>
      <c r="D721">
        <v>2</v>
      </c>
      <c r="E721">
        <v>1</v>
      </c>
      <c r="F721">
        <v>35.198756495757003</v>
      </c>
      <c r="G721">
        <v>76</v>
      </c>
      <c r="H721">
        <v>56</v>
      </c>
      <c r="I721">
        <v>31</v>
      </c>
      <c r="J721">
        <v>3</v>
      </c>
      <c r="K721">
        <v>0</v>
      </c>
      <c r="L721" t="str">
        <f t="shared" si="143"/>
        <v>C720</v>
      </c>
      <c r="M721" t="str">
        <f t="shared" si="144"/>
        <v>Male</v>
      </c>
      <c r="N721" t="str">
        <f t="shared" si="145"/>
        <v>Bachelor's Type 2</v>
      </c>
      <c r="O721" t="str">
        <f t="shared" si="146"/>
        <v>Entry Level</v>
      </c>
      <c r="P721" t="str">
        <f t="shared" si="147"/>
        <v>Strong</v>
      </c>
      <c r="Q721" t="str">
        <f t="shared" si="148"/>
        <v>Intermediate</v>
      </c>
      <c r="R721" t="str">
        <f t="shared" si="149"/>
        <v>Needs Improvement</v>
      </c>
      <c r="S721" t="str">
        <f t="shared" si="150"/>
        <v>Not Hired</v>
      </c>
      <c r="T721">
        <f t="shared" si="151"/>
        <v>50</v>
      </c>
      <c r="U721" t="str">
        <f t="shared" si="152"/>
        <v>Developing</v>
      </c>
      <c r="V721" t="str">
        <f t="shared" si="153"/>
        <v>Interview</v>
      </c>
      <c r="W721" t="str">
        <f t="shared" si="154"/>
        <v>Personality &amp; Communication</v>
      </c>
      <c r="X721" t="str">
        <f t="shared" si="155"/>
        <v>Work on communication and personality development</v>
      </c>
    </row>
    <row r="722" spans="1:24" x14ac:dyDescent="0.3">
      <c r="A722">
        <v>29</v>
      </c>
      <c r="B722">
        <v>1</v>
      </c>
      <c r="C722">
        <v>2</v>
      </c>
      <c r="D722">
        <v>14</v>
      </c>
      <c r="E722">
        <v>2</v>
      </c>
      <c r="F722">
        <v>10.5113965410068</v>
      </c>
      <c r="G722">
        <v>38</v>
      </c>
      <c r="H722">
        <v>5</v>
      </c>
      <c r="I722">
        <v>66</v>
      </c>
      <c r="J722">
        <v>2</v>
      </c>
      <c r="K722">
        <v>0</v>
      </c>
      <c r="L722" t="str">
        <f t="shared" si="143"/>
        <v>C721</v>
      </c>
      <c r="M722" t="str">
        <f t="shared" si="144"/>
        <v>Female</v>
      </c>
      <c r="N722" t="str">
        <f t="shared" si="145"/>
        <v>Bachelor's Type 2</v>
      </c>
      <c r="O722" t="str">
        <f t="shared" si="146"/>
        <v>Senior Level</v>
      </c>
      <c r="P722" t="str">
        <f t="shared" si="147"/>
        <v>Low</v>
      </c>
      <c r="Q722" t="str">
        <f t="shared" si="148"/>
        <v>Beginner</v>
      </c>
      <c r="R722" t="str">
        <f t="shared" si="149"/>
        <v>Good</v>
      </c>
      <c r="S722" t="str">
        <f t="shared" si="150"/>
        <v>Not Hired</v>
      </c>
      <c r="T722">
        <f t="shared" si="151"/>
        <v>43</v>
      </c>
      <c r="U722" t="str">
        <f t="shared" si="152"/>
        <v>Needs Improvement</v>
      </c>
      <c r="V722" t="str">
        <f t="shared" si="153"/>
        <v>Personality</v>
      </c>
      <c r="W722" t="str">
        <f t="shared" si="154"/>
        <v>Technical Skills</v>
      </c>
      <c r="X722" t="str">
        <f t="shared" si="155"/>
        <v>Strengthen technical skills and practical knowledge</v>
      </c>
    </row>
    <row r="723" spans="1:24" x14ac:dyDescent="0.3">
      <c r="A723">
        <v>45</v>
      </c>
      <c r="B723">
        <v>1</v>
      </c>
      <c r="C723">
        <v>2</v>
      </c>
      <c r="D723">
        <v>4</v>
      </c>
      <c r="E723">
        <v>5</v>
      </c>
      <c r="F723">
        <v>27.0442891350339</v>
      </c>
      <c r="G723">
        <v>91</v>
      </c>
      <c r="H723">
        <v>91</v>
      </c>
      <c r="I723">
        <v>38</v>
      </c>
      <c r="J723">
        <v>3</v>
      </c>
      <c r="K723">
        <v>0</v>
      </c>
      <c r="L723" t="str">
        <f t="shared" si="143"/>
        <v>C722</v>
      </c>
      <c r="M723" t="str">
        <f t="shared" si="144"/>
        <v>Female</v>
      </c>
      <c r="N723" t="str">
        <f t="shared" si="145"/>
        <v>Bachelor's Type 2</v>
      </c>
      <c r="O723" t="str">
        <f t="shared" si="146"/>
        <v>Mid Level</v>
      </c>
      <c r="P723" t="str">
        <f t="shared" si="147"/>
        <v>Strong</v>
      </c>
      <c r="Q723" t="str">
        <f t="shared" si="148"/>
        <v>Advanced</v>
      </c>
      <c r="R723" t="str">
        <f t="shared" si="149"/>
        <v>Needs Improvement</v>
      </c>
      <c r="S723" t="str">
        <f t="shared" si="150"/>
        <v>Not Hired</v>
      </c>
      <c r="T723">
        <f t="shared" si="151"/>
        <v>69</v>
      </c>
      <c r="U723" t="str">
        <f t="shared" si="152"/>
        <v>Developing</v>
      </c>
      <c r="V723" t="str">
        <f t="shared" si="153"/>
        <v>Interview</v>
      </c>
      <c r="W723" t="str">
        <f t="shared" si="154"/>
        <v>Personality &amp; Communication</v>
      </c>
      <c r="X723" t="str">
        <f t="shared" si="155"/>
        <v>Work on communication and personality development</v>
      </c>
    </row>
    <row r="724" spans="1:24" x14ac:dyDescent="0.3">
      <c r="A724">
        <v>49</v>
      </c>
      <c r="B724">
        <v>0</v>
      </c>
      <c r="C724">
        <v>2</v>
      </c>
      <c r="D724">
        <v>11</v>
      </c>
      <c r="E724">
        <v>5</v>
      </c>
      <c r="F724">
        <v>24.4529872195059</v>
      </c>
      <c r="G724">
        <v>57</v>
      </c>
      <c r="H724">
        <v>31</v>
      </c>
      <c r="I724">
        <v>92</v>
      </c>
      <c r="J724">
        <v>1</v>
      </c>
      <c r="K724">
        <v>1</v>
      </c>
      <c r="L724" t="str">
        <f t="shared" si="143"/>
        <v>C723</v>
      </c>
      <c r="M724" t="str">
        <f t="shared" si="144"/>
        <v>Male</v>
      </c>
      <c r="N724" t="str">
        <f t="shared" si="145"/>
        <v>Bachelor's Type 2</v>
      </c>
      <c r="O724" t="str">
        <f t="shared" si="146"/>
        <v>Senior Level</v>
      </c>
      <c r="P724" t="str">
        <f t="shared" si="147"/>
        <v>Average</v>
      </c>
      <c r="Q724" t="str">
        <f t="shared" si="148"/>
        <v>Beginner</v>
      </c>
      <c r="R724" t="str">
        <f t="shared" si="149"/>
        <v>Strong</v>
      </c>
      <c r="S724" t="str">
        <f t="shared" si="150"/>
        <v>Hired</v>
      </c>
      <c r="T724">
        <f t="shared" si="151"/>
        <v>58</v>
      </c>
      <c r="U724" t="str">
        <f t="shared" si="152"/>
        <v>Developing</v>
      </c>
      <c r="V724" t="str">
        <f t="shared" si="153"/>
        <v>Personality</v>
      </c>
      <c r="W724" t="str">
        <f t="shared" si="154"/>
        <v>Technical Skills</v>
      </c>
      <c r="X724" t="str">
        <f t="shared" si="155"/>
        <v>Strengthen technical skills and practical knowledge</v>
      </c>
    </row>
    <row r="725" spans="1:24" x14ac:dyDescent="0.3">
      <c r="A725">
        <v>21</v>
      </c>
      <c r="B725">
        <v>1</v>
      </c>
      <c r="C725">
        <v>3</v>
      </c>
      <c r="D725">
        <v>7</v>
      </c>
      <c r="E725">
        <v>5</v>
      </c>
      <c r="F725">
        <v>4.5518710701670599</v>
      </c>
      <c r="G725">
        <v>18</v>
      </c>
      <c r="H725">
        <v>73</v>
      </c>
      <c r="I725">
        <v>23</v>
      </c>
      <c r="J725">
        <v>1</v>
      </c>
      <c r="K725">
        <v>1</v>
      </c>
      <c r="L725" t="str">
        <f t="shared" si="143"/>
        <v>C724</v>
      </c>
      <c r="M725" t="str">
        <f t="shared" si="144"/>
        <v>Female</v>
      </c>
      <c r="N725" t="str">
        <f t="shared" si="145"/>
        <v>Master's</v>
      </c>
      <c r="O725" t="str">
        <f t="shared" si="146"/>
        <v>Senior Level</v>
      </c>
      <c r="P725" t="str">
        <f t="shared" si="147"/>
        <v>Low</v>
      </c>
      <c r="Q725" t="str">
        <f t="shared" si="148"/>
        <v>Intermediate</v>
      </c>
      <c r="R725" t="str">
        <f t="shared" si="149"/>
        <v>Needs Improvement</v>
      </c>
      <c r="S725" t="str">
        <f t="shared" si="150"/>
        <v>Hired</v>
      </c>
      <c r="T725">
        <f t="shared" si="151"/>
        <v>43</v>
      </c>
      <c r="U725" t="str">
        <f t="shared" si="152"/>
        <v>Needs Improvement</v>
      </c>
      <c r="V725" t="str">
        <f t="shared" si="153"/>
        <v>Technical Skills</v>
      </c>
      <c r="W725" t="str">
        <f t="shared" si="154"/>
        <v>Interview Preparation</v>
      </c>
      <c r="X725" t="str">
        <f t="shared" si="155"/>
        <v>Improve interview preparation and communication</v>
      </c>
    </row>
    <row r="726" spans="1:24" x14ac:dyDescent="0.3">
      <c r="A726">
        <v>38</v>
      </c>
      <c r="B726">
        <v>1</v>
      </c>
      <c r="C726">
        <v>2</v>
      </c>
      <c r="D726">
        <v>13</v>
      </c>
      <c r="E726">
        <v>2</v>
      </c>
      <c r="F726">
        <v>41.915390883765099</v>
      </c>
      <c r="G726">
        <v>87</v>
      </c>
      <c r="H726">
        <v>17</v>
      </c>
      <c r="I726">
        <v>85</v>
      </c>
      <c r="J726">
        <v>2</v>
      </c>
      <c r="K726">
        <v>0</v>
      </c>
      <c r="L726" t="str">
        <f t="shared" si="143"/>
        <v>C725</v>
      </c>
      <c r="M726" t="str">
        <f t="shared" si="144"/>
        <v>Female</v>
      </c>
      <c r="N726" t="str">
        <f t="shared" si="145"/>
        <v>Bachelor's Type 2</v>
      </c>
      <c r="O726" t="str">
        <f t="shared" si="146"/>
        <v>Senior Level</v>
      </c>
      <c r="P726" t="str">
        <f t="shared" si="147"/>
        <v>Strong</v>
      </c>
      <c r="Q726" t="str">
        <f t="shared" si="148"/>
        <v>Beginner</v>
      </c>
      <c r="R726" t="str">
        <f t="shared" si="149"/>
        <v>Strong</v>
      </c>
      <c r="S726" t="str">
        <f t="shared" si="150"/>
        <v>Not Hired</v>
      </c>
      <c r="T726">
        <f t="shared" si="151"/>
        <v>64</v>
      </c>
      <c r="U726" t="str">
        <f t="shared" si="152"/>
        <v>Developing</v>
      </c>
      <c r="V726" t="str">
        <f t="shared" si="153"/>
        <v>Interview</v>
      </c>
      <c r="W726" t="str">
        <f t="shared" si="154"/>
        <v>Technical Skills</v>
      </c>
      <c r="X726" t="str">
        <f t="shared" si="155"/>
        <v>Strengthen technical skills and practical knowledge</v>
      </c>
    </row>
    <row r="727" spans="1:24" x14ac:dyDescent="0.3">
      <c r="A727">
        <v>28</v>
      </c>
      <c r="B727">
        <v>0</v>
      </c>
      <c r="C727">
        <v>1</v>
      </c>
      <c r="D727">
        <v>1</v>
      </c>
      <c r="E727">
        <v>5</v>
      </c>
      <c r="F727">
        <v>17.784120032141999</v>
      </c>
      <c r="G727">
        <v>82</v>
      </c>
      <c r="H727">
        <v>67</v>
      </c>
      <c r="I727">
        <v>69</v>
      </c>
      <c r="J727">
        <v>2</v>
      </c>
      <c r="K727">
        <v>0</v>
      </c>
      <c r="L727" t="str">
        <f t="shared" si="143"/>
        <v>C726</v>
      </c>
      <c r="M727" t="str">
        <f t="shared" si="144"/>
        <v>Male</v>
      </c>
      <c r="N727" t="str">
        <f t="shared" si="145"/>
        <v>Bachelor's Type 1</v>
      </c>
      <c r="O727" t="str">
        <f t="shared" si="146"/>
        <v>Entry Level</v>
      </c>
      <c r="P727" t="str">
        <f t="shared" si="147"/>
        <v>Strong</v>
      </c>
      <c r="Q727" t="str">
        <f t="shared" si="148"/>
        <v>Intermediate</v>
      </c>
      <c r="R727" t="str">
        <f t="shared" si="149"/>
        <v>Good</v>
      </c>
      <c r="S727" t="str">
        <f t="shared" si="150"/>
        <v>Not Hired</v>
      </c>
      <c r="T727">
        <f t="shared" si="151"/>
        <v>62</v>
      </c>
      <c r="U727" t="str">
        <f t="shared" si="152"/>
        <v>Developing</v>
      </c>
      <c r="V727" t="str">
        <f t="shared" si="153"/>
        <v>Interview</v>
      </c>
      <c r="W727" t="str">
        <f t="shared" si="154"/>
        <v>Technical Skills</v>
      </c>
      <c r="X727" t="str">
        <f t="shared" si="155"/>
        <v>Strengthen technical skills and practical knowledge</v>
      </c>
    </row>
    <row r="728" spans="1:24" x14ac:dyDescent="0.3">
      <c r="A728">
        <v>26</v>
      </c>
      <c r="B728">
        <v>0</v>
      </c>
      <c r="C728">
        <v>3</v>
      </c>
      <c r="D728">
        <v>15</v>
      </c>
      <c r="E728">
        <v>3</v>
      </c>
      <c r="F728">
        <v>29.729109877593899</v>
      </c>
      <c r="G728">
        <v>76</v>
      </c>
      <c r="H728">
        <v>72</v>
      </c>
      <c r="I728">
        <v>87</v>
      </c>
      <c r="J728">
        <v>1</v>
      </c>
      <c r="K728">
        <v>1</v>
      </c>
      <c r="L728" t="str">
        <f t="shared" si="143"/>
        <v>C727</v>
      </c>
      <c r="M728" t="str">
        <f t="shared" si="144"/>
        <v>Male</v>
      </c>
      <c r="N728" t="str">
        <f t="shared" si="145"/>
        <v>Master's</v>
      </c>
      <c r="O728" t="str">
        <f t="shared" si="146"/>
        <v>Senior Level</v>
      </c>
      <c r="P728" t="str">
        <f t="shared" si="147"/>
        <v>Strong</v>
      </c>
      <c r="Q728" t="str">
        <f t="shared" si="148"/>
        <v>Intermediate</v>
      </c>
      <c r="R728" t="str">
        <f t="shared" si="149"/>
        <v>Strong</v>
      </c>
      <c r="S728" t="str">
        <f t="shared" si="150"/>
        <v>Hired</v>
      </c>
      <c r="T728">
        <f t="shared" si="151"/>
        <v>81</v>
      </c>
      <c r="U728" t="str">
        <f t="shared" si="152"/>
        <v>Job Ready</v>
      </c>
      <c r="V728" t="str">
        <f t="shared" si="153"/>
        <v>Personality</v>
      </c>
      <c r="W728" t="str">
        <f t="shared" si="154"/>
        <v>Technical Skills</v>
      </c>
      <c r="X728" t="str">
        <f t="shared" si="155"/>
        <v>Strengthen technical skills and practical knowledge</v>
      </c>
    </row>
    <row r="729" spans="1:24" x14ac:dyDescent="0.3">
      <c r="A729">
        <v>23</v>
      </c>
      <c r="B729">
        <v>1</v>
      </c>
      <c r="C729">
        <v>1</v>
      </c>
      <c r="D729">
        <v>5</v>
      </c>
      <c r="E729">
        <v>2</v>
      </c>
      <c r="F729">
        <v>26.7392117466567</v>
      </c>
      <c r="G729">
        <v>76</v>
      </c>
      <c r="H729">
        <v>6</v>
      </c>
      <c r="I729">
        <v>86</v>
      </c>
      <c r="J729">
        <v>2</v>
      </c>
      <c r="K729">
        <v>0</v>
      </c>
      <c r="L729" t="str">
        <f t="shared" si="143"/>
        <v>C728</v>
      </c>
      <c r="M729" t="str">
        <f t="shared" si="144"/>
        <v>Female</v>
      </c>
      <c r="N729" t="str">
        <f t="shared" si="145"/>
        <v>Bachelor's Type 1</v>
      </c>
      <c r="O729" t="str">
        <f t="shared" si="146"/>
        <v>Mid Level</v>
      </c>
      <c r="P729" t="str">
        <f t="shared" si="147"/>
        <v>Strong</v>
      </c>
      <c r="Q729" t="str">
        <f t="shared" si="148"/>
        <v>Beginner</v>
      </c>
      <c r="R729" t="str">
        <f t="shared" si="149"/>
        <v>Strong</v>
      </c>
      <c r="S729" t="str">
        <f t="shared" si="150"/>
        <v>Not Hired</v>
      </c>
      <c r="T729">
        <f t="shared" si="151"/>
        <v>49</v>
      </c>
      <c r="U729" t="str">
        <f t="shared" si="152"/>
        <v>Needs Improvement</v>
      </c>
      <c r="V729" t="str">
        <f t="shared" si="153"/>
        <v>Personality</v>
      </c>
      <c r="W729" t="str">
        <f t="shared" si="154"/>
        <v>Technical Skills</v>
      </c>
      <c r="X729" t="str">
        <f t="shared" si="155"/>
        <v>Strengthen technical skills and practical knowledge</v>
      </c>
    </row>
    <row r="730" spans="1:24" x14ac:dyDescent="0.3">
      <c r="A730">
        <v>45</v>
      </c>
      <c r="B730">
        <v>0</v>
      </c>
      <c r="C730">
        <v>4</v>
      </c>
      <c r="D730">
        <v>8</v>
      </c>
      <c r="E730">
        <v>3</v>
      </c>
      <c r="F730">
        <v>26.663025228522098</v>
      </c>
      <c r="G730">
        <v>57</v>
      </c>
      <c r="H730">
        <v>7</v>
      </c>
      <c r="I730">
        <v>53</v>
      </c>
      <c r="J730">
        <v>1</v>
      </c>
      <c r="K730">
        <v>1</v>
      </c>
      <c r="L730" t="str">
        <f t="shared" si="143"/>
        <v>C729</v>
      </c>
      <c r="M730" t="str">
        <f t="shared" si="144"/>
        <v>Male</v>
      </c>
      <c r="N730" t="str">
        <f t="shared" si="145"/>
        <v>PhD</v>
      </c>
      <c r="O730" t="str">
        <f t="shared" si="146"/>
        <v>Senior Level</v>
      </c>
      <c r="P730" t="str">
        <f t="shared" si="147"/>
        <v>Average</v>
      </c>
      <c r="Q730" t="str">
        <f t="shared" si="148"/>
        <v>Beginner</v>
      </c>
      <c r="R730" t="str">
        <f t="shared" si="149"/>
        <v>Good</v>
      </c>
      <c r="S730" t="str">
        <f t="shared" si="150"/>
        <v>Hired</v>
      </c>
      <c r="T730">
        <f t="shared" si="151"/>
        <v>43</v>
      </c>
      <c r="U730" t="str">
        <f t="shared" si="152"/>
        <v>Needs Improvement</v>
      </c>
      <c r="V730" t="str">
        <f t="shared" si="153"/>
        <v>Interview</v>
      </c>
      <c r="W730" t="str">
        <f t="shared" si="154"/>
        <v>Technical Skills</v>
      </c>
      <c r="X730" t="str">
        <f t="shared" si="155"/>
        <v>Strengthen technical skills and practical knowledge</v>
      </c>
    </row>
    <row r="731" spans="1:24" x14ac:dyDescent="0.3">
      <c r="A731">
        <v>40</v>
      </c>
      <c r="B731">
        <v>1</v>
      </c>
      <c r="C731">
        <v>1</v>
      </c>
      <c r="D731">
        <v>7</v>
      </c>
      <c r="E731">
        <v>2</v>
      </c>
      <c r="F731">
        <v>6.3611197104243704</v>
      </c>
      <c r="G731">
        <v>27</v>
      </c>
      <c r="H731">
        <v>63</v>
      </c>
      <c r="I731">
        <v>37</v>
      </c>
      <c r="J731">
        <v>2</v>
      </c>
      <c r="K731">
        <v>0</v>
      </c>
      <c r="L731" t="str">
        <f t="shared" si="143"/>
        <v>C730</v>
      </c>
      <c r="M731" t="str">
        <f t="shared" si="144"/>
        <v>Female</v>
      </c>
      <c r="N731" t="str">
        <f t="shared" si="145"/>
        <v>Bachelor's Type 1</v>
      </c>
      <c r="O731" t="str">
        <f t="shared" si="146"/>
        <v>Senior Level</v>
      </c>
      <c r="P731" t="str">
        <f t="shared" si="147"/>
        <v>Low</v>
      </c>
      <c r="Q731" t="str">
        <f t="shared" si="148"/>
        <v>Intermediate</v>
      </c>
      <c r="R731" t="str">
        <f t="shared" si="149"/>
        <v>Needs Improvement</v>
      </c>
      <c r="S731" t="str">
        <f t="shared" si="150"/>
        <v>Not Hired</v>
      </c>
      <c r="T731">
        <f t="shared" si="151"/>
        <v>44</v>
      </c>
      <c r="U731" t="str">
        <f t="shared" si="152"/>
        <v>Needs Improvement</v>
      </c>
      <c r="V731" t="str">
        <f t="shared" si="153"/>
        <v>Technical Skills</v>
      </c>
      <c r="W731" t="str">
        <f t="shared" si="154"/>
        <v>Interview Preparation</v>
      </c>
      <c r="X731" t="str">
        <f t="shared" si="155"/>
        <v>Improve interview preparation and communication</v>
      </c>
    </row>
    <row r="732" spans="1:24" x14ac:dyDescent="0.3">
      <c r="A732">
        <v>37</v>
      </c>
      <c r="B732">
        <v>1</v>
      </c>
      <c r="C732">
        <v>2</v>
      </c>
      <c r="D732">
        <v>13</v>
      </c>
      <c r="E732">
        <v>5</v>
      </c>
      <c r="F732">
        <v>22.174100462466601</v>
      </c>
      <c r="G732">
        <v>65</v>
      </c>
      <c r="H732">
        <v>6</v>
      </c>
      <c r="I732">
        <v>73</v>
      </c>
      <c r="J732">
        <v>3</v>
      </c>
      <c r="K732">
        <v>0</v>
      </c>
      <c r="L732" t="str">
        <f t="shared" si="143"/>
        <v>C731</v>
      </c>
      <c r="M732" t="str">
        <f t="shared" si="144"/>
        <v>Female</v>
      </c>
      <c r="N732" t="str">
        <f t="shared" si="145"/>
        <v>Bachelor's Type 2</v>
      </c>
      <c r="O732" t="str">
        <f t="shared" si="146"/>
        <v>Senior Level</v>
      </c>
      <c r="P732" t="str">
        <f t="shared" si="147"/>
        <v>Average</v>
      </c>
      <c r="Q732" t="str">
        <f t="shared" si="148"/>
        <v>Beginner</v>
      </c>
      <c r="R732" t="str">
        <f t="shared" si="149"/>
        <v>Good</v>
      </c>
      <c r="S732" t="str">
        <f t="shared" si="150"/>
        <v>Not Hired</v>
      </c>
      <c r="T732">
        <f t="shared" si="151"/>
        <v>51</v>
      </c>
      <c r="U732" t="str">
        <f t="shared" si="152"/>
        <v>Developing</v>
      </c>
      <c r="V732" t="str">
        <f t="shared" si="153"/>
        <v>Personality</v>
      </c>
      <c r="W732" t="str">
        <f t="shared" si="154"/>
        <v>Technical Skills</v>
      </c>
      <c r="X732" t="str">
        <f t="shared" si="155"/>
        <v>Strengthen technical skills and practical knowledge</v>
      </c>
    </row>
    <row r="733" spans="1:24" x14ac:dyDescent="0.3">
      <c r="A733">
        <v>32</v>
      </c>
      <c r="B733">
        <v>1</v>
      </c>
      <c r="C733">
        <v>1</v>
      </c>
      <c r="D733">
        <v>10</v>
      </c>
      <c r="E733">
        <v>3</v>
      </c>
      <c r="F733">
        <v>23.6183379603285</v>
      </c>
      <c r="G733">
        <v>9</v>
      </c>
      <c r="H733">
        <v>40</v>
      </c>
      <c r="I733">
        <v>79</v>
      </c>
      <c r="J733">
        <v>3</v>
      </c>
      <c r="K733">
        <v>0</v>
      </c>
      <c r="L733" t="str">
        <f t="shared" si="143"/>
        <v>C732</v>
      </c>
      <c r="M733" t="str">
        <f t="shared" si="144"/>
        <v>Female</v>
      </c>
      <c r="N733" t="str">
        <f t="shared" si="145"/>
        <v>Bachelor's Type 1</v>
      </c>
      <c r="O733" t="str">
        <f t="shared" si="146"/>
        <v>Senior Level</v>
      </c>
      <c r="P733" t="str">
        <f t="shared" si="147"/>
        <v>Low</v>
      </c>
      <c r="Q733" t="str">
        <f t="shared" si="148"/>
        <v>Beginner</v>
      </c>
      <c r="R733" t="str">
        <f t="shared" si="149"/>
        <v>Strong</v>
      </c>
      <c r="S733" t="str">
        <f t="shared" si="150"/>
        <v>Not Hired</v>
      </c>
      <c r="T733">
        <f t="shared" si="151"/>
        <v>43</v>
      </c>
      <c r="U733" t="str">
        <f t="shared" si="152"/>
        <v>Needs Improvement</v>
      </c>
      <c r="V733" t="str">
        <f t="shared" si="153"/>
        <v>Personality</v>
      </c>
      <c r="W733" t="str">
        <f t="shared" si="154"/>
        <v>Interview Preparation</v>
      </c>
      <c r="X733" t="str">
        <f t="shared" si="155"/>
        <v>Improve interview preparation and communication</v>
      </c>
    </row>
    <row r="734" spans="1:24" x14ac:dyDescent="0.3">
      <c r="A734">
        <v>30</v>
      </c>
      <c r="B734">
        <v>1</v>
      </c>
      <c r="C734">
        <v>4</v>
      </c>
      <c r="D734">
        <v>7</v>
      </c>
      <c r="E734">
        <v>3</v>
      </c>
      <c r="F734">
        <v>37.6821420182224</v>
      </c>
      <c r="G734">
        <v>85</v>
      </c>
      <c r="H734">
        <v>39</v>
      </c>
      <c r="I734">
        <v>74</v>
      </c>
      <c r="J734">
        <v>2</v>
      </c>
      <c r="K734">
        <v>1</v>
      </c>
      <c r="L734" t="str">
        <f t="shared" si="143"/>
        <v>C733</v>
      </c>
      <c r="M734" t="str">
        <f t="shared" si="144"/>
        <v>Female</v>
      </c>
      <c r="N734" t="str">
        <f t="shared" si="145"/>
        <v>PhD</v>
      </c>
      <c r="O734" t="str">
        <f t="shared" si="146"/>
        <v>Senior Level</v>
      </c>
      <c r="P734" t="str">
        <f t="shared" si="147"/>
        <v>Strong</v>
      </c>
      <c r="Q734" t="str">
        <f t="shared" si="148"/>
        <v>Beginner</v>
      </c>
      <c r="R734" t="str">
        <f t="shared" si="149"/>
        <v>Good</v>
      </c>
      <c r="S734" t="str">
        <f t="shared" si="150"/>
        <v>Hired</v>
      </c>
      <c r="T734">
        <f t="shared" si="151"/>
        <v>64</v>
      </c>
      <c r="U734" t="str">
        <f t="shared" si="152"/>
        <v>Developing</v>
      </c>
      <c r="V734" t="str">
        <f t="shared" si="153"/>
        <v>Interview</v>
      </c>
      <c r="W734" t="str">
        <f t="shared" si="154"/>
        <v>Technical Skills</v>
      </c>
      <c r="X734" t="str">
        <f t="shared" si="155"/>
        <v>Strengthen technical skills and practical knowledge</v>
      </c>
    </row>
    <row r="735" spans="1:24" x14ac:dyDescent="0.3">
      <c r="A735">
        <v>48</v>
      </c>
      <c r="B735">
        <v>0</v>
      </c>
      <c r="C735">
        <v>2</v>
      </c>
      <c r="D735">
        <v>7</v>
      </c>
      <c r="E735">
        <v>3</v>
      </c>
      <c r="F735">
        <v>43.000941596034899</v>
      </c>
      <c r="G735">
        <v>76</v>
      </c>
      <c r="H735">
        <v>2</v>
      </c>
      <c r="I735">
        <v>31</v>
      </c>
      <c r="J735">
        <v>2</v>
      </c>
      <c r="K735">
        <v>0</v>
      </c>
      <c r="L735" t="str">
        <f t="shared" si="143"/>
        <v>C734</v>
      </c>
      <c r="M735" t="str">
        <f t="shared" si="144"/>
        <v>Male</v>
      </c>
      <c r="N735" t="str">
        <f t="shared" si="145"/>
        <v>Bachelor's Type 2</v>
      </c>
      <c r="O735" t="str">
        <f t="shared" si="146"/>
        <v>Senior Level</v>
      </c>
      <c r="P735" t="str">
        <f t="shared" si="147"/>
        <v>Strong</v>
      </c>
      <c r="Q735" t="str">
        <f t="shared" si="148"/>
        <v>Beginner</v>
      </c>
      <c r="R735" t="str">
        <f t="shared" si="149"/>
        <v>Needs Improvement</v>
      </c>
      <c r="S735" t="str">
        <f t="shared" si="150"/>
        <v>Not Hired</v>
      </c>
      <c r="T735">
        <f t="shared" si="151"/>
        <v>39</v>
      </c>
      <c r="U735" t="str">
        <f t="shared" si="152"/>
        <v>Needs Improvement</v>
      </c>
      <c r="V735" t="str">
        <f t="shared" si="153"/>
        <v>Interview</v>
      </c>
      <c r="W735" t="str">
        <f t="shared" si="154"/>
        <v>Technical Skills</v>
      </c>
      <c r="X735" t="str">
        <f t="shared" si="155"/>
        <v>Strengthen technical skills and practical knowledge</v>
      </c>
    </row>
    <row r="736" spans="1:24" x14ac:dyDescent="0.3">
      <c r="A736">
        <v>43</v>
      </c>
      <c r="B736">
        <v>0</v>
      </c>
      <c r="C736">
        <v>1</v>
      </c>
      <c r="D736">
        <v>14</v>
      </c>
      <c r="E736">
        <v>2</v>
      </c>
      <c r="F736">
        <v>28.2491139050009</v>
      </c>
      <c r="G736">
        <v>57</v>
      </c>
      <c r="H736">
        <v>16</v>
      </c>
      <c r="I736">
        <v>44</v>
      </c>
      <c r="J736">
        <v>2</v>
      </c>
      <c r="K736">
        <v>0</v>
      </c>
      <c r="L736" t="str">
        <f t="shared" si="143"/>
        <v>C735</v>
      </c>
      <c r="M736" t="str">
        <f t="shared" si="144"/>
        <v>Male</v>
      </c>
      <c r="N736" t="str">
        <f t="shared" si="145"/>
        <v>Bachelor's Type 1</v>
      </c>
      <c r="O736" t="str">
        <f t="shared" si="146"/>
        <v>Senior Level</v>
      </c>
      <c r="P736" t="str">
        <f t="shared" si="147"/>
        <v>Average</v>
      </c>
      <c r="Q736" t="str">
        <f t="shared" si="148"/>
        <v>Beginner</v>
      </c>
      <c r="R736" t="str">
        <f t="shared" si="149"/>
        <v>Needs Improvement</v>
      </c>
      <c r="S736" t="str">
        <f t="shared" si="150"/>
        <v>Not Hired</v>
      </c>
      <c r="T736">
        <f t="shared" si="151"/>
        <v>47</v>
      </c>
      <c r="U736" t="str">
        <f t="shared" si="152"/>
        <v>Needs Improvement</v>
      </c>
      <c r="V736" t="str">
        <f t="shared" si="153"/>
        <v>Interview</v>
      </c>
      <c r="W736" t="str">
        <f t="shared" si="154"/>
        <v>Technical Skills</v>
      </c>
      <c r="X736" t="str">
        <f t="shared" si="155"/>
        <v>Strengthen technical skills and practical knowledge</v>
      </c>
    </row>
    <row r="737" spans="1:24" x14ac:dyDescent="0.3">
      <c r="A737">
        <v>23</v>
      </c>
      <c r="B737">
        <v>0</v>
      </c>
      <c r="C737">
        <v>2</v>
      </c>
      <c r="D737">
        <v>12</v>
      </c>
      <c r="E737">
        <v>4</v>
      </c>
      <c r="F737">
        <v>5.3391477032495196</v>
      </c>
      <c r="G737">
        <v>72</v>
      </c>
      <c r="H737">
        <v>65</v>
      </c>
      <c r="I737">
        <v>60</v>
      </c>
      <c r="J737">
        <v>1</v>
      </c>
      <c r="K737">
        <v>1</v>
      </c>
      <c r="L737" t="str">
        <f t="shared" si="143"/>
        <v>C736</v>
      </c>
      <c r="M737" t="str">
        <f t="shared" si="144"/>
        <v>Male</v>
      </c>
      <c r="N737" t="str">
        <f t="shared" si="145"/>
        <v>Bachelor's Type 2</v>
      </c>
      <c r="O737" t="str">
        <f t="shared" si="146"/>
        <v>Senior Level</v>
      </c>
      <c r="P737" t="str">
        <f t="shared" si="147"/>
        <v>Average</v>
      </c>
      <c r="Q737" t="str">
        <f t="shared" si="148"/>
        <v>Intermediate</v>
      </c>
      <c r="R737" t="str">
        <f t="shared" si="149"/>
        <v>Good</v>
      </c>
      <c r="S737" t="str">
        <f t="shared" si="150"/>
        <v>Hired</v>
      </c>
      <c r="T737">
        <f t="shared" si="151"/>
        <v>68</v>
      </c>
      <c r="U737" t="str">
        <f t="shared" si="152"/>
        <v>Developing</v>
      </c>
      <c r="V737" t="str">
        <f t="shared" si="153"/>
        <v>Interview</v>
      </c>
      <c r="W737" t="str">
        <f t="shared" si="154"/>
        <v>Personality &amp; Communication</v>
      </c>
      <c r="X737" t="str">
        <f t="shared" si="155"/>
        <v>Work on communication and personality development</v>
      </c>
    </row>
    <row r="738" spans="1:24" x14ac:dyDescent="0.3">
      <c r="A738">
        <v>44</v>
      </c>
      <c r="B738">
        <v>0</v>
      </c>
      <c r="C738">
        <v>1</v>
      </c>
      <c r="D738">
        <v>6</v>
      </c>
      <c r="E738">
        <v>5</v>
      </c>
      <c r="F738">
        <v>12.8424735298273</v>
      </c>
      <c r="G738">
        <v>96</v>
      </c>
      <c r="H738">
        <v>78</v>
      </c>
      <c r="I738">
        <v>69</v>
      </c>
      <c r="J738">
        <v>2</v>
      </c>
      <c r="K738">
        <v>1</v>
      </c>
      <c r="L738" t="str">
        <f t="shared" si="143"/>
        <v>C737</v>
      </c>
      <c r="M738" t="str">
        <f t="shared" si="144"/>
        <v>Male</v>
      </c>
      <c r="N738" t="str">
        <f t="shared" si="145"/>
        <v>Bachelor's Type 1</v>
      </c>
      <c r="O738" t="str">
        <f t="shared" si="146"/>
        <v>Mid Level</v>
      </c>
      <c r="P738" t="str">
        <f t="shared" si="147"/>
        <v>Strong</v>
      </c>
      <c r="Q738" t="str">
        <f t="shared" si="148"/>
        <v>Advanced</v>
      </c>
      <c r="R738" t="str">
        <f t="shared" si="149"/>
        <v>Good</v>
      </c>
      <c r="S738" t="str">
        <f t="shared" si="150"/>
        <v>Hired</v>
      </c>
      <c r="T738">
        <f t="shared" si="151"/>
        <v>75</v>
      </c>
      <c r="U738" t="str">
        <f t="shared" si="152"/>
        <v>Job Ready</v>
      </c>
      <c r="V738" t="str">
        <f t="shared" si="153"/>
        <v>Interview</v>
      </c>
      <c r="W738" t="str">
        <f t="shared" si="154"/>
        <v>Personality &amp; Communication</v>
      </c>
      <c r="X738" t="str">
        <f t="shared" si="155"/>
        <v>Work on communication and personality development</v>
      </c>
    </row>
    <row r="739" spans="1:24" x14ac:dyDescent="0.3">
      <c r="A739">
        <v>40</v>
      </c>
      <c r="B739">
        <v>1</v>
      </c>
      <c r="C739">
        <v>1</v>
      </c>
      <c r="D739">
        <v>7</v>
      </c>
      <c r="E739">
        <v>3</v>
      </c>
      <c r="F739">
        <v>9.2467013426365501</v>
      </c>
      <c r="G739">
        <v>13</v>
      </c>
      <c r="H739">
        <v>92</v>
      </c>
      <c r="I739">
        <v>87</v>
      </c>
      <c r="J739">
        <v>1</v>
      </c>
      <c r="K739">
        <v>1</v>
      </c>
      <c r="L739" t="str">
        <f t="shared" si="143"/>
        <v>C738</v>
      </c>
      <c r="M739" t="str">
        <f t="shared" si="144"/>
        <v>Female</v>
      </c>
      <c r="N739" t="str">
        <f t="shared" si="145"/>
        <v>Bachelor's Type 1</v>
      </c>
      <c r="O739" t="str">
        <f t="shared" si="146"/>
        <v>Senior Level</v>
      </c>
      <c r="P739" t="str">
        <f t="shared" si="147"/>
        <v>Low</v>
      </c>
      <c r="Q739" t="str">
        <f t="shared" si="148"/>
        <v>Advanced</v>
      </c>
      <c r="R739" t="str">
        <f t="shared" si="149"/>
        <v>Strong</v>
      </c>
      <c r="S739" t="str">
        <f t="shared" si="150"/>
        <v>Hired</v>
      </c>
      <c r="T739">
        <f t="shared" si="151"/>
        <v>58</v>
      </c>
      <c r="U739" t="str">
        <f t="shared" si="152"/>
        <v>Developing</v>
      </c>
      <c r="V739" t="str">
        <f t="shared" si="153"/>
        <v>Technical Skills</v>
      </c>
      <c r="W739" t="str">
        <f t="shared" si="154"/>
        <v>Interview Preparation</v>
      </c>
      <c r="X739" t="str">
        <f t="shared" si="155"/>
        <v>Improve interview preparation and communication</v>
      </c>
    </row>
    <row r="740" spans="1:24" x14ac:dyDescent="0.3">
      <c r="A740">
        <v>48</v>
      </c>
      <c r="B740">
        <v>1</v>
      </c>
      <c r="C740">
        <v>4</v>
      </c>
      <c r="D740">
        <v>12</v>
      </c>
      <c r="E740">
        <v>4</v>
      </c>
      <c r="F740">
        <v>7.2307531594562304</v>
      </c>
      <c r="G740">
        <v>83</v>
      </c>
      <c r="H740">
        <v>51</v>
      </c>
      <c r="I740">
        <v>96</v>
      </c>
      <c r="J740">
        <v>3</v>
      </c>
      <c r="K740">
        <v>1</v>
      </c>
      <c r="L740" t="str">
        <f t="shared" si="143"/>
        <v>C739</v>
      </c>
      <c r="M740" t="str">
        <f t="shared" si="144"/>
        <v>Female</v>
      </c>
      <c r="N740" t="str">
        <f t="shared" si="145"/>
        <v>PhD</v>
      </c>
      <c r="O740" t="str">
        <f t="shared" si="146"/>
        <v>Senior Level</v>
      </c>
      <c r="P740" t="str">
        <f t="shared" si="147"/>
        <v>Strong</v>
      </c>
      <c r="Q740" t="str">
        <f t="shared" si="148"/>
        <v>Intermediate</v>
      </c>
      <c r="R740" t="str">
        <f t="shared" si="149"/>
        <v>Strong</v>
      </c>
      <c r="S740" t="str">
        <f t="shared" si="150"/>
        <v>Hired</v>
      </c>
      <c r="T740">
        <f t="shared" si="151"/>
        <v>76</v>
      </c>
      <c r="U740" t="str">
        <f t="shared" si="152"/>
        <v>Job Ready</v>
      </c>
      <c r="V740" t="str">
        <f t="shared" si="153"/>
        <v>Personality</v>
      </c>
      <c r="W740" t="str">
        <f t="shared" si="154"/>
        <v>Technical Skills</v>
      </c>
      <c r="X740" t="str">
        <f t="shared" si="155"/>
        <v>Strengthen technical skills and practical knowledge</v>
      </c>
    </row>
    <row r="741" spans="1:24" x14ac:dyDescent="0.3">
      <c r="A741">
        <v>44</v>
      </c>
      <c r="B741">
        <v>0</v>
      </c>
      <c r="C741">
        <v>2</v>
      </c>
      <c r="D741">
        <v>5</v>
      </c>
      <c r="E741">
        <v>5</v>
      </c>
      <c r="F741">
        <v>19.294964930890298</v>
      </c>
      <c r="G741">
        <v>14</v>
      </c>
      <c r="H741">
        <v>21</v>
      </c>
      <c r="I741">
        <v>52</v>
      </c>
      <c r="J741">
        <v>3</v>
      </c>
      <c r="K741">
        <v>0</v>
      </c>
      <c r="L741" t="str">
        <f t="shared" si="143"/>
        <v>C740</v>
      </c>
      <c r="M741" t="str">
        <f t="shared" si="144"/>
        <v>Male</v>
      </c>
      <c r="N741" t="str">
        <f t="shared" si="145"/>
        <v>Bachelor's Type 2</v>
      </c>
      <c r="O741" t="str">
        <f t="shared" si="146"/>
        <v>Mid Level</v>
      </c>
      <c r="P741" t="str">
        <f t="shared" si="147"/>
        <v>Low</v>
      </c>
      <c r="Q741" t="str">
        <f t="shared" si="148"/>
        <v>Beginner</v>
      </c>
      <c r="R741" t="str">
        <f t="shared" si="149"/>
        <v>Good</v>
      </c>
      <c r="S741" t="str">
        <f t="shared" si="150"/>
        <v>Not Hired</v>
      </c>
      <c r="T741">
        <f t="shared" si="151"/>
        <v>28</v>
      </c>
      <c r="U741" t="str">
        <f t="shared" si="152"/>
        <v>Needs Improvement</v>
      </c>
      <c r="V741" t="str">
        <f t="shared" si="153"/>
        <v>Personality</v>
      </c>
      <c r="W741" t="str">
        <f t="shared" si="154"/>
        <v>Interview Preparation</v>
      </c>
      <c r="X741" t="str">
        <f t="shared" si="155"/>
        <v>Improve interview preparation and communication</v>
      </c>
    </row>
    <row r="742" spans="1:24" x14ac:dyDescent="0.3">
      <c r="A742">
        <v>23</v>
      </c>
      <c r="B742">
        <v>1</v>
      </c>
      <c r="C742">
        <v>3</v>
      </c>
      <c r="D742">
        <v>1</v>
      </c>
      <c r="E742">
        <v>5</v>
      </c>
      <c r="F742">
        <v>12.4696751077191</v>
      </c>
      <c r="G742">
        <v>95</v>
      </c>
      <c r="H742">
        <v>3</v>
      </c>
      <c r="I742">
        <v>50</v>
      </c>
      <c r="J742">
        <v>2</v>
      </c>
      <c r="K742">
        <v>0</v>
      </c>
      <c r="L742" t="str">
        <f t="shared" si="143"/>
        <v>C741</v>
      </c>
      <c r="M742" t="str">
        <f t="shared" si="144"/>
        <v>Female</v>
      </c>
      <c r="N742" t="str">
        <f t="shared" si="145"/>
        <v>Master's</v>
      </c>
      <c r="O742" t="str">
        <f t="shared" si="146"/>
        <v>Entry Level</v>
      </c>
      <c r="P742" t="str">
        <f t="shared" si="147"/>
        <v>Strong</v>
      </c>
      <c r="Q742" t="str">
        <f t="shared" si="148"/>
        <v>Beginner</v>
      </c>
      <c r="R742" t="str">
        <f t="shared" si="149"/>
        <v>Good</v>
      </c>
      <c r="S742" t="str">
        <f t="shared" si="150"/>
        <v>Not Hired</v>
      </c>
      <c r="T742">
        <f t="shared" si="151"/>
        <v>44</v>
      </c>
      <c r="U742" t="str">
        <f t="shared" si="152"/>
        <v>Needs Improvement</v>
      </c>
      <c r="V742" t="str">
        <f t="shared" si="153"/>
        <v>Interview</v>
      </c>
      <c r="W742" t="str">
        <f t="shared" si="154"/>
        <v>Technical Skills</v>
      </c>
      <c r="X742" t="str">
        <f t="shared" si="155"/>
        <v>Strengthen technical skills and practical knowledge</v>
      </c>
    </row>
    <row r="743" spans="1:24" x14ac:dyDescent="0.3">
      <c r="A743">
        <v>29</v>
      </c>
      <c r="B743">
        <v>1</v>
      </c>
      <c r="C743">
        <v>2</v>
      </c>
      <c r="D743">
        <v>1</v>
      </c>
      <c r="E743">
        <v>3</v>
      </c>
      <c r="F743">
        <v>11.915155590575599</v>
      </c>
      <c r="G743">
        <v>32</v>
      </c>
      <c r="H743">
        <v>5</v>
      </c>
      <c r="I743">
        <v>75</v>
      </c>
      <c r="J743">
        <v>2</v>
      </c>
      <c r="K743">
        <v>0</v>
      </c>
      <c r="L743" t="str">
        <f t="shared" si="143"/>
        <v>C742</v>
      </c>
      <c r="M743" t="str">
        <f t="shared" si="144"/>
        <v>Female</v>
      </c>
      <c r="N743" t="str">
        <f t="shared" si="145"/>
        <v>Bachelor's Type 2</v>
      </c>
      <c r="O743" t="str">
        <f t="shared" si="146"/>
        <v>Entry Level</v>
      </c>
      <c r="P743" t="str">
        <f t="shared" si="147"/>
        <v>Low</v>
      </c>
      <c r="Q743" t="str">
        <f t="shared" si="148"/>
        <v>Beginner</v>
      </c>
      <c r="R743" t="str">
        <f t="shared" si="149"/>
        <v>Strong</v>
      </c>
      <c r="S743" t="str">
        <f t="shared" si="150"/>
        <v>Not Hired</v>
      </c>
      <c r="T743">
        <f t="shared" si="151"/>
        <v>30</v>
      </c>
      <c r="U743" t="str">
        <f t="shared" si="152"/>
        <v>Needs Improvement</v>
      </c>
      <c r="V743" t="str">
        <f t="shared" si="153"/>
        <v>Personality</v>
      </c>
      <c r="W743" t="str">
        <f t="shared" si="154"/>
        <v>Technical Skills</v>
      </c>
      <c r="X743" t="str">
        <f t="shared" si="155"/>
        <v>Strengthen technical skills and practical knowledge</v>
      </c>
    </row>
    <row r="744" spans="1:24" x14ac:dyDescent="0.3">
      <c r="A744">
        <v>24</v>
      </c>
      <c r="B744">
        <v>1</v>
      </c>
      <c r="C744">
        <v>2</v>
      </c>
      <c r="D744">
        <v>7</v>
      </c>
      <c r="E744">
        <v>3</v>
      </c>
      <c r="F744">
        <v>3.7346587288133799</v>
      </c>
      <c r="G744">
        <v>16</v>
      </c>
      <c r="H744">
        <v>37</v>
      </c>
      <c r="I744">
        <v>55</v>
      </c>
      <c r="J744">
        <v>1</v>
      </c>
      <c r="K744">
        <v>0</v>
      </c>
      <c r="L744" t="str">
        <f t="shared" si="143"/>
        <v>C743</v>
      </c>
      <c r="M744" t="str">
        <f t="shared" si="144"/>
        <v>Female</v>
      </c>
      <c r="N744" t="str">
        <f t="shared" si="145"/>
        <v>Bachelor's Type 2</v>
      </c>
      <c r="O744" t="str">
        <f t="shared" si="146"/>
        <v>Senior Level</v>
      </c>
      <c r="P744" t="str">
        <f t="shared" si="147"/>
        <v>Low</v>
      </c>
      <c r="Q744" t="str">
        <f t="shared" si="148"/>
        <v>Beginner</v>
      </c>
      <c r="R744" t="str">
        <f t="shared" si="149"/>
        <v>Good</v>
      </c>
      <c r="S744" t="str">
        <f t="shared" si="150"/>
        <v>Not Hired</v>
      </c>
      <c r="T744">
        <f t="shared" si="151"/>
        <v>36</v>
      </c>
      <c r="U744" t="str">
        <f t="shared" si="152"/>
        <v>Needs Improvement</v>
      </c>
      <c r="V744" t="str">
        <f t="shared" si="153"/>
        <v>Personality</v>
      </c>
      <c r="W744" t="str">
        <f t="shared" si="154"/>
        <v>Interview Preparation</v>
      </c>
      <c r="X744" t="str">
        <f t="shared" si="155"/>
        <v>Improve interview preparation and communication</v>
      </c>
    </row>
    <row r="745" spans="1:24" x14ac:dyDescent="0.3">
      <c r="A745">
        <v>28</v>
      </c>
      <c r="B745">
        <v>0</v>
      </c>
      <c r="C745">
        <v>1</v>
      </c>
      <c r="D745">
        <v>10</v>
      </c>
      <c r="E745">
        <v>2</v>
      </c>
      <c r="F745">
        <v>1.8835022397716901</v>
      </c>
      <c r="G745">
        <v>23</v>
      </c>
      <c r="H745">
        <v>25</v>
      </c>
      <c r="I745">
        <v>26</v>
      </c>
      <c r="J745">
        <v>2</v>
      </c>
      <c r="K745">
        <v>0</v>
      </c>
      <c r="L745" t="str">
        <f t="shared" si="143"/>
        <v>C744</v>
      </c>
      <c r="M745" t="str">
        <f t="shared" si="144"/>
        <v>Male</v>
      </c>
      <c r="N745" t="str">
        <f t="shared" si="145"/>
        <v>Bachelor's Type 1</v>
      </c>
      <c r="O745" t="str">
        <f t="shared" si="146"/>
        <v>Senior Level</v>
      </c>
      <c r="P745" t="str">
        <f t="shared" si="147"/>
        <v>Low</v>
      </c>
      <c r="Q745" t="str">
        <f t="shared" si="148"/>
        <v>Beginner</v>
      </c>
      <c r="R745" t="str">
        <f t="shared" si="149"/>
        <v>Needs Improvement</v>
      </c>
      <c r="S745" t="str">
        <f t="shared" si="150"/>
        <v>Not Hired</v>
      </c>
      <c r="T745">
        <f t="shared" si="151"/>
        <v>32</v>
      </c>
      <c r="U745" t="str">
        <f t="shared" si="152"/>
        <v>Needs Improvement</v>
      </c>
      <c r="V745" t="str">
        <f t="shared" si="153"/>
        <v>Personality</v>
      </c>
      <c r="W745" t="str">
        <f t="shared" si="154"/>
        <v>Interview Preparation</v>
      </c>
      <c r="X745" t="str">
        <f t="shared" si="155"/>
        <v>Improve interview preparation and communication</v>
      </c>
    </row>
    <row r="746" spans="1:24" x14ac:dyDescent="0.3">
      <c r="A746">
        <v>43</v>
      </c>
      <c r="B746">
        <v>0</v>
      </c>
      <c r="C746">
        <v>2</v>
      </c>
      <c r="D746">
        <v>0</v>
      </c>
      <c r="E746">
        <v>4</v>
      </c>
      <c r="F746">
        <v>6.1384121324890897</v>
      </c>
      <c r="G746">
        <v>29</v>
      </c>
      <c r="H746">
        <v>10</v>
      </c>
      <c r="I746">
        <v>37</v>
      </c>
      <c r="J746">
        <v>2</v>
      </c>
      <c r="K746">
        <v>0</v>
      </c>
      <c r="L746" t="str">
        <f t="shared" si="143"/>
        <v>C745</v>
      </c>
      <c r="M746" t="str">
        <f t="shared" si="144"/>
        <v>Male</v>
      </c>
      <c r="N746" t="str">
        <f t="shared" si="145"/>
        <v>Bachelor's Type 2</v>
      </c>
      <c r="O746" t="str">
        <f t="shared" si="146"/>
        <v>Entry Level</v>
      </c>
      <c r="P746" t="str">
        <f t="shared" si="147"/>
        <v>Low</v>
      </c>
      <c r="Q746" t="str">
        <f t="shared" si="148"/>
        <v>Beginner</v>
      </c>
      <c r="R746" t="str">
        <f t="shared" si="149"/>
        <v>Needs Improvement</v>
      </c>
      <c r="S746" t="str">
        <f t="shared" si="150"/>
        <v>Not Hired</v>
      </c>
      <c r="T746">
        <f t="shared" si="151"/>
        <v>22</v>
      </c>
      <c r="U746" t="str">
        <f t="shared" si="152"/>
        <v>Needs Improvement</v>
      </c>
      <c r="V746" t="str">
        <f t="shared" si="153"/>
        <v>Personality</v>
      </c>
      <c r="W746" t="str">
        <f t="shared" si="154"/>
        <v>Technical Skills</v>
      </c>
      <c r="X746" t="str">
        <f t="shared" si="155"/>
        <v>Strengthen technical skills and practical knowledge</v>
      </c>
    </row>
    <row r="747" spans="1:24" x14ac:dyDescent="0.3">
      <c r="A747">
        <v>22</v>
      </c>
      <c r="B747">
        <v>0</v>
      </c>
      <c r="C747">
        <v>3</v>
      </c>
      <c r="D747">
        <v>5</v>
      </c>
      <c r="E747">
        <v>4</v>
      </c>
      <c r="F747">
        <v>9.6098739711816492</v>
      </c>
      <c r="G747">
        <v>61</v>
      </c>
      <c r="H747">
        <v>89</v>
      </c>
      <c r="I747">
        <v>61</v>
      </c>
      <c r="J747">
        <v>2</v>
      </c>
      <c r="K747">
        <v>0</v>
      </c>
      <c r="L747" t="str">
        <f t="shared" si="143"/>
        <v>C746</v>
      </c>
      <c r="M747" t="str">
        <f t="shared" si="144"/>
        <v>Male</v>
      </c>
      <c r="N747" t="str">
        <f t="shared" si="145"/>
        <v>Master's</v>
      </c>
      <c r="O747" t="str">
        <f t="shared" si="146"/>
        <v>Mid Level</v>
      </c>
      <c r="P747" t="str">
        <f t="shared" si="147"/>
        <v>Average</v>
      </c>
      <c r="Q747" t="str">
        <f t="shared" si="148"/>
        <v>Advanced</v>
      </c>
      <c r="R747" t="str">
        <f t="shared" si="149"/>
        <v>Good</v>
      </c>
      <c r="S747" t="str">
        <f t="shared" si="150"/>
        <v>Not Hired</v>
      </c>
      <c r="T747">
        <f t="shared" si="151"/>
        <v>66</v>
      </c>
      <c r="U747" t="str">
        <f t="shared" si="152"/>
        <v>Developing</v>
      </c>
      <c r="V747" t="str">
        <f t="shared" si="153"/>
        <v>Technical Skills</v>
      </c>
      <c r="W747" t="str">
        <f t="shared" si="154"/>
        <v>Interview Preparation</v>
      </c>
      <c r="X747" t="str">
        <f t="shared" si="155"/>
        <v>Improve interview preparation and communication</v>
      </c>
    </row>
    <row r="748" spans="1:24" x14ac:dyDescent="0.3">
      <c r="A748">
        <v>36</v>
      </c>
      <c r="B748">
        <v>1</v>
      </c>
      <c r="C748">
        <v>4</v>
      </c>
      <c r="D748">
        <v>12</v>
      </c>
      <c r="E748">
        <v>3</v>
      </c>
      <c r="F748">
        <v>22.5491864424101</v>
      </c>
      <c r="G748">
        <v>12</v>
      </c>
      <c r="H748">
        <v>16</v>
      </c>
      <c r="I748">
        <v>17</v>
      </c>
      <c r="J748">
        <v>1</v>
      </c>
      <c r="K748">
        <v>1</v>
      </c>
      <c r="L748" t="str">
        <f t="shared" si="143"/>
        <v>C747</v>
      </c>
      <c r="M748" t="str">
        <f t="shared" si="144"/>
        <v>Female</v>
      </c>
      <c r="N748" t="str">
        <f t="shared" si="145"/>
        <v>PhD</v>
      </c>
      <c r="O748" t="str">
        <f t="shared" si="146"/>
        <v>Senior Level</v>
      </c>
      <c r="P748" t="str">
        <f t="shared" si="147"/>
        <v>Low</v>
      </c>
      <c r="Q748" t="str">
        <f t="shared" si="148"/>
        <v>Beginner</v>
      </c>
      <c r="R748" t="str">
        <f t="shared" si="149"/>
        <v>Needs Improvement</v>
      </c>
      <c r="S748" t="str">
        <f t="shared" si="150"/>
        <v>Hired</v>
      </c>
      <c r="T748">
        <f t="shared" si="151"/>
        <v>29</v>
      </c>
      <c r="U748" t="str">
        <f t="shared" si="152"/>
        <v>Needs Improvement</v>
      </c>
      <c r="V748" t="str">
        <f t="shared" si="153"/>
        <v>Personality</v>
      </c>
      <c r="W748" t="str">
        <f t="shared" si="154"/>
        <v>Interview Preparation</v>
      </c>
      <c r="X748" t="str">
        <f t="shared" si="155"/>
        <v>Improve interview preparation and communication</v>
      </c>
    </row>
    <row r="749" spans="1:24" x14ac:dyDescent="0.3">
      <c r="A749">
        <v>22</v>
      </c>
      <c r="B749">
        <v>0</v>
      </c>
      <c r="C749">
        <v>2</v>
      </c>
      <c r="D749">
        <v>15</v>
      </c>
      <c r="E749">
        <v>5</v>
      </c>
      <c r="F749">
        <v>26.526013064942202</v>
      </c>
      <c r="G749">
        <v>61</v>
      </c>
      <c r="H749">
        <v>87</v>
      </c>
      <c r="I749">
        <v>63</v>
      </c>
      <c r="J749">
        <v>3</v>
      </c>
      <c r="K749">
        <v>0</v>
      </c>
      <c r="L749" t="str">
        <f t="shared" si="143"/>
        <v>C748</v>
      </c>
      <c r="M749" t="str">
        <f t="shared" si="144"/>
        <v>Male</v>
      </c>
      <c r="N749" t="str">
        <f t="shared" si="145"/>
        <v>Bachelor's Type 2</v>
      </c>
      <c r="O749" t="str">
        <f t="shared" si="146"/>
        <v>Senior Level</v>
      </c>
      <c r="P749" t="str">
        <f t="shared" si="147"/>
        <v>Average</v>
      </c>
      <c r="Q749" t="str">
        <f t="shared" si="148"/>
        <v>Advanced</v>
      </c>
      <c r="R749" t="str">
        <f t="shared" si="149"/>
        <v>Good</v>
      </c>
      <c r="S749" t="str">
        <f t="shared" si="150"/>
        <v>Not Hired</v>
      </c>
      <c r="T749">
        <f t="shared" si="151"/>
        <v>75</v>
      </c>
      <c r="U749" t="str">
        <f t="shared" si="152"/>
        <v>Job Ready</v>
      </c>
      <c r="V749" t="str">
        <f t="shared" si="153"/>
        <v>Technical Skills</v>
      </c>
      <c r="W749" t="str">
        <f t="shared" si="154"/>
        <v>Interview Preparation</v>
      </c>
      <c r="X749" t="str">
        <f t="shared" si="155"/>
        <v>Improve interview preparation and communication</v>
      </c>
    </row>
    <row r="750" spans="1:24" x14ac:dyDescent="0.3">
      <c r="A750">
        <v>35</v>
      </c>
      <c r="B750">
        <v>0</v>
      </c>
      <c r="C750">
        <v>2</v>
      </c>
      <c r="D750">
        <v>5</v>
      </c>
      <c r="E750">
        <v>3</v>
      </c>
      <c r="F750">
        <v>8.02959590866827</v>
      </c>
      <c r="G750">
        <v>46</v>
      </c>
      <c r="H750">
        <v>91</v>
      </c>
      <c r="I750">
        <v>76</v>
      </c>
      <c r="J750">
        <v>2</v>
      </c>
      <c r="K750">
        <v>0</v>
      </c>
      <c r="L750" t="str">
        <f t="shared" si="143"/>
        <v>C749</v>
      </c>
      <c r="M750" t="str">
        <f t="shared" si="144"/>
        <v>Male</v>
      </c>
      <c r="N750" t="str">
        <f t="shared" si="145"/>
        <v>Bachelor's Type 2</v>
      </c>
      <c r="O750" t="str">
        <f t="shared" si="146"/>
        <v>Mid Level</v>
      </c>
      <c r="P750" t="str">
        <f t="shared" si="147"/>
        <v>Low</v>
      </c>
      <c r="Q750" t="str">
        <f t="shared" si="148"/>
        <v>Advanced</v>
      </c>
      <c r="R750" t="str">
        <f t="shared" si="149"/>
        <v>Strong</v>
      </c>
      <c r="S750" t="str">
        <f t="shared" si="150"/>
        <v>Not Hired</v>
      </c>
      <c r="T750">
        <f t="shared" si="151"/>
        <v>64</v>
      </c>
      <c r="U750" t="str">
        <f t="shared" si="152"/>
        <v>Developing</v>
      </c>
      <c r="V750" t="str">
        <f t="shared" si="153"/>
        <v>Technical Skills</v>
      </c>
      <c r="W750" t="str">
        <f t="shared" si="154"/>
        <v>Interview Preparation</v>
      </c>
      <c r="X750" t="str">
        <f t="shared" si="155"/>
        <v>Improve interview preparation and communication</v>
      </c>
    </row>
    <row r="751" spans="1:24" x14ac:dyDescent="0.3">
      <c r="A751">
        <v>23</v>
      </c>
      <c r="B751">
        <v>0</v>
      </c>
      <c r="C751">
        <v>2</v>
      </c>
      <c r="D751">
        <v>15</v>
      </c>
      <c r="E751">
        <v>5</v>
      </c>
      <c r="F751">
        <v>22.239167076209299</v>
      </c>
      <c r="G751">
        <v>15</v>
      </c>
      <c r="H751">
        <v>98</v>
      </c>
      <c r="I751">
        <v>29</v>
      </c>
      <c r="J751">
        <v>3</v>
      </c>
      <c r="K751">
        <v>0</v>
      </c>
      <c r="L751" t="str">
        <f t="shared" si="143"/>
        <v>C750</v>
      </c>
      <c r="M751" t="str">
        <f t="shared" si="144"/>
        <v>Male</v>
      </c>
      <c r="N751" t="str">
        <f t="shared" si="145"/>
        <v>Bachelor's Type 2</v>
      </c>
      <c r="O751" t="str">
        <f t="shared" si="146"/>
        <v>Senior Level</v>
      </c>
      <c r="P751" t="str">
        <f t="shared" si="147"/>
        <v>Low</v>
      </c>
      <c r="Q751" t="str">
        <f t="shared" si="148"/>
        <v>Advanced</v>
      </c>
      <c r="R751" t="str">
        <f t="shared" si="149"/>
        <v>Needs Improvement</v>
      </c>
      <c r="S751" t="str">
        <f t="shared" si="150"/>
        <v>Not Hired</v>
      </c>
      <c r="T751">
        <f t="shared" si="151"/>
        <v>57</v>
      </c>
      <c r="U751" t="str">
        <f t="shared" si="152"/>
        <v>Developing</v>
      </c>
      <c r="V751" t="str">
        <f t="shared" si="153"/>
        <v>Technical Skills</v>
      </c>
      <c r="W751" t="str">
        <f t="shared" si="154"/>
        <v>Interview Preparation</v>
      </c>
      <c r="X751" t="str">
        <f t="shared" si="155"/>
        <v>Improve interview preparation and communication</v>
      </c>
    </row>
    <row r="752" spans="1:24" x14ac:dyDescent="0.3">
      <c r="A752">
        <v>37</v>
      </c>
      <c r="B752">
        <v>0</v>
      </c>
      <c r="C752">
        <v>4</v>
      </c>
      <c r="D752">
        <v>10</v>
      </c>
      <c r="E752">
        <v>5</v>
      </c>
      <c r="F752">
        <v>18.087442116296302</v>
      </c>
      <c r="G752">
        <v>65</v>
      </c>
      <c r="H752">
        <v>30</v>
      </c>
      <c r="I752">
        <v>48</v>
      </c>
      <c r="J752">
        <v>3</v>
      </c>
      <c r="K752">
        <v>0</v>
      </c>
      <c r="L752" t="str">
        <f t="shared" si="143"/>
        <v>C751</v>
      </c>
      <c r="M752" t="str">
        <f t="shared" si="144"/>
        <v>Male</v>
      </c>
      <c r="N752" t="str">
        <f t="shared" si="145"/>
        <v>PhD</v>
      </c>
      <c r="O752" t="str">
        <f t="shared" si="146"/>
        <v>Senior Level</v>
      </c>
      <c r="P752" t="str">
        <f t="shared" si="147"/>
        <v>Average</v>
      </c>
      <c r="Q752" t="str">
        <f t="shared" si="148"/>
        <v>Beginner</v>
      </c>
      <c r="R752" t="str">
        <f t="shared" si="149"/>
        <v>Needs Improvement</v>
      </c>
      <c r="S752" t="str">
        <f t="shared" si="150"/>
        <v>Not Hired</v>
      </c>
      <c r="T752">
        <f t="shared" si="151"/>
        <v>53</v>
      </c>
      <c r="U752" t="str">
        <f t="shared" si="152"/>
        <v>Developing</v>
      </c>
      <c r="V752" t="str">
        <f t="shared" si="153"/>
        <v>Interview</v>
      </c>
      <c r="W752" t="str">
        <f t="shared" si="154"/>
        <v>Technical Skills</v>
      </c>
      <c r="X752" t="str">
        <f t="shared" si="155"/>
        <v>Strengthen technical skills and practical knowledge</v>
      </c>
    </row>
    <row r="753" spans="1:24" x14ac:dyDescent="0.3">
      <c r="A753">
        <v>36</v>
      </c>
      <c r="B753">
        <v>0</v>
      </c>
      <c r="C753">
        <v>2</v>
      </c>
      <c r="D753">
        <v>3</v>
      </c>
      <c r="E753">
        <v>3</v>
      </c>
      <c r="F753">
        <v>10.171182174897799</v>
      </c>
      <c r="G753">
        <v>80</v>
      </c>
      <c r="H753">
        <v>76</v>
      </c>
      <c r="I753">
        <v>40</v>
      </c>
      <c r="J753">
        <v>3</v>
      </c>
      <c r="K753">
        <v>0</v>
      </c>
      <c r="L753" t="str">
        <f t="shared" si="143"/>
        <v>C752</v>
      </c>
      <c r="M753" t="str">
        <f t="shared" si="144"/>
        <v>Male</v>
      </c>
      <c r="N753" t="str">
        <f t="shared" si="145"/>
        <v>Bachelor's Type 2</v>
      </c>
      <c r="O753" t="str">
        <f t="shared" si="146"/>
        <v>Mid Level</v>
      </c>
      <c r="P753" t="str">
        <f t="shared" si="147"/>
        <v>Strong</v>
      </c>
      <c r="Q753" t="str">
        <f t="shared" si="148"/>
        <v>Advanced</v>
      </c>
      <c r="R753" t="str">
        <f t="shared" si="149"/>
        <v>Needs Improvement</v>
      </c>
      <c r="S753" t="str">
        <f t="shared" si="150"/>
        <v>Not Hired</v>
      </c>
      <c r="T753">
        <f t="shared" si="151"/>
        <v>60</v>
      </c>
      <c r="U753" t="str">
        <f t="shared" si="152"/>
        <v>Developing</v>
      </c>
      <c r="V753" t="str">
        <f t="shared" si="153"/>
        <v>Interview</v>
      </c>
      <c r="W753" t="str">
        <f t="shared" si="154"/>
        <v>Personality &amp; Communication</v>
      </c>
      <c r="X753" t="str">
        <f t="shared" si="155"/>
        <v>Work on communication and personality development</v>
      </c>
    </row>
    <row r="754" spans="1:24" x14ac:dyDescent="0.3">
      <c r="A754">
        <v>26</v>
      </c>
      <c r="B754">
        <v>0</v>
      </c>
      <c r="C754">
        <v>2</v>
      </c>
      <c r="D754">
        <v>11</v>
      </c>
      <c r="E754">
        <v>1</v>
      </c>
      <c r="F754">
        <v>1.34203740741817</v>
      </c>
      <c r="G754">
        <v>95</v>
      </c>
      <c r="H754">
        <v>34</v>
      </c>
      <c r="I754">
        <v>12</v>
      </c>
      <c r="J754">
        <v>1</v>
      </c>
      <c r="K754">
        <v>1</v>
      </c>
      <c r="L754" t="str">
        <f t="shared" si="143"/>
        <v>C753</v>
      </c>
      <c r="M754" t="str">
        <f t="shared" si="144"/>
        <v>Male</v>
      </c>
      <c r="N754" t="str">
        <f t="shared" si="145"/>
        <v>Bachelor's Type 2</v>
      </c>
      <c r="O754" t="str">
        <f t="shared" si="146"/>
        <v>Senior Level</v>
      </c>
      <c r="P754" t="str">
        <f t="shared" si="147"/>
        <v>Strong</v>
      </c>
      <c r="Q754" t="str">
        <f t="shared" si="148"/>
        <v>Beginner</v>
      </c>
      <c r="R754" t="str">
        <f t="shared" si="149"/>
        <v>Needs Improvement</v>
      </c>
      <c r="S754" t="str">
        <f t="shared" si="150"/>
        <v>Hired</v>
      </c>
      <c r="T754">
        <f t="shared" si="151"/>
        <v>55</v>
      </c>
      <c r="U754" t="str">
        <f t="shared" si="152"/>
        <v>Developing</v>
      </c>
      <c r="V754" t="str">
        <f t="shared" si="153"/>
        <v>Interview</v>
      </c>
      <c r="W754" t="str">
        <f t="shared" si="154"/>
        <v>Personality &amp; Communication</v>
      </c>
      <c r="X754" t="str">
        <f t="shared" si="155"/>
        <v>Work on communication and personality development</v>
      </c>
    </row>
    <row r="755" spans="1:24" x14ac:dyDescent="0.3">
      <c r="A755">
        <v>43</v>
      </c>
      <c r="B755">
        <v>1</v>
      </c>
      <c r="C755">
        <v>3</v>
      </c>
      <c r="D755">
        <v>10</v>
      </c>
      <c r="E755">
        <v>4</v>
      </c>
      <c r="F755">
        <v>24.350893326087</v>
      </c>
      <c r="G755">
        <v>42</v>
      </c>
      <c r="H755">
        <v>15</v>
      </c>
      <c r="I755">
        <v>33</v>
      </c>
      <c r="J755">
        <v>1</v>
      </c>
      <c r="K755">
        <v>1</v>
      </c>
      <c r="L755" t="str">
        <f t="shared" si="143"/>
        <v>C754</v>
      </c>
      <c r="M755" t="str">
        <f t="shared" si="144"/>
        <v>Female</v>
      </c>
      <c r="N755" t="str">
        <f t="shared" si="145"/>
        <v>Master's</v>
      </c>
      <c r="O755" t="str">
        <f t="shared" si="146"/>
        <v>Senior Level</v>
      </c>
      <c r="P755" t="str">
        <f t="shared" si="147"/>
        <v>Low</v>
      </c>
      <c r="Q755" t="str">
        <f t="shared" si="148"/>
        <v>Beginner</v>
      </c>
      <c r="R755" t="str">
        <f t="shared" si="149"/>
        <v>Needs Improvement</v>
      </c>
      <c r="S755" t="str">
        <f t="shared" si="150"/>
        <v>Hired</v>
      </c>
      <c r="T755">
        <f t="shared" si="151"/>
        <v>37</v>
      </c>
      <c r="U755" t="str">
        <f t="shared" si="152"/>
        <v>Needs Improvement</v>
      </c>
      <c r="V755" t="str">
        <f t="shared" si="153"/>
        <v>Interview</v>
      </c>
      <c r="W755" t="str">
        <f t="shared" si="154"/>
        <v>Technical Skills</v>
      </c>
      <c r="X755" t="str">
        <f t="shared" si="155"/>
        <v>Strengthen technical skills and practical knowledge</v>
      </c>
    </row>
    <row r="756" spans="1:24" x14ac:dyDescent="0.3">
      <c r="A756">
        <v>42</v>
      </c>
      <c r="B756">
        <v>1</v>
      </c>
      <c r="C756">
        <v>1</v>
      </c>
      <c r="D756">
        <v>12</v>
      </c>
      <c r="E756">
        <v>5</v>
      </c>
      <c r="F756">
        <v>35.282587463259901</v>
      </c>
      <c r="G756">
        <v>7</v>
      </c>
      <c r="H756">
        <v>78</v>
      </c>
      <c r="I756">
        <v>99</v>
      </c>
      <c r="J756">
        <v>2</v>
      </c>
      <c r="K756">
        <v>0</v>
      </c>
      <c r="L756" t="str">
        <f t="shared" si="143"/>
        <v>C755</v>
      </c>
      <c r="M756" t="str">
        <f t="shared" si="144"/>
        <v>Female</v>
      </c>
      <c r="N756" t="str">
        <f t="shared" si="145"/>
        <v>Bachelor's Type 1</v>
      </c>
      <c r="O756" t="str">
        <f t="shared" si="146"/>
        <v>Senior Level</v>
      </c>
      <c r="P756" t="str">
        <f t="shared" si="147"/>
        <v>Low</v>
      </c>
      <c r="Q756" t="str">
        <f t="shared" si="148"/>
        <v>Advanced</v>
      </c>
      <c r="R756" t="str">
        <f t="shared" si="149"/>
        <v>Strong</v>
      </c>
      <c r="S756" t="str">
        <f t="shared" si="150"/>
        <v>Not Hired</v>
      </c>
      <c r="T756">
        <f t="shared" si="151"/>
        <v>60</v>
      </c>
      <c r="U756" t="str">
        <f t="shared" si="152"/>
        <v>Developing</v>
      </c>
      <c r="V756" t="str">
        <f t="shared" si="153"/>
        <v>Personality</v>
      </c>
      <c r="W756" t="str">
        <f t="shared" si="154"/>
        <v>Interview Preparation</v>
      </c>
      <c r="X756" t="str">
        <f t="shared" si="155"/>
        <v>Improve interview preparation and communication</v>
      </c>
    </row>
    <row r="757" spans="1:24" x14ac:dyDescent="0.3">
      <c r="A757">
        <v>49</v>
      </c>
      <c r="B757">
        <v>0</v>
      </c>
      <c r="C757">
        <v>1</v>
      </c>
      <c r="D757">
        <v>14</v>
      </c>
      <c r="E757">
        <v>5</v>
      </c>
      <c r="F757">
        <v>12.3138667071903</v>
      </c>
      <c r="G757">
        <v>2</v>
      </c>
      <c r="H757">
        <v>17</v>
      </c>
      <c r="I757">
        <v>93</v>
      </c>
      <c r="J757">
        <v>1</v>
      </c>
      <c r="K757">
        <v>1</v>
      </c>
      <c r="L757" t="str">
        <f t="shared" si="143"/>
        <v>C756</v>
      </c>
      <c r="M757" t="str">
        <f t="shared" si="144"/>
        <v>Male</v>
      </c>
      <c r="N757" t="str">
        <f t="shared" si="145"/>
        <v>Bachelor's Type 1</v>
      </c>
      <c r="O757" t="str">
        <f t="shared" si="146"/>
        <v>Senior Level</v>
      </c>
      <c r="P757" t="str">
        <f t="shared" si="147"/>
        <v>Low</v>
      </c>
      <c r="Q757" t="str">
        <f t="shared" si="148"/>
        <v>Beginner</v>
      </c>
      <c r="R757" t="str">
        <f t="shared" si="149"/>
        <v>Strong</v>
      </c>
      <c r="S757" t="str">
        <f t="shared" si="150"/>
        <v>Hired</v>
      </c>
      <c r="T757">
        <f t="shared" si="151"/>
        <v>41</v>
      </c>
      <c r="U757" t="str">
        <f t="shared" si="152"/>
        <v>Needs Improvement</v>
      </c>
      <c r="V757" t="str">
        <f t="shared" si="153"/>
        <v>Personality</v>
      </c>
      <c r="W757" t="str">
        <f t="shared" si="154"/>
        <v>Interview Preparation</v>
      </c>
      <c r="X757" t="str">
        <f t="shared" si="155"/>
        <v>Improve interview preparation and communication</v>
      </c>
    </row>
    <row r="758" spans="1:24" x14ac:dyDescent="0.3">
      <c r="A758">
        <v>24</v>
      </c>
      <c r="B758">
        <v>0</v>
      </c>
      <c r="C758">
        <v>2</v>
      </c>
      <c r="D758">
        <v>10</v>
      </c>
      <c r="E758">
        <v>1</v>
      </c>
      <c r="F758">
        <v>7.59034149483396</v>
      </c>
      <c r="G758">
        <v>11</v>
      </c>
      <c r="H758">
        <v>100</v>
      </c>
      <c r="I758">
        <v>24</v>
      </c>
      <c r="J758">
        <v>2</v>
      </c>
      <c r="K758">
        <v>0</v>
      </c>
      <c r="L758" t="str">
        <f t="shared" si="143"/>
        <v>C757</v>
      </c>
      <c r="M758" t="str">
        <f t="shared" si="144"/>
        <v>Male</v>
      </c>
      <c r="N758" t="str">
        <f t="shared" si="145"/>
        <v>Bachelor's Type 2</v>
      </c>
      <c r="O758" t="str">
        <f t="shared" si="146"/>
        <v>Senior Level</v>
      </c>
      <c r="P758" t="str">
        <f t="shared" si="147"/>
        <v>Low</v>
      </c>
      <c r="Q758" t="str">
        <f t="shared" si="148"/>
        <v>Advanced</v>
      </c>
      <c r="R758" t="str">
        <f t="shared" si="149"/>
        <v>Needs Improvement</v>
      </c>
      <c r="S758" t="str">
        <f t="shared" si="150"/>
        <v>Not Hired</v>
      </c>
      <c r="T758">
        <f t="shared" si="151"/>
        <v>51</v>
      </c>
      <c r="U758" t="str">
        <f t="shared" si="152"/>
        <v>Developing</v>
      </c>
      <c r="V758" t="str">
        <f t="shared" si="153"/>
        <v>Technical Skills</v>
      </c>
      <c r="W758" t="str">
        <f t="shared" si="154"/>
        <v>Interview Preparation</v>
      </c>
      <c r="X758" t="str">
        <f t="shared" si="155"/>
        <v>Improve interview preparation and communication</v>
      </c>
    </row>
    <row r="759" spans="1:24" x14ac:dyDescent="0.3">
      <c r="A759">
        <v>31</v>
      </c>
      <c r="B759">
        <v>1</v>
      </c>
      <c r="C759">
        <v>4</v>
      </c>
      <c r="D759">
        <v>15</v>
      </c>
      <c r="E759">
        <v>2</v>
      </c>
      <c r="F759">
        <v>45.352137222347999</v>
      </c>
      <c r="G759">
        <v>83</v>
      </c>
      <c r="H759">
        <v>61</v>
      </c>
      <c r="I759">
        <v>65</v>
      </c>
      <c r="J759">
        <v>2</v>
      </c>
      <c r="K759">
        <v>1</v>
      </c>
      <c r="L759" t="str">
        <f t="shared" si="143"/>
        <v>C758</v>
      </c>
      <c r="M759" t="str">
        <f t="shared" si="144"/>
        <v>Female</v>
      </c>
      <c r="N759" t="str">
        <f t="shared" si="145"/>
        <v>PhD</v>
      </c>
      <c r="O759" t="str">
        <f t="shared" si="146"/>
        <v>Senior Level</v>
      </c>
      <c r="P759" t="str">
        <f t="shared" si="147"/>
        <v>Strong</v>
      </c>
      <c r="Q759" t="str">
        <f t="shared" si="148"/>
        <v>Intermediate</v>
      </c>
      <c r="R759" t="str">
        <f t="shared" si="149"/>
        <v>Good</v>
      </c>
      <c r="S759" t="str">
        <f t="shared" si="150"/>
        <v>Hired</v>
      </c>
      <c r="T759">
        <f t="shared" si="151"/>
        <v>76</v>
      </c>
      <c r="U759" t="str">
        <f t="shared" si="152"/>
        <v>Job Ready</v>
      </c>
      <c r="V759" t="str">
        <f t="shared" si="153"/>
        <v>Interview</v>
      </c>
      <c r="W759" t="str">
        <f t="shared" si="154"/>
        <v>Technical Skills</v>
      </c>
      <c r="X759" t="str">
        <f t="shared" si="155"/>
        <v>Strengthen technical skills and practical knowledge</v>
      </c>
    </row>
    <row r="760" spans="1:24" x14ac:dyDescent="0.3">
      <c r="A760">
        <v>36</v>
      </c>
      <c r="B760">
        <v>1</v>
      </c>
      <c r="C760">
        <v>2</v>
      </c>
      <c r="D760">
        <v>12</v>
      </c>
      <c r="E760">
        <v>1</v>
      </c>
      <c r="F760">
        <v>14.751238624389799</v>
      </c>
      <c r="G760">
        <v>15</v>
      </c>
      <c r="H760">
        <v>26</v>
      </c>
      <c r="I760">
        <v>99</v>
      </c>
      <c r="J760">
        <v>2</v>
      </c>
      <c r="K760">
        <v>0</v>
      </c>
      <c r="L760" t="str">
        <f t="shared" si="143"/>
        <v>C759</v>
      </c>
      <c r="M760" t="str">
        <f t="shared" si="144"/>
        <v>Female</v>
      </c>
      <c r="N760" t="str">
        <f t="shared" si="145"/>
        <v>Bachelor's Type 2</v>
      </c>
      <c r="O760" t="str">
        <f t="shared" si="146"/>
        <v>Senior Level</v>
      </c>
      <c r="P760" t="str">
        <f t="shared" si="147"/>
        <v>Low</v>
      </c>
      <c r="Q760" t="str">
        <f t="shared" si="148"/>
        <v>Beginner</v>
      </c>
      <c r="R760" t="str">
        <f t="shared" si="149"/>
        <v>Strong</v>
      </c>
      <c r="S760" t="str">
        <f t="shared" si="150"/>
        <v>Not Hired</v>
      </c>
      <c r="T760">
        <f t="shared" si="151"/>
        <v>47</v>
      </c>
      <c r="U760" t="str">
        <f t="shared" si="152"/>
        <v>Needs Improvement</v>
      </c>
      <c r="V760" t="str">
        <f t="shared" si="153"/>
        <v>Personality</v>
      </c>
      <c r="W760" t="str">
        <f t="shared" si="154"/>
        <v>Interview Preparation</v>
      </c>
      <c r="X760" t="str">
        <f t="shared" si="155"/>
        <v>Improve interview preparation and communication</v>
      </c>
    </row>
    <row r="761" spans="1:24" x14ac:dyDescent="0.3">
      <c r="A761">
        <v>42</v>
      </c>
      <c r="B761">
        <v>0</v>
      </c>
      <c r="C761">
        <v>2</v>
      </c>
      <c r="D761">
        <v>9</v>
      </c>
      <c r="E761">
        <v>1</v>
      </c>
      <c r="F761">
        <v>12.180630989633199</v>
      </c>
      <c r="G761">
        <v>77</v>
      </c>
      <c r="H761">
        <v>34</v>
      </c>
      <c r="I761">
        <v>17</v>
      </c>
      <c r="J761">
        <v>1</v>
      </c>
      <c r="K761">
        <v>1</v>
      </c>
      <c r="L761" t="str">
        <f t="shared" si="143"/>
        <v>C760</v>
      </c>
      <c r="M761" t="str">
        <f t="shared" si="144"/>
        <v>Male</v>
      </c>
      <c r="N761" t="str">
        <f t="shared" si="145"/>
        <v>Bachelor's Type 2</v>
      </c>
      <c r="O761" t="str">
        <f t="shared" si="146"/>
        <v>Senior Level</v>
      </c>
      <c r="P761" t="str">
        <f t="shared" si="147"/>
        <v>Strong</v>
      </c>
      <c r="Q761" t="str">
        <f t="shared" si="148"/>
        <v>Beginner</v>
      </c>
      <c r="R761" t="str">
        <f t="shared" si="149"/>
        <v>Needs Improvement</v>
      </c>
      <c r="S761" t="str">
        <f t="shared" si="150"/>
        <v>Hired</v>
      </c>
      <c r="T761">
        <f t="shared" si="151"/>
        <v>48</v>
      </c>
      <c r="U761" t="str">
        <f t="shared" si="152"/>
        <v>Needs Improvement</v>
      </c>
      <c r="V761" t="str">
        <f t="shared" si="153"/>
        <v>Interview</v>
      </c>
      <c r="W761" t="str">
        <f t="shared" si="154"/>
        <v>Personality &amp; Communication</v>
      </c>
      <c r="X761" t="str">
        <f t="shared" si="155"/>
        <v>Work on communication and personality development</v>
      </c>
    </row>
    <row r="762" spans="1:24" x14ac:dyDescent="0.3">
      <c r="A762">
        <v>32</v>
      </c>
      <c r="B762">
        <v>0</v>
      </c>
      <c r="C762">
        <v>2</v>
      </c>
      <c r="D762">
        <v>2</v>
      </c>
      <c r="E762">
        <v>5</v>
      </c>
      <c r="F762">
        <v>43.854846980495701</v>
      </c>
      <c r="G762">
        <v>79</v>
      </c>
      <c r="H762">
        <v>44</v>
      </c>
      <c r="I762">
        <v>4</v>
      </c>
      <c r="J762">
        <v>3</v>
      </c>
      <c r="K762">
        <v>0</v>
      </c>
      <c r="L762" t="str">
        <f t="shared" si="143"/>
        <v>C761</v>
      </c>
      <c r="M762" t="str">
        <f t="shared" si="144"/>
        <v>Male</v>
      </c>
      <c r="N762" t="str">
        <f t="shared" si="145"/>
        <v>Bachelor's Type 2</v>
      </c>
      <c r="O762" t="str">
        <f t="shared" si="146"/>
        <v>Entry Level</v>
      </c>
      <c r="P762" t="str">
        <f t="shared" si="147"/>
        <v>Strong</v>
      </c>
      <c r="Q762" t="str">
        <f t="shared" si="148"/>
        <v>Beginner</v>
      </c>
      <c r="R762" t="str">
        <f t="shared" si="149"/>
        <v>Needs Improvement</v>
      </c>
      <c r="S762" t="str">
        <f t="shared" si="150"/>
        <v>Not Hired</v>
      </c>
      <c r="T762">
        <f t="shared" si="151"/>
        <v>42</v>
      </c>
      <c r="U762" t="str">
        <f t="shared" si="152"/>
        <v>Needs Improvement</v>
      </c>
      <c r="V762" t="str">
        <f t="shared" si="153"/>
        <v>Interview</v>
      </c>
      <c r="W762" t="str">
        <f t="shared" si="154"/>
        <v>Personality &amp; Communication</v>
      </c>
      <c r="X762" t="str">
        <f t="shared" si="155"/>
        <v>Work on communication and personality development</v>
      </c>
    </row>
    <row r="763" spans="1:24" x14ac:dyDescent="0.3">
      <c r="A763">
        <v>42</v>
      </c>
      <c r="B763">
        <v>0</v>
      </c>
      <c r="C763">
        <v>2</v>
      </c>
      <c r="D763">
        <v>12</v>
      </c>
      <c r="E763">
        <v>4</v>
      </c>
      <c r="F763">
        <v>41.855354958337998</v>
      </c>
      <c r="G763">
        <v>58</v>
      </c>
      <c r="H763">
        <v>34</v>
      </c>
      <c r="I763">
        <v>18</v>
      </c>
      <c r="J763">
        <v>1</v>
      </c>
      <c r="K763">
        <v>0</v>
      </c>
      <c r="L763" t="str">
        <f t="shared" si="143"/>
        <v>C762</v>
      </c>
      <c r="M763" t="str">
        <f t="shared" si="144"/>
        <v>Male</v>
      </c>
      <c r="N763" t="str">
        <f t="shared" si="145"/>
        <v>Bachelor's Type 2</v>
      </c>
      <c r="O763" t="str">
        <f t="shared" si="146"/>
        <v>Senior Level</v>
      </c>
      <c r="P763" t="str">
        <f t="shared" si="147"/>
        <v>Average</v>
      </c>
      <c r="Q763" t="str">
        <f t="shared" si="148"/>
        <v>Beginner</v>
      </c>
      <c r="R763" t="str">
        <f t="shared" si="149"/>
        <v>Needs Improvement</v>
      </c>
      <c r="S763" t="str">
        <f t="shared" si="150"/>
        <v>Not Hired</v>
      </c>
      <c r="T763">
        <f t="shared" si="151"/>
        <v>46</v>
      </c>
      <c r="U763" t="str">
        <f t="shared" si="152"/>
        <v>Needs Improvement</v>
      </c>
      <c r="V763" t="str">
        <f t="shared" si="153"/>
        <v>Interview</v>
      </c>
      <c r="W763" t="str">
        <f t="shared" si="154"/>
        <v>Personality &amp; Communication</v>
      </c>
      <c r="X763" t="str">
        <f t="shared" si="155"/>
        <v>Work on communication and personality development</v>
      </c>
    </row>
    <row r="764" spans="1:24" x14ac:dyDescent="0.3">
      <c r="A764">
        <v>44</v>
      </c>
      <c r="B764">
        <v>0</v>
      </c>
      <c r="C764">
        <v>2</v>
      </c>
      <c r="D764">
        <v>10</v>
      </c>
      <c r="E764">
        <v>1</v>
      </c>
      <c r="F764">
        <v>23.417323526231598</v>
      </c>
      <c r="G764">
        <v>48</v>
      </c>
      <c r="H764">
        <v>27</v>
      </c>
      <c r="I764">
        <v>41</v>
      </c>
      <c r="J764">
        <v>2</v>
      </c>
      <c r="K764">
        <v>0</v>
      </c>
      <c r="L764" t="str">
        <f t="shared" si="143"/>
        <v>C763</v>
      </c>
      <c r="M764" t="str">
        <f t="shared" si="144"/>
        <v>Male</v>
      </c>
      <c r="N764" t="str">
        <f t="shared" si="145"/>
        <v>Bachelor's Type 2</v>
      </c>
      <c r="O764" t="str">
        <f t="shared" si="146"/>
        <v>Senior Level</v>
      </c>
      <c r="P764" t="str">
        <f t="shared" si="147"/>
        <v>Low</v>
      </c>
      <c r="Q764" t="str">
        <f t="shared" si="148"/>
        <v>Beginner</v>
      </c>
      <c r="R764" t="str">
        <f t="shared" si="149"/>
        <v>Needs Improvement</v>
      </c>
      <c r="S764" t="str">
        <f t="shared" si="150"/>
        <v>Not Hired</v>
      </c>
      <c r="T764">
        <f t="shared" si="151"/>
        <v>43</v>
      </c>
      <c r="U764" t="str">
        <f t="shared" si="152"/>
        <v>Needs Improvement</v>
      </c>
      <c r="V764" t="str">
        <f t="shared" si="153"/>
        <v>Interview</v>
      </c>
      <c r="W764" t="str">
        <f t="shared" si="154"/>
        <v>Technical Skills</v>
      </c>
      <c r="X764" t="str">
        <f t="shared" si="155"/>
        <v>Strengthen technical skills and practical knowledge</v>
      </c>
    </row>
    <row r="765" spans="1:24" x14ac:dyDescent="0.3">
      <c r="A765">
        <v>22</v>
      </c>
      <c r="B765">
        <v>1</v>
      </c>
      <c r="C765">
        <v>2</v>
      </c>
      <c r="D765">
        <v>2</v>
      </c>
      <c r="E765">
        <v>2</v>
      </c>
      <c r="F765">
        <v>25.461943071388699</v>
      </c>
      <c r="G765">
        <v>62</v>
      </c>
      <c r="H765">
        <v>8</v>
      </c>
      <c r="I765">
        <v>17</v>
      </c>
      <c r="J765">
        <v>2</v>
      </c>
      <c r="K765">
        <v>0</v>
      </c>
      <c r="L765" t="str">
        <f t="shared" si="143"/>
        <v>C764</v>
      </c>
      <c r="M765" t="str">
        <f t="shared" si="144"/>
        <v>Female</v>
      </c>
      <c r="N765" t="str">
        <f t="shared" si="145"/>
        <v>Bachelor's Type 2</v>
      </c>
      <c r="O765" t="str">
        <f t="shared" si="146"/>
        <v>Entry Level</v>
      </c>
      <c r="P765" t="str">
        <f t="shared" si="147"/>
        <v>Average</v>
      </c>
      <c r="Q765" t="str">
        <f t="shared" si="148"/>
        <v>Beginner</v>
      </c>
      <c r="R765" t="str">
        <f t="shared" si="149"/>
        <v>Needs Improvement</v>
      </c>
      <c r="S765" t="str">
        <f t="shared" si="150"/>
        <v>Not Hired</v>
      </c>
      <c r="T765">
        <f t="shared" si="151"/>
        <v>29</v>
      </c>
      <c r="U765" t="str">
        <f t="shared" si="152"/>
        <v>Needs Improvement</v>
      </c>
      <c r="V765" t="str">
        <f t="shared" si="153"/>
        <v>Interview</v>
      </c>
      <c r="W765" t="str">
        <f t="shared" si="154"/>
        <v>Technical Skills</v>
      </c>
      <c r="X765" t="str">
        <f t="shared" si="155"/>
        <v>Strengthen technical skills and practical knowledge</v>
      </c>
    </row>
    <row r="766" spans="1:24" x14ac:dyDescent="0.3">
      <c r="A766">
        <v>28</v>
      </c>
      <c r="B766">
        <v>0</v>
      </c>
      <c r="C766">
        <v>2</v>
      </c>
      <c r="D766">
        <v>14</v>
      </c>
      <c r="E766">
        <v>3</v>
      </c>
      <c r="F766">
        <v>11.887435241701001</v>
      </c>
      <c r="G766">
        <v>61</v>
      </c>
      <c r="H766">
        <v>75</v>
      </c>
      <c r="I766">
        <v>31</v>
      </c>
      <c r="J766">
        <v>2</v>
      </c>
      <c r="K766">
        <v>0</v>
      </c>
      <c r="L766" t="str">
        <f t="shared" si="143"/>
        <v>C765</v>
      </c>
      <c r="M766" t="str">
        <f t="shared" si="144"/>
        <v>Male</v>
      </c>
      <c r="N766" t="str">
        <f t="shared" si="145"/>
        <v>Bachelor's Type 2</v>
      </c>
      <c r="O766" t="str">
        <f t="shared" si="146"/>
        <v>Senior Level</v>
      </c>
      <c r="P766" t="str">
        <f t="shared" si="147"/>
        <v>Average</v>
      </c>
      <c r="Q766" t="str">
        <f t="shared" si="148"/>
        <v>Advanced</v>
      </c>
      <c r="R766" t="str">
        <f t="shared" si="149"/>
        <v>Needs Improvement</v>
      </c>
      <c r="S766" t="str">
        <f t="shared" si="150"/>
        <v>Not Hired</v>
      </c>
      <c r="T766">
        <f t="shared" si="151"/>
        <v>64</v>
      </c>
      <c r="U766" t="str">
        <f t="shared" si="152"/>
        <v>Developing</v>
      </c>
      <c r="V766" t="str">
        <f t="shared" si="153"/>
        <v>Technical Skills</v>
      </c>
      <c r="W766" t="str">
        <f t="shared" si="154"/>
        <v>Personality &amp; Communication</v>
      </c>
      <c r="X766" t="str">
        <f t="shared" si="155"/>
        <v>Work on communication and personality development</v>
      </c>
    </row>
    <row r="767" spans="1:24" x14ac:dyDescent="0.3">
      <c r="A767">
        <v>49</v>
      </c>
      <c r="B767">
        <v>0</v>
      </c>
      <c r="C767">
        <v>2</v>
      </c>
      <c r="D767">
        <v>14</v>
      </c>
      <c r="E767">
        <v>1</v>
      </c>
      <c r="F767">
        <v>4.9150835239778701</v>
      </c>
      <c r="G767">
        <v>48</v>
      </c>
      <c r="H767">
        <v>14</v>
      </c>
      <c r="I767">
        <v>20</v>
      </c>
      <c r="J767">
        <v>2</v>
      </c>
      <c r="K767">
        <v>0</v>
      </c>
      <c r="L767" t="str">
        <f t="shared" si="143"/>
        <v>C766</v>
      </c>
      <c r="M767" t="str">
        <f t="shared" si="144"/>
        <v>Male</v>
      </c>
      <c r="N767" t="str">
        <f t="shared" si="145"/>
        <v>Bachelor's Type 2</v>
      </c>
      <c r="O767" t="str">
        <f t="shared" si="146"/>
        <v>Senior Level</v>
      </c>
      <c r="P767" t="str">
        <f t="shared" si="147"/>
        <v>Low</v>
      </c>
      <c r="Q767" t="str">
        <f t="shared" si="148"/>
        <v>Beginner</v>
      </c>
      <c r="R767" t="str">
        <f t="shared" si="149"/>
        <v>Needs Improvement</v>
      </c>
      <c r="S767" t="str">
        <f t="shared" si="150"/>
        <v>Not Hired</v>
      </c>
      <c r="T767">
        <f t="shared" si="151"/>
        <v>39</v>
      </c>
      <c r="U767" t="str">
        <f t="shared" si="152"/>
        <v>Needs Improvement</v>
      </c>
      <c r="V767" t="str">
        <f t="shared" si="153"/>
        <v>Interview</v>
      </c>
      <c r="W767" t="str">
        <f t="shared" si="154"/>
        <v>Technical Skills</v>
      </c>
      <c r="X767" t="str">
        <f t="shared" si="155"/>
        <v>Strengthen technical skills and practical knowledge</v>
      </c>
    </row>
    <row r="768" spans="1:24" x14ac:dyDescent="0.3">
      <c r="A768">
        <v>36</v>
      </c>
      <c r="B768">
        <v>0</v>
      </c>
      <c r="C768">
        <v>2</v>
      </c>
      <c r="D768">
        <v>15</v>
      </c>
      <c r="E768">
        <v>1</v>
      </c>
      <c r="F768">
        <v>29.671591267783</v>
      </c>
      <c r="G768">
        <v>50</v>
      </c>
      <c r="H768">
        <v>20</v>
      </c>
      <c r="I768">
        <v>9</v>
      </c>
      <c r="J768">
        <v>1</v>
      </c>
      <c r="K768">
        <v>0</v>
      </c>
      <c r="L768" t="str">
        <f t="shared" si="143"/>
        <v>C767</v>
      </c>
      <c r="M768" t="str">
        <f t="shared" si="144"/>
        <v>Male</v>
      </c>
      <c r="N768" t="str">
        <f t="shared" si="145"/>
        <v>Bachelor's Type 2</v>
      </c>
      <c r="O768" t="str">
        <f t="shared" si="146"/>
        <v>Senior Level</v>
      </c>
      <c r="P768" t="str">
        <f t="shared" si="147"/>
        <v>Average</v>
      </c>
      <c r="Q768" t="str">
        <f t="shared" si="148"/>
        <v>Beginner</v>
      </c>
      <c r="R768" t="str">
        <f t="shared" si="149"/>
        <v>Needs Improvement</v>
      </c>
      <c r="S768" t="str">
        <f t="shared" si="150"/>
        <v>Not Hired</v>
      </c>
      <c r="T768">
        <f t="shared" si="151"/>
        <v>40</v>
      </c>
      <c r="U768" t="str">
        <f t="shared" si="152"/>
        <v>Needs Improvement</v>
      </c>
      <c r="V768" t="str">
        <f t="shared" si="153"/>
        <v>Interview</v>
      </c>
      <c r="W768" t="str">
        <f t="shared" si="154"/>
        <v>Personality &amp; Communication</v>
      </c>
      <c r="X768" t="str">
        <f t="shared" si="155"/>
        <v>Work on communication and personality development</v>
      </c>
    </row>
    <row r="769" spans="1:24" x14ac:dyDescent="0.3">
      <c r="A769">
        <v>36</v>
      </c>
      <c r="B769">
        <v>0</v>
      </c>
      <c r="C769">
        <v>2</v>
      </c>
      <c r="D769">
        <v>12</v>
      </c>
      <c r="E769">
        <v>2</v>
      </c>
      <c r="F769">
        <v>5.9172460795106501</v>
      </c>
      <c r="G769">
        <v>32</v>
      </c>
      <c r="H769">
        <v>51</v>
      </c>
      <c r="I769">
        <v>36</v>
      </c>
      <c r="J769">
        <v>2</v>
      </c>
      <c r="K769">
        <v>0</v>
      </c>
      <c r="L769" t="str">
        <f t="shared" si="143"/>
        <v>C768</v>
      </c>
      <c r="M769" t="str">
        <f t="shared" si="144"/>
        <v>Male</v>
      </c>
      <c r="N769" t="str">
        <f t="shared" si="145"/>
        <v>Bachelor's Type 2</v>
      </c>
      <c r="O769" t="str">
        <f t="shared" si="146"/>
        <v>Senior Level</v>
      </c>
      <c r="P769" t="str">
        <f t="shared" si="147"/>
        <v>Low</v>
      </c>
      <c r="Q769" t="str">
        <f t="shared" si="148"/>
        <v>Intermediate</v>
      </c>
      <c r="R769" t="str">
        <f t="shared" si="149"/>
        <v>Needs Improvement</v>
      </c>
      <c r="S769" t="str">
        <f t="shared" si="150"/>
        <v>Not Hired</v>
      </c>
      <c r="T769">
        <f t="shared" si="151"/>
        <v>47</v>
      </c>
      <c r="U769" t="str">
        <f t="shared" si="152"/>
        <v>Needs Improvement</v>
      </c>
      <c r="V769" t="str">
        <f t="shared" si="153"/>
        <v>Technical Skills</v>
      </c>
      <c r="W769" t="str">
        <f t="shared" si="154"/>
        <v>Interview Preparation</v>
      </c>
      <c r="X769" t="str">
        <f t="shared" si="155"/>
        <v>Improve interview preparation and communication</v>
      </c>
    </row>
    <row r="770" spans="1:24" x14ac:dyDescent="0.3">
      <c r="A770">
        <v>49</v>
      </c>
      <c r="B770">
        <v>1</v>
      </c>
      <c r="C770">
        <v>3</v>
      </c>
      <c r="D770">
        <v>12</v>
      </c>
      <c r="E770">
        <v>4</v>
      </c>
      <c r="F770">
        <v>23.4637273478324</v>
      </c>
      <c r="G770">
        <v>29</v>
      </c>
      <c r="H770">
        <v>34</v>
      </c>
      <c r="I770">
        <v>48</v>
      </c>
      <c r="J770">
        <v>1</v>
      </c>
      <c r="K770">
        <v>1</v>
      </c>
      <c r="L770" t="str">
        <f t="shared" si="143"/>
        <v>C769</v>
      </c>
      <c r="M770" t="str">
        <f t="shared" si="144"/>
        <v>Female</v>
      </c>
      <c r="N770" t="str">
        <f t="shared" si="145"/>
        <v>Master's</v>
      </c>
      <c r="O770" t="str">
        <f t="shared" si="146"/>
        <v>Senior Level</v>
      </c>
      <c r="P770" t="str">
        <f t="shared" si="147"/>
        <v>Low</v>
      </c>
      <c r="Q770" t="str">
        <f t="shared" si="148"/>
        <v>Beginner</v>
      </c>
      <c r="R770" t="str">
        <f t="shared" si="149"/>
        <v>Needs Improvement</v>
      </c>
      <c r="S770" t="str">
        <f t="shared" si="150"/>
        <v>Hired</v>
      </c>
      <c r="T770">
        <f t="shared" si="151"/>
        <v>44</v>
      </c>
      <c r="U770" t="str">
        <f t="shared" si="152"/>
        <v>Needs Improvement</v>
      </c>
      <c r="V770" t="str">
        <f t="shared" si="153"/>
        <v>Personality</v>
      </c>
      <c r="W770" t="str">
        <f t="shared" si="154"/>
        <v>Interview Preparation</v>
      </c>
      <c r="X770" t="str">
        <f t="shared" si="155"/>
        <v>Improve interview preparation and communication</v>
      </c>
    </row>
    <row r="771" spans="1:24" x14ac:dyDescent="0.3">
      <c r="A771">
        <v>39</v>
      </c>
      <c r="B771">
        <v>1</v>
      </c>
      <c r="C771">
        <v>1</v>
      </c>
      <c r="D771">
        <v>0</v>
      </c>
      <c r="E771">
        <v>1</v>
      </c>
      <c r="F771">
        <v>48.024859925650503</v>
      </c>
      <c r="G771">
        <v>58</v>
      </c>
      <c r="H771">
        <v>96</v>
      </c>
      <c r="I771">
        <v>85</v>
      </c>
      <c r="J771">
        <v>1</v>
      </c>
      <c r="K771">
        <v>1</v>
      </c>
      <c r="L771" t="str">
        <f t="shared" ref="L771:L834" si="156">"C"&amp;TEXT(ROW()-1,"000")</f>
        <v>C770</v>
      </c>
      <c r="M771" t="str">
        <f t="shared" ref="M771:M834" si="157">IF(B771=0,"Male","Female")</f>
        <v>Female</v>
      </c>
      <c r="N771" t="str">
        <f t="shared" ref="N771:N834" si="158">IF(C771=1,"Bachelor's Type 1",IF(C771=2,"Bachelor's Type 2",IF(C771=3,"Master's","PhD")))</f>
        <v>Bachelor's Type 1</v>
      </c>
      <c r="O771" t="str">
        <f t="shared" ref="O771:O834" si="159">IF(D771&lt;=2,"Entry Level",IF(D771&lt;=6,"Mid Level","Senior Level"))</f>
        <v>Entry Level</v>
      </c>
      <c r="P771" t="str">
        <f t="shared" ref="P771:P834" si="160">IF(G771&lt;50,"Low",IF(G771&lt;75,"Average","Strong"))</f>
        <v>Average</v>
      </c>
      <c r="Q771" t="str">
        <f t="shared" ref="Q771:Q834" si="161">IF(H771&lt;50,"Beginner",IF(H771&lt;75,"Intermediate","Advanced"))</f>
        <v>Advanced</v>
      </c>
      <c r="R771" t="str">
        <f t="shared" ref="R771:R834" si="162">IF(I771&lt;50,"Needs Improvement",IF(I771&lt;75,"Good","Strong"))</f>
        <v>Strong</v>
      </c>
      <c r="S771" t="str">
        <f t="shared" ref="S771:S834" si="163">IF(K771=1,"Hired","Not Hired")</f>
        <v>Hired</v>
      </c>
      <c r="T771">
        <f t="shared" ref="T771:T834" si="164">ROUND((G771*30%)+(H771*30%)+(I771*20%)+((D771/15)*100*15%)+(IF(C771&lt;=2,50,IF(C771=3,75,100))*5%),0)</f>
        <v>66</v>
      </c>
      <c r="U771" t="str">
        <f t="shared" ref="U771:U834" si="165">IF(T771&lt;50,"Needs Improvement",IF(T771&lt;75,"Developing","Job Ready"))</f>
        <v>Developing</v>
      </c>
      <c r="V771" t="str">
        <f t="shared" ref="V771:V834" si="166">IF(AND(G771&gt;=H771,G771&gt;=I771),"Interview",IF(H771&gt;=I771,"Technical Skills","Personality"))</f>
        <v>Technical Skills</v>
      </c>
      <c r="W771" t="str">
        <f t="shared" ref="W771:W834" si="167">IF(AND(G771&lt;=H771,G771&lt;=I771),"Interview Preparation",IF(H771&lt;=I771,"Technical Skills","Personality &amp; Communication"))</f>
        <v>Interview Preparation</v>
      </c>
      <c r="X771" t="str">
        <f t="shared" ref="X771:X834" si="168">IF(W771="Interview Preparation","Improve interview preparation and communication",IF(W771="Technical Skills","Strengthen technical skills and practical knowledge","Work on communication and personality development"))</f>
        <v>Improve interview preparation and communication</v>
      </c>
    </row>
    <row r="772" spans="1:24" x14ac:dyDescent="0.3">
      <c r="A772">
        <v>35</v>
      </c>
      <c r="B772">
        <v>1</v>
      </c>
      <c r="C772">
        <v>3</v>
      </c>
      <c r="D772">
        <v>2</v>
      </c>
      <c r="E772">
        <v>1</v>
      </c>
      <c r="F772">
        <v>48.641719458529202</v>
      </c>
      <c r="G772">
        <v>75</v>
      </c>
      <c r="H772">
        <v>50</v>
      </c>
      <c r="I772">
        <v>12</v>
      </c>
      <c r="J772">
        <v>2</v>
      </c>
      <c r="K772">
        <v>0</v>
      </c>
      <c r="L772" t="str">
        <f t="shared" si="156"/>
        <v>C771</v>
      </c>
      <c r="M772" t="str">
        <f t="shared" si="157"/>
        <v>Female</v>
      </c>
      <c r="N772" t="str">
        <f t="shared" si="158"/>
        <v>Master's</v>
      </c>
      <c r="O772" t="str">
        <f t="shared" si="159"/>
        <v>Entry Level</v>
      </c>
      <c r="P772" t="str">
        <f t="shared" si="160"/>
        <v>Strong</v>
      </c>
      <c r="Q772" t="str">
        <f t="shared" si="161"/>
        <v>Intermediate</v>
      </c>
      <c r="R772" t="str">
        <f t="shared" si="162"/>
        <v>Needs Improvement</v>
      </c>
      <c r="S772" t="str">
        <f t="shared" si="163"/>
        <v>Not Hired</v>
      </c>
      <c r="T772">
        <f t="shared" si="164"/>
        <v>46</v>
      </c>
      <c r="U772" t="str">
        <f t="shared" si="165"/>
        <v>Needs Improvement</v>
      </c>
      <c r="V772" t="str">
        <f t="shared" si="166"/>
        <v>Interview</v>
      </c>
      <c r="W772" t="str">
        <f t="shared" si="167"/>
        <v>Personality &amp; Communication</v>
      </c>
      <c r="X772" t="str">
        <f t="shared" si="168"/>
        <v>Work on communication and personality development</v>
      </c>
    </row>
    <row r="773" spans="1:24" x14ac:dyDescent="0.3">
      <c r="A773">
        <v>44</v>
      </c>
      <c r="B773">
        <v>0</v>
      </c>
      <c r="C773">
        <v>3</v>
      </c>
      <c r="D773">
        <v>3</v>
      </c>
      <c r="E773">
        <v>4</v>
      </c>
      <c r="F773">
        <v>12.9666143273679</v>
      </c>
      <c r="G773">
        <v>14</v>
      </c>
      <c r="H773">
        <v>82</v>
      </c>
      <c r="I773">
        <v>54</v>
      </c>
      <c r="J773">
        <v>2</v>
      </c>
      <c r="K773">
        <v>0</v>
      </c>
      <c r="L773" t="str">
        <f t="shared" si="156"/>
        <v>C772</v>
      </c>
      <c r="M773" t="str">
        <f t="shared" si="157"/>
        <v>Male</v>
      </c>
      <c r="N773" t="str">
        <f t="shared" si="158"/>
        <v>Master's</v>
      </c>
      <c r="O773" t="str">
        <f t="shared" si="159"/>
        <v>Mid Level</v>
      </c>
      <c r="P773" t="str">
        <f t="shared" si="160"/>
        <v>Low</v>
      </c>
      <c r="Q773" t="str">
        <f t="shared" si="161"/>
        <v>Advanced</v>
      </c>
      <c r="R773" t="str">
        <f t="shared" si="162"/>
        <v>Good</v>
      </c>
      <c r="S773" t="str">
        <f t="shared" si="163"/>
        <v>Not Hired</v>
      </c>
      <c r="T773">
        <f t="shared" si="164"/>
        <v>46</v>
      </c>
      <c r="U773" t="str">
        <f t="shared" si="165"/>
        <v>Needs Improvement</v>
      </c>
      <c r="V773" t="str">
        <f t="shared" si="166"/>
        <v>Technical Skills</v>
      </c>
      <c r="W773" t="str">
        <f t="shared" si="167"/>
        <v>Interview Preparation</v>
      </c>
      <c r="X773" t="str">
        <f t="shared" si="168"/>
        <v>Improve interview preparation and communication</v>
      </c>
    </row>
    <row r="774" spans="1:24" x14ac:dyDescent="0.3">
      <c r="A774">
        <v>41</v>
      </c>
      <c r="B774">
        <v>0</v>
      </c>
      <c r="C774">
        <v>2</v>
      </c>
      <c r="D774">
        <v>10</v>
      </c>
      <c r="E774">
        <v>2</v>
      </c>
      <c r="F774">
        <v>32.205671002282699</v>
      </c>
      <c r="G774">
        <v>81</v>
      </c>
      <c r="H774">
        <v>54</v>
      </c>
      <c r="I774">
        <v>16</v>
      </c>
      <c r="J774">
        <v>2</v>
      </c>
      <c r="K774">
        <v>0</v>
      </c>
      <c r="L774" t="str">
        <f t="shared" si="156"/>
        <v>C773</v>
      </c>
      <c r="M774" t="str">
        <f t="shared" si="157"/>
        <v>Male</v>
      </c>
      <c r="N774" t="str">
        <f t="shared" si="158"/>
        <v>Bachelor's Type 2</v>
      </c>
      <c r="O774" t="str">
        <f t="shared" si="159"/>
        <v>Senior Level</v>
      </c>
      <c r="P774" t="str">
        <f t="shared" si="160"/>
        <v>Strong</v>
      </c>
      <c r="Q774" t="str">
        <f t="shared" si="161"/>
        <v>Intermediate</v>
      </c>
      <c r="R774" t="str">
        <f t="shared" si="162"/>
        <v>Needs Improvement</v>
      </c>
      <c r="S774" t="str">
        <f t="shared" si="163"/>
        <v>Not Hired</v>
      </c>
      <c r="T774">
        <f t="shared" si="164"/>
        <v>56</v>
      </c>
      <c r="U774" t="str">
        <f t="shared" si="165"/>
        <v>Developing</v>
      </c>
      <c r="V774" t="str">
        <f t="shared" si="166"/>
        <v>Interview</v>
      </c>
      <c r="W774" t="str">
        <f t="shared" si="167"/>
        <v>Personality &amp; Communication</v>
      </c>
      <c r="X774" t="str">
        <f t="shared" si="168"/>
        <v>Work on communication and personality development</v>
      </c>
    </row>
    <row r="775" spans="1:24" x14ac:dyDescent="0.3">
      <c r="A775">
        <v>32</v>
      </c>
      <c r="B775">
        <v>1</v>
      </c>
      <c r="C775">
        <v>2</v>
      </c>
      <c r="D775">
        <v>10</v>
      </c>
      <c r="E775">
        <v>1</v>
      </c>
      <c r="F775">
        <v>24.703813205392802</v>
      </c>
      <c r="G775">
        <v>91</v>
      </c>
      <c r="H775">
        <v>86</v>
      </c>
      <c r="I775">
        <v>8</v>
      </c>
      <c r="J775">
        <v>2</v>
      </c>
      <c r="K775">
        <v>0</v>
      </c>
      <c r="L775" t="str">
        <f t="shared" si="156"/>
        <v>C774</v>
      </c>
      <c r="M775" t="str">
        <f t="shared" si="157"/>
        <v>Female</v>
      </c>
      <c r="N775" t="str">
        <f t="shared" si="158"/>
        <v>Bachelor's Type 2</v>
      </c>
      <c r="O775" t="str">
        <f t="shared" si="159"/>
        <v>Senior Level</v>
      </c>
      <c r="P775" t="str">
        <f t="shared" si="160"/>
        <v>Strong</v>
      </c>
      <c r="Q775" t="str">
        <f t="shared" si="161"/>
        <v>Advanced</v>
      </c>
      <c r="R775" t="str">
        <f t="shared" si="162"/>
        <v>Needs Improvement</v>
      </c>
      <c r="S775" t="str">
        <f t="shared" si="163"/>
        <v>Not Hired</v>
      </c>
      <c r="T775">
        <f t="shared" si="164"/>
        <v>67</v>
      </c>
      <c r="U775" t="str">
        <f t="shared" si="165"/>
        <v>Developing</v>
      </c>
      <c r="V775" t="str">
        <f t="shared" si="166"/>
        <v>Interview</v>
      </c>
      <c r="W775" t="str">
        <f t="shared" si="167"/>
        <v>Personality &amp; Communication</v>
      </c>
      <c r="X775" t="str">
        <f t="shared" si="168"/>
        <v>Work on communication and personality development</v>
      </c>
    </row>
    <row r="776" spans="1:24" x14ac:dyDescent="0.3">
      <c r="A776">
        <v>46</v>
      </c>
      <c r="B776">
        <v>0</v>
      </c>
      <c r="C776">
        <v>2</v>
      </c>
      <c r="D776">
        <v>4</v>
      </c>
      <c r="E776">
        <v>4</v>
      </c>
      <c r="F776">
        <v>44.784256379305297</v>
      </c>
      <c r="G776">
        <v>22</v>
      </c>
      <c r="H776">
        <v>76</v>
      </c>
      <c r="I776">
        <v>87</v>
      </c>
      <c r="J776">
        <v>3</v>
      </c>
      <c r="K776">
        <v>0</v>
      </c>
      <c r="L776" t="str">
        <f t="shared" si="156"/>
        <v>C775</v>
      </c>
      <c r="M776" t="str">
        <f t="shared" si="157"/>
        <v>Male</v>
      </c>
      <c r="N776" t="str">
        <f t="shared" si="158"/>
        <v>Bachelor's Type 2</v>
      </c>
      <c r="O776" t="str">
        <f t="shared" si="159"/>
        <v>Mid Level</v>
      </c>
      <c r="P776" t="str">
        <f t="shared" si="160"/>
        <v>Low</v>
      </c>
      <c r="Q776" t="str">
        <f t="shared" si="161"/>
        <v>Advanced</v>
      </c>
      <c r="R776" t="str">
        <f t="shared" si="162"/>
        <v>Strong</v>
      </c>
      <c r="S776" t="str">
        <f t="shared" si="163"/>
        <v>Not Hired</v>
      </c>
      <c r="T776">
        <f t="shared" si="164"/>
        <v>53</v>
      </c>
      <c r="U776" t="str">
        <f t="shared" si="165"/>
        <v>Developing</v>
      </c>
      <c r="V776" t="str">
        <f t="shared" si="166"/>
        <v>Personality</v>
      </c>
      <c r="W776" t="str">
        <f t="shared" si="167"/>
        <v>Interview Preparation</v>
      </c>
      <c r="X776" t="str">
        <f t="shared" si="168"/>
        <v>Improve interview preparation and communication</v>
      </c>
    </row>
    <row r="777" spans="1:24" x14ac:dyDescent="0.3">
      <c r="A777">
        <v>38</v>
      </c>
      <c r="B777">
        <v>0</v>
      </c>
      <c r="C777">
        <v>2</v>
      </c>
      <c r="D777">
        <v>2</v>
      </c>
      <c r="E777">
        <v>1</v>
      </c>
      <c r="F777">
        <v>14.571543213802601</v>
      </c>
      <c r="G777">
        <v>77</v>
      </c>
      <c r="H777">
        <v>43</v>
      </c>
      <c r="I777">
        <v>43</v>
      </c>
      <c r="J777">
        <v>3</v>
      </c>
      <c r="K777">
        <v>0</v>
      </c>
      <c r="L777" t="str">
        <f t="shared" si="156"/>
        <v>C776</v>
      </c>
      <c r="M777" t="str">
        <f t="shared" si="157"/>
        <v>Male</v>
      </c>
      <c r="N777" t="str">
        <f t="shared" si="158"/>
        <v>Bachelor's Type 2</v>
      </c>
      <c r="O777" t="str">
        <f t="shared" si="159"/>
        <v>Entry Level</v>
      </c>
      <c r="P777" t="str">
        <f t="shared" si="160"/>
        <v>Strong</v>
      </c>
      <c r="Q777" t="str">
        <f t="shared" si="161"/>
        <v>Beginner</v>
      </c>
      <c r="R777" t="str">
        <f t="shared" si="162"/>
        <v>Needs Improvement</v>
      </c>
      <c r="S777" t="str">
        <f t="shared" si="163"/>
        <v>Not Hired</v>
      </c>
      <c r="T777">
        <f t="shared" si="164"/>
        <v>49</v>
      </c>
      <c r="U777" t="str">
        <f t="shared" si="165"/>
        <v>Needs Improvement</v>
      </c>
      <c r="V777" t="str">
        <f t="shared" si="166"/>
        <v>Interview</v>
      </c>
      <c r="W777" t="str">
        <f t="shared" si="167"/>
        <v>Technical Skills</v>
      </c>
      <c r="X777" t="str">
        <f t="shared" si="168"/>
        <v>Strengthen technical skills and practical knowledge</v>
      </c>
    </row>
    <row r="778" spans="1:24" x14ac:dyDescent="0.3">
      <c r="A778">
        <v>36</v>
      </c>
      <c r="B778">
        <v>1</v>
      </c>
      <c r="C778">
        <v>2</v>
      </c>
      <c r="D778">
        <v>5</v>
      </c>
      <c r="E778">
        <v>3</v>
      </c>
      <c r="F778">
        <v>1.18512034162084</v>
      </c>
      <c r="G778">
        <v>93</v>
      </c>
      <c r="H778">
        <v>64</v>
      </c>
      <c r="I778">
        <v>77</v>
      </c>
      <c r="J778">
        <v>2</v>
      </c>
      <c r="K778">
        <v>0</v>
      </c>
      <c r="L778" t="str">
        <f t="shared" si="156"/>
        <v>C777</v>
      </c>
      <c r="M778" t="str">
        <f t="shared" si="157"/>
        <v>Female</v>
      </c>
      <c r="N778" t="str">
        <f t="shared" si="158"/>
        <v>Bachelor's Type 2</v>
      </c>
      <c r="O778" t="str">
        <f t="shared" si="159"/>
        <v>Mid Level</v>
      </c>
      <c r="P778" t="str">
        <f t="shared" si="160"/>
        <v>Strong</v>
      </c>
      <c r="Q778" t="str">
        <f t="shared" si="161"/>
        <v>Intermediate</v>
      </c>
      <c r="R778" t="str">
        <f t="shared" si="162"/>
        <v>Strong</v>
      </c>
      <c r="S778" t="str">
        <f t="shared" si="163"/>
        <v>Not Hired</v>
      </c>
      <c r="T778">
        <f t="shared" si="164"/>
        <v>70</v>
      </c>
      <c r="U778" t="str">
        <f t="shared" si="165"/>
        <v>Developing</v>
      </c>
      <c r="V778" t="str">
        <f t="shared" si="166"/>
        <v>Interview</v>
      </c>
      <c r="W778" t="str">
        <f t="shared" si="167"/>
        <v>Technical Skills</v>
      </c>
      <c r="X778" t="str">
        <f t="shared" si="168"/>
        <v>Strengthen technical skills and practical knowledge</v>
      </c>
    </row>
    <row r="779" spans="1:24" x14ac:dyDescent="0.3">
      <c r="A779">
        <v>23</v>
      </c>
      <c r="B779">
        <v>1</v>
      </c>
      <c r="C779">
        <v>1</v>
      </c>
      <c r="D779">
        <v>10</v>
      </c>
      <c r="E779">
        <v>5</v>
      </c>
      <c r="F779">
        <v>9.1280602965707498</v>
      </c>
      <c r="G779">
        <v>96</v>
      </c>
      <c r="H779">
        <v>92</v>
      </c>
      <c r="I779">
        <v>45</v>
      </c>
      <c r="J779">
        <v>1</v>
      </c>
      <c r="K779">
        <v>1</v>
      </c>
      <c r="L779" t="str">
        <f t="shared" si="156"/>
        <v>C778</v>
      </c>
      <c r="M779" t="str">
        <f t="shared" si="157"/>
        <v>Female</v>
      </c>
      <c r="N779" t="str">
        <f t="shared" si="158"/>
        <v>Bachelor's Type 1</v>
      </c>
      <c r="O779" t="str">
        <f t="shared" si="159"/>
        <v>Senior Level</v>
      </c>
      <c r="P779" t="str">
        <f t="shared" si="160"/>
        <v>Strong</v>
      </c>
      <c r="Q779" t="str">
        <f t="shared" si="161"/>
        <v>Advanced</v>
      </c>
      <c r="R779" t="str">
        <f t="shared" si="162"/>
        <v>Needs Improvement</v>
      </c>
      <c r="S779" t="str">
        <f t="shared" si="163"/>
        <v>Hired</v>
      </c>
      <c r="T779">
        <f t="shared" si="164"/>
        <v>78</v>
      </c>
      <c r="U779" t="str">
        <f t="shared" si="165"/>
        <v>Job Ready</v>
      </c>
      <c r="V779" t="str">
        <f t="shared" si="166"/>
        <v>Interview</v>
      </c>
      <c r="W779" t="str">
        <f t="shared" si="167"/>
        <v>Personality &amp; Communication</v>
      </c>
      <c r="X779" t="str">
        <f t="shared" si="168"/>
        <v>Work on communication and personality development</v>
      </c>
    </row>
    <row r="780" spans="1:24" x14ac:dyDescent="0.3">
      <c r="A780">
        <v>31</v>
      </c>
      <c r="B780">
        <v>1</v>
      </c>
      <c r="C780">
        <v>2</v>
      </c>
      <c r="D780">
        <v>13</v>
      </c>
      <c r="E780">
        <v>3</v>
      </c>
      <c r="F780">
        <v>18.476140058469898</v>
      </c>
      <c r="G780">
        <v>44</v>
      </c>
      <c r="H780">
        <v>87</v>
      </c>
      <c r="I780">
        <v>7</v>
      </c>
      <c r="J780">
        <v>2</v>
      </c>
      <c r="K780">
        <v>0</v>
      </c>
      <c r="L780" t="str">
        <f t="shared" si="156"/>
        <v>C779</v>
      </c>
      <c r="M780" t="str">
        <f t="shared" si="157"/>
        <v>Female</v>
      </c>
      <c r="N780" t="str">
        <f t="shared" si="158"/>
        <v>Bachelor's Type 2</v>
      </c>
      <c r="O780" t="str">
        <f t="shared" si="159"/>
        <v>Senior Level</v>
      </c>
      <c r="P780" t="str">
        <f t="shared" si="160"/>
        <v>Low</v>
      </c>
      <c r="Q780" t="str">
        <f t="shared" si="161"/>
        <v>Advanced</v>
      </c>
      <c r="R780" t="str">
        <f t="shared" si="162"/>
        <v>Needs Improvement</v>
      </c>
      <c r="S780" t="str">
        <f t="shared" si="163"/>
        <v>Not Hired</v>
      </c>
      <c r="T780">
        <f t="shared" si="164"/>
        <v>56</v>
      </c>
      <c r="U780" t="str">
        <f t="shared" si="165"/>
        <v>Developing</v>
      </c>
      <c r="V780" t="str">
        <f t="shared" si="166"/>
        <v>Technical Skills</v>
      </c>
      <c r="W780" t="str">
        <f t="shared" si="167"/>
        <v>Personality &amp; Communication</v>
      </c>
      <c r="X780" t="str">
        <f t="shared" si="168"/>
        <v>Work on communication and personality development</v>
      </c>
    </row>
    <row r="781" spans="1:24" x14ac:dyDescent="0.3">
      <c r="A781">
        <v>48</v>
      </c>
      <c r="B781">
        <v>1</v>
      </c>
      <c r="C781">
        <v>3</v>
      </c>
      <c r="D781">
        <v>14</v>
      </c>
      <c r="E781">
        <v>1</v>
      </c>
      <c r="F781">
        <v>16.786056488524402</v>
      </c>
      <c r="G781">
        <v>61</v>
      </c>
      <c r="H781">
        <v>79</v>
      </c>
      <c r="I781">
        <v>36</v>
      </c>
      <c r="J781">
        <v>1</v>
      </c>
      <c r="K781">
        <v>1</v>
      </c>
      <c r="L781" t="str">
        <f t="shared" si="156"/>
        <v>C780</v>
      </c>
      <c r="M781" t="str">
        <f t="shared" si="157"/>
        <v>Female</v>
      </c>
      <c r="N781" t="str">
        <f t="shared" si="158"/>
        <v>Master's</v>
      </c>
      <c r="O781" t="str">
        <f t="shared" si="159"/>
        <v>Senior Level</v>
      </c>
      <c r="P781" t="str">
        <f t="shared" si="160"/>
        <v>Average</v>
      </c>
      <c r="Q781" t="str">
        <f t="shared" si="161"/>
        <v>Advanced</v>
      </c>
      <c r="R781" t="str">
        <f t="shared" si="162"/>
        <v>Needs Improvement</v>
      </c>
      <c r="S781" t="str">
        <f t="shared" si="163"/>
        <v>Hired</v>
      </c>
      <c r="T781">
        <f t="shared" si="164"/>
        <v>67</v>
      </c>
      <c r="U781" t="str">
        <f t="shared" si="165"/>
        <v>Developing</v>
      </c>
      <c r="V781" t="str">
        <f t="shared" si="166"/>
        <v>Technical Skills</v>
      </c>
      <c r="W781" t="str">
        <f t="shared" si="167"/>
        <v>Personality &amp; Communication</v>
      </c>
      <c r="X781" t="str">
        <f t="shared" si="168"/>
        <v>Work on communication and personality development</v>
      </c>
    </row>
    <row r="782" spans="1:24" x14ac:dyDescent="0.3">
      <c r="A782">
        <v>28</v>
      </c>
      <c r="B782">
        <v>0</v>
      </c>
      <c r="C782">
        <v>2</v>
      </c>
      <c r="D782">
        <v>11</v>
      </c>
      <c r="E782">
        <v>2</v>
      </c>
      <c r="F782">
        <v>40.568145956144299</v>
      </c>
      <c r="G782">
        <v>78</v>
      </c>
      <c r="H782">
        <v>24</v>
      </c>
      <c r="I782">
        <v>18</v>
      </c>
      <c r="J782">
        <v>2</v>
      </c>
      <c r="K782">
        <v>0</v>
      </c>
      <c r="L782" t="str">
        <f t="shared" si="156"/>
        <v>C781</v>
      </c>
      <c r="M782" t="str">
        <f t="shared" si="157"/>
        <v>Male</v>
      </c>
      <c r="N782" t="str">
        <f t="shared" si="158"/>
        <v>Bachelor's Type 2</v>
      </c>
      <c r="O782" t="str">
        <f t="shared" si="159"/>
        <v>Senior Level</v>
      </c>
      <c r="P782" t="str">
        <f t="shared" si="160"/>
        <v>Strong</v>
      </c>
      <c r="Q782" t="str">
        <f t="shared" si="161"/>
        <v>Beginner</v>
      </c>
      <c r="R782" t="str">
        <f t="shared" si="162"/>
        <v>Needs Improvement</v>
      </c>
      <c r="S782" t="str">
        <f t="shared" si="163"/>
        <v>Not Hired</v>
      </c>
      <c r="T782">
        <f t="shared" si="164"/>
        <v>48</v>
      </c>
      <c r="U782" t="str">
        <f t="shared" si="165"/>
        <v>Needs Improvement</v>
      </c>
      <c r="V782" t="str">
        <f t="shared" si="166"/>
        <v>Interview</v>
      </c>
      <c r="W782" t="str">
        <f t="shared" si="167"/>
        <v>Personality &amp; Communication</v>
      </c>
      <c r="X782" t="str">
        <f t="shared" si="168"/>
        <v>Work on communication and personality development</v>
      </c>
    </row>
    <row r="783" spans="1:24" x14ac:dyDescent="0.3">
      <c r="A783">
        <v>38</v>
      </c>
      <c r="B783">
        <v>0</v>
      </c>
      <c r="C783">
        <v>3</v>
      </c>
      <c r="D783">
        <v>15</v>
      </c>
      <c r="E783">
        <v>5</v>
      </c>
      <c r="F783">
        <v>35.028033306941801</v>
      </c>
      <c r="G783">
        <v>70</v>
      </c>
      <c r="H783">
        <v>86</v>
      </c>
      <c r="I783">
        <v>62</v>
      </c>
      <c r="J783">
        <v>2</v>
      </c>
      <c r="K783">
        <v>1</v>
      </c>
      <c r="L783" t="str">
        <f t="shared" si="156"/>
        <v>C782</v>
      </c>
      <c r="M783" t="str">
        <f t="shared" si="157"/>
        <v>Male</v>
      </c>
      <c r="N783" t="str">
        <f t="shared" si="158"/>
        <v>Master's</v>
      </c>
      <c r="O783" t="str">
        <f t="shared" si="159"/>
        <v>Senior Level</v>
      </c>
      <c r="P783" t="str">
        <f t="shared" si="160"/>
        <v>Average</v>
      </c>
      <c r="Q783" t="str">
        <f t="shared" si="161"/>
        <v>Advanced</v>
      </c>
      <c r="R783" t="str">
        <f t="shared" si="162"/>
        <v>Good</v>
      </c>
      <c r="S783" t="str">
        <f t="shared" si="163"/>
        <v>Hired</v>
      </c>
      <c r="T783">
        <f t="shared" si="164"/>
        <v>78</v>
      </c>
      <c r="U783" t="str">
        <f t="shared" si="165"/>
        <v>Job Ready</v>
      </c>
      <c r="V783" t="str">
        <f t="shared" si="166"/>
        <v>Technical Skills</v>
      </c>
      <c r="W783" t="str">
        <f t="shared" si="167"/>
        <v>Personality &amp; Communication</v>
      </c>
      <c r="X783" t="str">
        <f t="shared" si="168"/>
        <v>Work on communication and personality development</v>
      </c>
    </row>
    <row r="784" spans="1:24" x14ac:dyDescent="0.3">
      <c r="A784">
        <v>31</v>
      </c>
      <c r="B784">
        <v>1</v>
      </c>
      <c r="C784">
        <v>2</v>
      </c>
      <c r="D784">
        <v>4</v>
      </c>
      <c r="E784">
        <v>3</v>
      </c>
      <c r="F784">
        <v>15.977815980744801</v>
      </c>
      <c r="G784">
        <v>14</v>
      </c>
      <c r="H784">
        <v>91</v>
      </c>
      <c r="I784">
        <v>91</v>
      </c>
      <c r="J784">
        <v>2</v>
      </c>
      <c r="K784">
        <v>0</v>
      </c>
      <c r="L784" t="str">
        <f t="shared" si="156"/>
        <v>C783</v>
      </c>
      <c r="M784" t="str">
        <f t="shared" si="157"/>
        <v>Female</v>
      </c>
      <c r="N784" t="str">
        <f t="shared" si="158"/>
        <v>Bachelor's Type 2</v>
      </c>
      <c r="O784" t="str">
        <f t="shared" si="159"/>
        <v>Mid Level</v>
      </c>
      <c r="P784" t="str">
        <f t="shared" si="160"/>
        <v>Low</v>
      </c>
      <c r="Q784" t="str">
        <f t="shared" si="161"/>
        <v>Advanced</v>
      </c>
      <c r="R784" t="str">
        <f t="shared" si="162"/>
        <v>Strong</v>
      </c>
      <c r="S784" t="str">
        <f t="shared" si="163"/>
        <v>Not Hired</v>
      </c>
      <c r="T784">
        <f t="shared" si="164"/>
        <v>56</v>
      </c>
      <c r="U784" t="str">
        <f t="shared" si="165"/>
        <v>Developing</v>
      </c>
      <c r="V784" t="str">
        <f t="shared" si="166"/>
        <v>Technical Skills</v>
      </c>
      <c r="W784" t="str">
        <f t="shared" si="167"/>
        <v>Interview Preparation</v>
      </c>
      <c r="X784" t="str">
        <f t="shared" si="168"/>
        <v>Improve interview preparation and communication</v>
      </c>
    </row>
    <row r="785" spans="1:24" x14ac:dyDescent="0.3">
      <c r="A785">
        <v>28</v>
      </c>
      <c r="B785">
        <v>0</v>
      </c>
      <c r="C785">
        <v>3</v>
      </c>
      <c r="D785">
        <v>2</v>
      </c>
      <c r="E785">
        <v>4</v>
      </c>
      <c r="F785">
        <v>23.8871908583106</v>
      </c>
      <c r="G785">
        <v>45</v>
      </c>
      <c r="H785">
        <v>46</v>
      </c>
      <c r="I785">
        <v>45</v>
      </c>
      <c r="J785">
        <v>2</v>
      </c>
      <c r="K785">
        <v>0</v>
      </c>
      <c r="L785" t="str">
        <f t="shared" si="156"/>
        <v>C784</v>
      </c>
      <c r="M785" t="str">
        <f t="shared" si="157"/>
        <v>Male</v>
      </c>
      <c r="N785" t="str">
        <f t="shared" si="158"/>
        <v>Master's</v>
      </c>
      <c r="O785" t="str">
        <f t="shared" si="159"/>
        <v>Entry Level</v>
      </c>
      <c r="P785" t="str">
        <f t="shared" si="160"/>
        <v>Low</v>
      </c>
      <c r="Q785" t="str">
        <f t="shared" si="161"/>
        <v>Beginner</v>
      </c>
      <c r="R785" t="str">
        <f t="shared" si="162"/>
        <v>Needs Improvement</v>
      </c>
      <c r="S785" t="str">
        <f t="shared" si="163"/>
        <v>Not Hired</v>
      </c>
      <c r="T785">
        <f t="shared" si="164"/>
        <v>42</v>
      </c>
      <c r="U785" t="str">
        <f t="shared" si="165"/>
        <v>Needs Improvement</v>
      </c>
      <c r="V785" t="str">
        <f t="shared" si="166"/>
        <v>Technical Skills</v>
      </c>
      <c r="W785" t="str">
        <f t="shared" si="167"/>
        <v>Interview Preparation</v>
      </c>
      <c r="X785" t="str">
        <f t="shared" si="168"/>
        <v>Improve interview preparation and communication</v>
      </c>
    </row>
    <row r="786" spans="1:24" x14ac:dyDescent="0.3">
      <c r="A786">
        <v>26</v>
      </c>
      <c r="B786">
        <v>1</v>
      </c>
      <c r="C786">
        <v>2</v>
      </c>
      <c r="D786">
        <v>5</v>
      </c>
      <c r="E786">
        <v>2</v>
      </c>
      <c r="F786">
        <v>5.7779551979167598</v>
      </c>
      <c r="G786">
        <v>63</v>
      </c>
      <c r="H786">
        <v>79</v>
      </c>
      <c r="I786">
        <v>93</v>
      </c>
      <c r="J786">
        <v>1</v>
      </c>
      <c r="K786">
        <v>1</v>
      </c>
      <c r="L786" t="str">
        <f t="shared" si="156"/>
        <v>C785</v>
      </c>
      <c r="M786" t="str">
        <f t="shared" si="157"/>
        <v>Female</v>
      </c>
      <c r="N786" t="str">
        <f t="shared" si="158"/>
        <v>Bachelor's Type 2</v>
      </c>
      <c r="O786" t="str">
        <f t="shared" si="159"/>
        <v>Mid Level</v>
      </c>
      <c r="P786" t="str">
        <f t="shared" si="160"/>
        <v>Average</v>
      </c>
      <c r="Q786" t="str">
        <f t="shared" si="161"/>
        <v>Advanced</v>
      </c>
      <c r="R786" t="str">
        <f t="shared" si="162"/>
        <v>Strong</v>
      </c>
      <c r="S786" t="str">
        <f t="shared" si="163"/>
        <v>Hired</v>
      </c>
      <c r="T786">
        <f t="shared" si="164"/>
        <v>69</v>
      </c>
      <c r="U786" t="str">
        <f t="shared" si="165"/>
        <v>Developing</v>
      </c>
      <c r="V786" t="str">
        <f t="shared" si="166"/>
        <v>Personality</v>
      </c>
      <c r="W786" t="str">
        <f t="shared" si="167"/>
        <v>Interview Preparation</v>
      </c>
      <c r="X786" t="str">
        <f t="shared" si="168"/>
        <v>Improve interview preparation and communication</v>
      </c>
    </row>
    <row r="787" spans="1:24" x14ac:dyDescent="0.3">
      <c r="A787">
        <v>47</v>
      </c>
      <c r="B787">
        <v>1</v>
      </c>
      <c r="C787">
        <v>1</v>
      </c>
      <c r="D787">
        <v>5</v>
      </c>
      <c r="E787">
        <v>3</v>
      </c>
      <c r="F787">
        <v>45.907322241004998</v>
      </c>
      <c r="G787">
        <v>45</v>
      </c>
      <c r="H787">
        <v>55</v>
      </c>
      <c r="I787">
        <v>70</v>
      </c>
      <c r="J787">
        <v>2</v>
      </c>
      <c r="K787">
        <v>0</v>
      </c>
      <c r="L787" t="str">
        <f t="shared" si="156"/>
        <v>C786</v>
      </c>
      <c r="M787" t="str">
        <f t="shared" si="157"/>
        <v>Female</v>
      </c>
      <c r="N787" t="str">
        <f t="shared" si="158"/>
        <v>Bachelor's Type 1</v>
      </c>
      <c r="O787" t="str">
        <f t="shared" si="159"/>
        <v>Mid Level</v>
      </c>
      <c r="P787" t="str">
        <f t="shared" si="160"/>
        <v>Low</v>
      </c>
      <c r="Q787" t="str">
        <f t="shared" si="161"/>
        <v>Intermediate</v>
      </c>
      <c r="R787" t="str">
        <f t="shared" si="162"/>
        <v>Good</v>
      </c>
      <c r="S787" t="str">
        <f t="shared" si="163"/>
        <v>Not Hired</v>
      </c>
      <c r="T787">
        <f t="shared" si="164"/>
        <v>52</v>
      </c>
      <c r="U787" t="str">
        <f t="shared" si="165"/>
        <v>Developing</v>
      </c>
      <c r="V787" t="str">
        <f t="shared" si="166"/>
        <v>Personality</v>
      </c>
      <c r="W787" t="str">
        <f t="shared" si="167"/>
        <v>Interview Preparation</v>
      </c>
      <c r="X787" t="str">
        <f t="shared" si="168"/>
        <v>Improve interview preparation and communication</v>
      </c>
    </row>
    <row r="788" spans="1:24" x14ac:dyDescent="0.3">
      <c r="A788">
        <v>33</v>
      </c>
      <c r="B788">
        <v>0</v>
      </c>
      <c r="C788">
        <v>2</v>
      </c>
      <c r="D788">
        <v>14</v>
      </c>
      <c r="E788">
        <v>4</v>
      </c>
      <c r="F788">
        <v>47.771241222426703</v>
      </c>
      <c r="G788">
        <v>55</v>
      </c>
      <c r="H788">
        <v>37</v>
      </c>
      <c r="I788">
        <v>25</v>
      </c>
      <c r="J788">
        <v>2</v>
      </c>
      <c r="K788">
        <v>0</v>
      </c>
      <c r="L788" t="str">
        <f t="shared" si="156"/>
        <v>C787</v>
      </c>
      <c r="M788" t="str">
        <f t="shared" si="157"/>
        <v>Male</v>
      </c>
      <c r="N788" t="str">
        <f t="shared" si="158"/>
        <v>Bachelor's Type 2</v>
      </c>
      <c r="O788" t="str">
        <f t="shared" si="159"/>
        <v>Senior Level</v>
      </c>
      <c r="P788" t="str">
        <f t="shared" si="160"/>
        <v>Average</v>
      </c>
      <c r="Q788" t="str">
        <f t="shared" si="161"/>
        <v>Beginner</v>
      </c>
      <c r="R788" t="str">
        <f t="shared" si="162"/>
        <v>Needs Improvement</v>
      </c>
      <c r="S788" t="str">
        <f t="shared" si="163"/>
        <v>Not Hired</v>
      </c>
      <c r="T788">
        <f t="shared" si="164"/>
        <v>49</v>
      </c>
      <c r="U788" t="str">
        <f t="shared" si="165"/>
        <v>Needs Improvement</v>
      </c>
      <c r="V788" t="str">
        <f t="shared" si="166"/>
        <v>Interview</v>
      </c>
      <c r="W788" t="str">
        <f t="shared" si="167"/>
        <v>Personality &amp; Communication</v>
      </c>
      <c r="X788" t="str">
        <f t="shared" si="168"/>
        <v>Work on communication and personality development</v>
      </c>
    </row>
    <row r="789" spans="1:24" x14ac:dyDescent="0.3">
      <c r="A789">
        <v>50</v>
      </c>
      <c r="B789">
        <v>1</v>
      </c>
      <c r="C789">
        <v>1</v>
      </c>
      <c r="D789">
        <v>13</v>
      </c>
      <c r="E789">
        <v>1</v>
      </c>
      <c r="F789">
        <v>49.990176769046897</v>
      </c>
      <c r="G789">
        <v>43</v>
      </c>
      <c r="H789">
        <v>10</v>
      </c>
      <c r="I789">
        <v>45</v>
      </c>
      <c r="J789">
        <v>2</v>
      </c>
      <c r="K789">
        <v>0</v>
      </c>
      <c r="L789" t="str">
        <f t="shared" si="156"/>
        <v>C788</v>
      </c>
      <c r="M789" t="str">
        <f t="shared" si="157"/>
        <v>Female</v>
      </c>
      <c r="N789" t="str">
        <f t="shared" si="158"/>
        <v>Bachelor's Type 1</v>
      </c>
      <c r="O789" t="str">
        <f t="shared" si="159"/>
        <v>Senior Level</v>
      </c>
      <c r="P789" t="str">
        <f t="shared" si="160"/>
        <v>Low</v>
      </c>
      <c r="Q789" t="str">
        <f t="shared" si="161"/>
        <v>Beginner</v>
      </c>
      <c r="R789" t="str">
        <f t="shared" si="162"/>
        <v>Needs Improvement</v>
      </c>
      <c r="S789" t="str">
        <f t="shared" si="163"/>
        <v>Not Hired</v>
      </c>
      <c r="T789">
        <f t="shared" si="164"/>
        <v>40</v>
      </c>
      <c r="U789" t="str">
        <f t="shared" si="165"/>
        <v>Needs Improvement</v>
      </c>
      <c r="V789" t="str">
        <f t="shared" si="166"/>
        <v>Personality</v>
      </c>
      <c r="W789" t="str">
        <f t="shared" si="167"/>
        <v>Technical Skills</v>
      </c>
      <c r="X789" t="str">
        <f t="shared" si="168"/>
        <v>Strengthen technical skills and practical knowledge</v>
      </c>
    </row>
    <row r="790" spans="1:24" x14ac:dyDescent="0.3">
      <c r="A790">
        <v>39</v>
      </c>
      <c r="B790">
        <v>0</v>
      </c>
      <c r="C790">
        <v>2</v>
      </c>
      <c r="D790">
        <v>7</v>
      </c>
      <c r="E790">
        <v>4</v>
      </c>
      <c r="F790">
        <v>44.427641539291798</v>
      </c>
      <c r="G790">
        <v>74</v>
      </c>
      <c r="H790">
        <v>66</v>
      </c>
      <c r="I790">
        <v>45</v>
      </c>
      <c r="J790">
        <v>2</v>
      </c>
      <c r="K790">
        <v>0</v>
      </c>
      <c r="L790" t="str">
        <f t="shared" si="156"/>
        <v>C789</v>
      </c>
      <c r="M790" t="str">
        <f t="shared" si="157"/>
        <v>Male</v>
      </c>
      <c r="N790" t="str">
        <f t="shared" si="158"/>
        <v>Bachelor's Type 2</v>
      </c>
      <c r="O790" t="str">
        <f t="shared" si="159"/>
        <v>Senior Level</v>
      </c>
      <c r="P790" t="str">
        <f t="shared" si="160"/>
        <v>Average</v>
      </c>
      <c r="Q790" t="str">
        <f t="shared" si="161"/>
        <v>Intermediate</v>
      </c>
      <c r="R790" t="str">
        <f t="shared" si="162"/>
        <v>Needs Improvement</v>
      </c>
      <c r="S790" t="str">
        <f t="shared" si="163"/>
        <v>Not Hired</v>
      </c>
      <c r="T790">
        <f t="shared" si="164"/>
        <v>61</v>
      </c>
      <c r="U790" t="str">
        <f t="shared" si="165"/>
        <v>Developing</v>
      </c>
      <c r="V790" t="str">
        <f t="shared" si="166"/>
        <v>Interview</v>
      </c>
      <c r="W790" t="str">
        <f t="shared" si="167"/>
        <v>Personality &amp; Communication</v>
      </c>
      <c r="X790" t="str">
        <f t="shared" si="168"/>
        <v>Work on communication and personality development</v>
      </c>
    </row>
    <row r="791" spans="1:24" x14ac:dyDescent="0.3">
      <c r="A791">
        <v>38</v>
      </c>
      <c r="B791">
        <v>0</v>
      </c>
      <c r="C791">
        <v>4</v>
      </c>
      <c r="D791">
        <v>1</v>
      </c>
      <c r="E791">
        <v>3</v>
      </c>
      <c r="F791">
        <v>9.6980443848112703</v>
      </c>
      <c r="G791">
        <v>28</v>
      </c>
      <c r="H791">
        <v>14</v>
      </c>
      <c r="I791">
        <v>74</v>
      </c>
      <c r="J791">
        <v>2</v>
      </c>
      <c r="K791">
        <v>0</v>
      </c>
      <c r="L791" t="str">
        <f t="shared" si="156"/>
        <v>C790</v>
      </c>
      <c r="M791" t="str">
        <f t="shared" si="157"/>
        <v>Male</v>
      </c>
      <c r="N791" t="str">
        <f t="shared" si="158"/>
        <v>PhD</v>
      </c>
      <c r="O791" t="str">
        <f t="shared" si="159"/>
        <v>Entry Level</v>
      </c>
      <c r="P791" t="str">
        <f t="shared" si="160"/>
        <v>Low</v>
      </c>
      <c r="Q791" t="str">
        <f t="shared" si="161"/>
        <v>Beginner</v>
      </c>
      <c r="R791" t="str">
        <f t="shared" si="162"/>
        <v>Good</v>
      </c>
      <c r="S791" t="str">
        <f t="shared" si="163"/>
        <v>Not Hired</v>
      </c>
      <c r="T791">
        <f t="shared" si="164"/>
        <v>33</v>
      </c>
      <c r="U791" t="str">
        <f t="shared" si="165"/>
        <v>Needs Improvement</v>
      </c>
      <c r="V791" t="str">
        <f t="shared" si="166"/>
        <v>Personality</v>
      </c>
      <c r="W791" t="str">
        <f t="shared" si="167"/>
        <v>Technical Skills</v>
      </c>
      <c r="X791" t="str">
        <f t="shared" si="168"/>
        <v>Strengthen technical skills and practical knowledge</v>
      </c>
    </row>
    <row r="792" spans="1:24" x14ac:dyDescent="0.3">
      <c r="A792">
        <v>45</v>
      </c>
      <c r="B792">
        <v>0</v>
      </c>
      <c r="C792">
        <v>1</v>
      </c>
      <c r="D792">
        <v>0</v>
      </c>
      <c r="E792">
        <v>3</v>
      </c>
      <c r="F792">
        <v>3.30982416008144</v>
      </c>
      <c r="G792">
        <v>94</v>
      </c>
      <c r="H792">
        <v>0</v>
      </c>
      <c r="I792">
        <v>13</v>
      </c>
      <c r="J792">
        <v>2</v>
      </c>
      <c r="K792">
        <v>0</v>
      </c>
      <c r="L792" t="str">
        <f t="shared" si="156"/>
        <v>C791</v>
      </c>
      <c r="M792" t="str">
        <f t="shared" si="157"/>
        <v>Male</v>
      </c>
      <c r="N792" t="str">
        <f t="shared" si="158"/>
        <v>Bachelor's Type 1</v>
      </c>
      <c r="O792" t="str">
        <f t="shared" si="159"/>
        <v>Entry Level</v>
      </c>
      <c r="P792" t="str">
        <f t="shared" si="160"/>
        <v>Strong</v>
      </c>
      <c r="Q792" t="str">
        <f t="shared" si="161"/>
        <v>Beginner</v>
      </c>
      <c r="R792" t="str">
        <f t="shared" si="162"/>
        <v>Needs Improvement</v>
      </c>
      <c r="S792" t="str">
        <f t="shared" si="163"/>
        <v>Not Hired</v>
      </c>
      <c r="T792">
        <f t="shared" si="164"/>
        <v>33</v>
      </c>
      <c r="U792" t="str">
        <f t="shared" si="165"/>
        <v>Needs Improvement</v>
      </c>
      <c r="V792" t="str">
        <f t="shared" si="166"/>
        <v>Interview</v>
      </c>
      <c r="W792" t="str">
        <f t="shared" si="167"/>
        <v>Technical Skills</v>
      </c>
      <c r="X792" t="str">
        <f t="shared" si="168"/>
        <v>Strengthen technical skills and practical knowledge</v>
      </c>
    </row>
    <row r="793" spans="1:24" x14ac:dyDescent="0.3">
      <c r="A793">
        <v>34</v>
      </c>
      <c r="B793">
        <v>0</v>
      </c>
      <c r="C793">
        <v>2</v>
      </c>
      <c r="D793">
        <v>15</v>
      </c>
      <c r="E793">
        <v>1</v>
      </c>
      <c r="F793">
        <v>29.979836370633699</v>
      </c>
      <c r="G793">
        <v>61</v>
      </c>
      <c r="H793">
        <v>6</v>
      </c>
      <c r="I793">
        <v>84</v>
      </c>
      <c r="J793">
        <v>2</v>
      </c>
      <c r="K793">
        <v>0</v>
      </c>
      <c r="L793" t="str">
        <f t="shared" si="156"/>
        <v>C792</v>
      </c>
      <c r="M793" t="str">
        <f t="shared" si="157"/>
        <v>Male</v>
      </c>
      <c r="N793" t="str">
        <f t="shared" si="158"/>
        <v>Bachelor's Type 2</v>
      </c>
      <c r="O793" t="str">
        <f t="shared" si="159"/>
        <v>Senior Level</v>
      </c>
      <c r="P793" t="str">
        <f t="shared" si="160"/>
        <v>Average</v>
      </c>
      <c r="Q793" t="str">
        <f t="shared" si="161"/>
        <v>Beginner</v>
      </c>
      <c r="R793" t="str">
        <f t="shared" si="162"/>
        <v>Strong</v>
      </c>
      <c r="S793" t="str">
        <f t="shared" si="163"/>
        <v>Not Hired</v>
      </c>
      <c r="T793">
        <f t="shared" si="164"/>
        <v>54</v>
      </c>
      <c r="U793" t="str">
        <f t="shared" si="165"/>
        <v>Developing</v>
      </c>
      <c r="V793" t="str">
        <f t="shared" si="166"/>
        <v>Personality</v>
      </c>
      <c r="W793" t="str">
        <f t="shared" si="167"/>
        <v>Technical Skills</v>
      </c>
      <c r="X793" t="str">
        <f t="shared" si="168"/>
        <v>Strengthen technical skills and practical knowledge</v>
      </c>
    </row>
    <row r="794" spans="1:24" x14ac:dyDescent="0.3">
      <c r="A794">
        <v>35</v>
      </c>
      <c r="B794">
        <v>1</v>
      </c>
      <c r="C794">
        <v>3</v>
      </c>
      <c r="D794">
        <v>3</v>
      </c>
      <c r="E794">
        <v>4</v>
      </c>
      <c r="F794">
        <v>46.630251344155504</v>
      </c>
      <c r="G794">
        <v>88</v>
      </c>
      <c r="H794">
        <v>0</v>
      </c>
      <c r="I794">
        <v>62</v>
      </c>
      <c r="J794">
        <v>1</v>
      </c>
      <c r="K794">
        <v>1</v>
      </c>
      <c r="L794" t="str">
        <f t="shared" si="156"/>
        <v>C793</v>
      </c>
      <c r="M794" t="str">
        <f t="shared" si="157"/>
        <v>Female</v>
      </c>
      <c r="N794" t="str">
        <f t="shared" si="158"/>
        <v>Master's</v>
      </c>
      <c r="O794" t="str">
        <f t="shared" si="159"/>
        <v>Mid Level</v>
      </c>
      <c r="P794" t="str">
        <f t="shared" si="160"/>
        <v>Strong</v>
      </c>
      <c r="Q794" t="str">
        <f t="shared" si="161"/>
        <v>Beginner</v>
      </c>
      <c r="R794" t="str">
        <f t="shared" si="162"/>
        <v>Good</v>
      </c>
      <c r="S794" t="str">
        <f t="shared" si="163"/>
        <v>Hired</v>
      </c>
      <c r="T794">
        <f t="shared" si="164"/>
        <v>46</v>
      </c>
      <c r="U794" t="str">
        <f t="shared" si="165"/>
        <v>Needs Improvement</v>
      </c>
      <c r="V794" t="str">
        <f t="shared" si="166"/>
        <v>Interview</v>
      </c>
      <c r="W794" t="str">
        <f t="shared" si="167"/>
        <v>Technical Skills</v>
      </c>
      <c r="X794" t="str">
        <f t="shared" si="168"/>
        <v>Strengthen technical skills and practical knowledge</v>
      </c>
    </row>
    <row r="795" spans="1:24" x14ac:dyDescent="0.3">
      <c r="A795">
        <v>40</v>
      </c>
      <c r="B795">
        <v>0</v>
      </c>
      <c r="C795">
        <v>3</v>
      </c>
      <c r="D795">
        <v>15</v>
      </c>
      <c r="E795">
        <v>4</v>
      </c>
      <c r="F795">
        <v>9.8675680829871393</v>
      </c>
      <c r="G795">
        <v>51</v>
      </c>
      <c r="H795">
        <v>48</v>
      </c>
      <c r="I795">
        <v>71</v>
      </c>
      <c r="J795">
        <v>1</v>
      </c>
      <c r="K795">
        <v>1</v>
      </c>
      <c r="L795" t="str">
        <f t="shared" si="156"/>
        <v>C794</v>
      </c>
      <c r="M795" t="str">
        <f t="shared" si="157"/>
        <v>Male</v>
      </c>
      <c r="N795" t="str">
        <f t="shared" si="158"/>
        <v>Master's</v>
      </c>
      <c r="O795" t="str">
        <f t="shared" si="159"/>
        <v>Senior Level</v>
      </c>
      <c r="P795" t="str">
        <f t="shared" si="160"/>
        <v>Average</v>
      </c>
      <c r="Q795" t="str">
        <f t="shared" si="161"/>
        <v>Beginner</v>
      </c>
      <c r="R795" t="str">
        <f t="shared" si="162"/>
        <v>Good</v>
      </c>
      <c r="S795" t="str">
        <f t="shared" si="163"/>
        <v>Hired</v>
      </c>
      <c r="T795">
        <f t="shared" si="164"/>
        <v>63</v>
      </c>
      <c r="U795" t="str">
        <f t="shared" si="165"/>
        <v>Developing</v>
      </c>
      <c r="V795" t="str">
        <f t="shared" si="166"/>
        <v>Personality</v>
      </c>
      <c r="W795" t="str">
        <f t="shared" si="167"/>
        <v>Technical Skills</v>
      </c>
      <c r="X795" t="str">
        <f t="shared" si="168"/>
        <v>Strengthen technical skills and practical knowledge</v>
      </c>
    </row>
    <row r="796" spans="1:24" x14ac:dyDescent="0.3">
      <c r="A796">
        <v>24</v>
      </c>
      <c r="B796">
        <v>1</v>
      </c>
      <c r="C796">
        <v>2</v>
      </c>
      <c r="D796">
        <v>6</v>
      </c>
      <c r="E796">
        <v>1</v>
      </c>
      <c r="F796">
        <v>1.3521457312070899</v>
      </c>
      <c r="G796">
        <v>53</v>
      </c>
      <c r="H796">
        <v>95</v>
      </c>
      <c r="I796">
        <v>2</v>
      </c>
      <c r="J796">
        <v>2</v>
      </c>
      <c r="K796">
        <v>0</v>
      </c>
      <c r="L796" t="str">
        <f t="shared" si="156"/>
        <v>C795</v>
      </c>
      <c r="M796" t="str">
        <f t="shared" si="157"/>
        <v>Female</v>
      </c>
      <c r="N796" t="str">
        <f t="shared" si="158"/>
        <v>Bachelor's Type 2</v>
      </c>
      <c r="O796" t="str">
        <f t="shared" si="159"/>
        <v>Mid Level</v>
      </c>
      <c r="P796" t="str">
        <f t="shared" si="160"/>
        <v>Average</v>
      </c>
      <c r="Q796" t="str">
        <f t="shared" si="161"/>
        <v>Advanced</v>
      </c>
      <c r="R796" t="str">
        <f t="shared" si="162"/>
        <v>Needs Improvement</v>
      </c>
      <c r="S796" t="str">
        <f t="shared" si="163"/>
        <v>Not Hired</v>
      </c>
      <c r="T796">
        <f t="shared" si="164"/>
        <v>53</v>
      </c>
      <c r="U796" t="str">
        <f t="shared" si="165"/>
        <v>Developing</v>
      </c>
      <c r="V796" t="str">
        <f t="shared" si="166"/>
        <v>Technical Skills</v>
      </c>
      <c r="W796" t="str">
        <f t="shared" si="167"/>
        <v>Personality &amp; Communication</v>
      </c>
      <c r="X796" t="str">
        <f t="shared" si="168"/>
        <v>Work on communication and personality development</v>
      </c>
    </row>
    <row r="797" spans="1:24" x14ac:dyDescent="0.3">
      <c r="A797">
        <v>22</v>
      </c>
      <c r="B797">
        <v>1</v>
      </c>
      <c r="C797">
        <v>2</v>
      </c>
      <c r="D797">
        <v>14</v>
      </c>
      <c r="E797">
        <v>4</v>
      </c>
      <c r="F797">
        <v>41.274802301612198</v>
      </c>
      <c r="G797">
        <v>87</v>
      </c>
      <c r="H797">
        <v>72</v>
      </c>
      <c r="I797">
        <v>27</v>
      </c>
      <c r="J797">
        <v>1</v>
      </c>
      <c r="K797">
        <v>1</v>
      </c>
      <c r="L797" t="str">
        <f t="shared" si="156"/>
        <v>C796</v>
      </c>
      <c r="M797" t="str">
        <f t="shared" si="157"/>
        <v>Female</v>
      </c>
      <c r="N797" t="str">
        <f t="shared" si="158"/>
        <v>Bachelor's Type 2</v>
      </c>
      <c r="O797" t="str">
        <f t="shared" si="159"/>
        <v>Senior Level</v>
      </c>
      <c r="P797" t="str">
        <f t="shared" si="160"/>
        <v>Strong</v>
      </c>
      <c r="Q797" t="str">
        <f t="shared" si="161"/>
        <v>Intermediate</v>
      </c>
      <c r="R797" t="str">
        <f t="shared" si="162"/>
        <v>Needs Improvement</v>
      </c>
      <c r="S797" t="str">
        <f t="shared" si="163"/>
        <v>Hired</v>
      </c>
      <c r="T797">
        <f t="shared" si="164"/>
        <v>70</v>
      </c>
      <c r="U797" t="str">
        <f t="shared" si="165"/>
        <v>Developing</v>
      </c>
      <c r="V797" t="str">
        <f t="shared" si="166"/>
        <v>Interview</v>
      </c>
      <c r="W797" t="str">
        <f t="shared" si="167"/>
        <v>Personality &amp; Communication</v>
      </c>
      <c r="X797" t="str">
        <f t="shared" si="168"/>
        <v>Work on communication and personality development</v>
      </c>
    </row>
    <row r="798" spans="1:24" x14ac:dyDescent="0.3">
      <c r="A798">
        <v>31</v>
      </c>
      <c r="B798">
        <v>1</v>
      </c>
      <c r="C798">
        <v>2</v>
      </c>
      <c r="D798">
        <v>15</v>
      </c>
      <c r="E798">
        <v>1</v>
      </c>
      <c r="F798">
        <v>4.8397842143367003</v>
      </c>
      <c r="G798">
        <v>56</v>
      </c>
      <c r="H798">
        <v>28</v>
      </c>
      <c r="I798">
        <v>28</v>
      </c>
      <c r="J798">
        <v>2</v>
      </c>
      <c r="K798">
        <v>0</v>
      </c>
      <c r="L798" t="str">
        <f t="shared" si="156"/>
        <v>C797</v>
      </c>
      <c r="M798" t="str">
        <f t="shared" si="157"/>
        <v>Female</v>
      </c>
      <c r="N798" t="str">
        <f t="shared" si="158"/>
        <v>Bachelor's Type 2</v>
      </c>
      <c r="O798" t="str">
        <f t="shared" si="159"/>
        <v>Senior Level</v>
      </c>
      <c r="P798" t="str">
        <f t="shared" si="160"/>
        <v>Average</v>
      </c>
      <c r="Q798" t="str">
        <f t="shared" si="161"/>
        <v>Beginner</v>
      </c>
      <c r="R798" t="str">
        <f t="shared" si="162"/>
        <v>Needs Improvement</v>
      </c>
      <c r="S798" t="str">
        <f t="shared" si="163"/>
        <v>Not Hired</v>
      </c>
      <c r="T798">
        <f t="shared" si="164"/>
        <v>48</v>
      </c>
      <c r="U798" t="str">
        <f t="shared" si="165"/>
        <v>Needs Improvement</v>
      </c>
      <c r="V798" t="str">
        <f t="shared" si="166"/>
        <v>Interview</v>
      </c>
      <c r="W798" t="str">
        <f t="shared" si="167"/>
        <v>Technical Skills</v>
      </c>
      <c r="X798" t="str">
        <f t="shared" si="168"/>
        <v>Strengthen technical skills and practical knowledge</v>
      </c>
    </row>
    <row r="799" spans="1:24" x14ac:dyDescent="0.3">
      <c r="A799">
        <v>44</v>
      </c>
      <c r="B799">
        <v>1</v>
      </c>
      <c r="C799">
        <v>2</v>
      </c>
      <c r="D799">
        <v>10</v>
      </c>
      <c r="E799">
        <v>2</v>
      </c>
      <c r="F799">
        <v>21.6853015955015</v>
      </c>
      <c r="G799">
        <v>82</v>
      </c>
      <c r="H799">
        <v>25</v>
      </c>
      <c r="I799">
        <v>86</v>
      </c>
      <c r="J799">
        <v>2</v>
      </c>
      <c r="K799">
        <v>0</v>
      </c>
      <c r="L799" t="str">
        <f t="shared" si="156"/>
        <v>C798</v>
      </c>
      <c r="M799" t="str">
        <f t="shared" si="157"/>
        <v>Female</v>
      </c>
      <c r="N799" t="str">
        <f t="shared" si="158"/>
        <v>Bachelor's Type 2</v>
      </c>
      <c r="O799" t="str">
        <f t="shared" si="159"/>
        <v>Senior Level</v>
      </c>
      <c r="P799" t="str">
        <f t="shared" si="160"/>
        <v>Strong</v>
      </c>
      <c r="Q799" t="str">
        <f t="shared" si="161"/>
        <v>Beginner</v>
      </c>
      <c r="R799" t="str">
        <f t="shared" si="162"/>
        <v>Strong</v>
      </c>
      <c r="S799" t="str">
        <f t="shared" si="163"/>
        <v>Not Hired</v>
      </c>
      <c r="T799">
        <f t="shared" si="164"/>
        <v>62</v>
      </c>
      <c r="U799" t="str">
        <f t="shared" si="165"/>
        <v>Developing</v>
      </c>
      <c r="V799" t="str">
        <f t="shared" si="166"/>
        <v>Personality</v>
      </c>
      <c r="W799" t="str">
        <f t="shared" si="167"/>
        <v>Technical Skills</v>
      </c>
      <c r="X799" t="str">
        <f t="shared" si="168"/>
        <v>Strengthen technical skills and practical knowledge</v>
      </c>
    </row>
    <row r="800" spans="1:24" x14ac:dyDescent="0.3">
      <c r="A800">
        <v>39</v>
      </c>
      <c r="B800">
        <v>0</v>
      </c>
      <c r="C800">
        <v>3</v>
      </c>
      <c r="D800">
        <v>9</v>
      </c>
      <c r="E800">
        <v>3</v>
      </c>
      <c r="F800">
        <v>34.944366859439199</v>
      </c>
      <c r="G800">
        <v>65</v>
      </c>
      <c r="H800">
        <v>86</v>
      </c>
      <c r="I800">
        <v>17</v>
      </c>
      <c r="J800">
        <v>3</v>
      </c>
      <c r="K800">
        <v>0</v>
      </c>
      <c r="L800" t="str">
        <f t="shared" si="156"/>
        <v>C799</v>
      </c>
      <c r="M800" t="str">
        <f t="shared" si="157"/>
        <v>Male</v>
      </c>
      <c r="N800" t="str">
        <f t="shared" si="158"/>
        <v>Master's</v>
      </c>
      <c r="O800" t="str">
        <f t="shared" si="159"/>
        <v>Senior Level</v>
      </c>
      <c r="P800" t="str">
        <f t="shared" si="160"/>
        <v>Average</v>
      </c>
      <c r="Q800" t="str">
        <f t="shared" si="161"/>
        <v>Advanced</v>
      </c>
      <c r="R800" t="str">
        <f t="shared" si="162"/>
        <v>Needs Improvement</v>
      </c>
      <c r="S800" t="str">
        <f t="shared" si="163"/>
        <v>Not Hired</v>
      </c>
      <c r="T800">
        <f t="shared" si="164"/>
        <v>61</v>
      </c>
      <c r="U800" t="str">
        <f t="shared" si="165"/>
        <v>Developing</v>
      </c>
      <c r="V800" t="str">
        <f t="shared" si="166"/>
        <v>Technical Skills</v>
      </c>
      <c r="W800" t="str">
        <f t="shared" si="167"/>
        <v>Personality &amp; Communication</v>
      </c>
      <c r="X800" t="str">
        <f t="shared" si="168"/>
        <v>Work on communication and personality development</v>
      </c>
    </row>
    <row r="801" spans="1:24" x14ac:dyDescent="0.3">
      <c r="A801">
        <v>46</v>
      </c>
      <c r="B801">
        <v>0</v>
      </c>
      <c r="C801">
        <v>4</v>
      </c>
      <c r="D801">
        <v>2</v>
      </c>
      <c r="E801">
        <v>2</v>
      </c>
      <c r="F801">
        <v>12.839879272809</v>
      </c>
      <c r="G801">
        <v>21</v>
      </c>
      <c r="H801">
        <v>44</v>
      </c>
      <c r="I801">
        <v>34</v>
      </c>
      <c r="J801">
        <v>3</v>
      </c>
      <c r="K801">
        <v>0</v>
      </c>
      <c r="L801" t="str">
        <f t="shared" si="156"/>
        <v>C800</v>
      </c>
      <c r="M801" t="str">
        <f t="shared" si="157"/>
        <v>Male</v>
      </c>
      <c r="N801" t="str">
        <f t="shared" si="158"/>
        <v>PhD</v>
      </c>
      <c r="O801" t="str">
        <f t="shared" si="159"/>
        <v>Entry Level</v>
      </c>
      <c r="P801" t="str">
        <f t="shared" si="160"/>
        <v>Low</v>
      </c>
      <c r="Q801" t="str">
        <f t="shared" si="161"/>
        <v>Beginner</v>
      </c>
      <c r="R801" t="str">
        <f t="shared" si="162"/>
        <v>Needs Improvement</v>
      </c>
      <c r="S801" t="str">
        <f t="shared" si="163"/>
        <v>Not Hired</v>
      </c>
      <c r="T801">
        <f t="shared" si="164"/>
        <v>33</v>
      </c>
      <c r="U801" t="str">
        <f t="shared" si="165"/>
        <v>Needs Improvement</v>
      </c>
      <c r="V801" t="str">
        <f t="shared" si="166"/>
        <v>Technical Skills</v>
      </c>
      <c r="W801" t="str">
        <f t="shared" si="167"/>
        <v>Interview Preparation</v>
      </c>
      <c r="X801" t="str">
        <f t="shared" si="168"/>
        <v>Improve interview preparation and communication</v>
      </c>
    </row>
    <row r="802" spans="1:24" x14ac:dyDescent="0.3">
      <c r="A802">
        <v>40</v>
      </c>
      <c r="B802">
        <v>1</v>
      </c>
      <c r="C802">
        <v>3</v>
      </c>
      <c r="D802">
        <v>2</v>
      </c>
      <c r="E802">
        <v>5</v>
      </c>
      <c r="F802">
        <v>5.1981281723363297</v>
      </c>
      <c r="G802">
        <v>19</v>
      </c>
      <c r="H802">
        <v>92</v>
      </c>
      <c r="I802">
        <v>76</v>
      </c>
      <c r="J802">
        <v>1</v>
      </c>
      <c r="K802">
        <v>1</v>
      </c>
      <c r="L802" t="str">
        <f t="shared" si="156"/>
        <v>C801</v>
      </c>
      <c r="M802" t="str">
        <f t="shared" si="157"/>
        <v>Female</v>
      </c>
      <c r="N802" t="str">
        <f t="shared" si="158"/>
        <v>Master's</v>
      </c>
      <c r="O802" t="str">
        <f t="shared" si="159"/>
        <v>Entry Level</v>
      </c>
      <c r="P802" t="str">
        <f t="shared" si="160"/>
        <v>Low</v>
      </c>
      <c r="Q802" t="str">
        <f t="shared" si="161"/>
        <v>Advanced</v>
      </c>
      <c r="R802" t="str">
        <f t="shared" si="162"/>
        <v>Strong</v>
      </c>
      <c r="S802" t="str">
        <f t="shared" si="163"/>
        <v>Hired</v>
      </c>
      <c r="T802">
        <f t="shared" si="164"/>
        <v>54</v>
      </c>
      <c r="U802" t="str">
        <f t="shared" si="165"/>
        <v>Developing</v>
      </c>
      <c r="V802" t="str">
        <f t="shared" si="166"/>
        <v>Technical Skills</v>
      </c>
      <c r="W802" t="str">
        <f t="shared" si="167"/>
        <v>Interview Preparation</v>
      </c>
      <c r="X802" t="str">
        <f t="shared" si="168"/>
        <v>Improve interview preparation and communication</v>
      </c>
    </row>
    <row r="803" spans="1:24" x14ac:dyDescent="0.3">
      <c r="A803">
        <v>23</v>
      </c>
      <c r="B803">
        <v>1</v>
      </c>
      <c r="C803">
        <v>3</v>
      </c>
      <c r="D803">
        <v>15</v>
      </c>
      <c r="E803">
        <v>5</v>
      </c>
      <c r="F803">
        <v>39.501061422791402</v>
      </c>
      <c r="G803">
        <v>32</v>
      </c>
      <c r="H803">
        <v>96</v>
      </c>
      <c r="I803">
        <v>75</v>
      </c>
      <c r="J803">
        <v>3</v>
      </c>
      <c r="K803">
        <v>1</v>
      </c>
      <c r="L803" t="str">
        <f t="shared" si="156"/>
        <v>C802</v>
      </c>
      <c r="M803" t="str">
        <f t="shared" si="157"/>
        <v>Female</v>
      </c>
      <c r="N803" t="str">
        <f t="shared" si="158"/>
        <v>Master's</v>
      </c>
      <c r="O803" t="str">
        <f t="shared" si="159"/>
        <v>Senior Level</v>
      </c>
      <c r="P803" t="str">
        <f t="shared" si="160"/>
        <v>Low</v>
      </c>
      <c r="Q803" t="str">
        <f t="shared" si="161"/>
        <v>Advanced</v>
      </c>
      <c r="R803" t="str">
        <f t="shared" si="162"/>
        <v>Strong</v>
      </c>
      <c r="S803" t="str">
        <f t="shared" si="163"/>
        <v>Hired</v>
      </c>
      <c r="T803">
        <f t="shared" si="164"/>
        <v>72</v>
      </c>
      <c r="U803" t="str">
        <f t="shared" si="165"/>
        <v>Developing</v>
      </c>
      <c r="V803" t="str">
        <f t="shared" si="166"/>
        <v>Technical Skills</v>
      </c>
      <c r="W803" t="str">
        <f t="shared" si="167"/>
        <v>Interview Preparation</v>
      </c>
      <c r="X803" t="str">
        <f t="shared" si="168"/>
        <v>Improve interview preparation and communication</v>
      </c>
    </row>
    <row r="804" spans="1:24" x14ac:dyDescent="0.3">
      <c r="A804">
        <v>40</v>
      </c>
      <c r="B804">
        <v>0</v>
      </c>
      <c r="C804">
        <v>1</v>
      </c>
      <c r="D804">
        <v>4</v>
      </c>
      <c r="E804">
        <v>5</v>
      </c>
      <c r="F804">
        <v>32.508754244351998</v>
      </c>
      <c r="G804">
        <v>71</v>
      </c>
      <c r="H804">
        <v>70</v>
      </c>
      <c r="I804">
        <v>46</v>
      </c>
      <c r="J804">
        <v>2</v>
      </c>
      <c r="K804">
        <v>0</v>
      </c>
      <c r="L804" t="str">
        <f t="shared" si="156"/>
        <v>C803</v>
      </c>
      <c r="M804" t="str">
        <f t="shared" si="157"/>
        <v>Male</v>
      </c>
      <c r="N804" t="str">
        <f t="shared" si="158"/>
        <v>Bachelor's Type 1</v>
      </c>
      <c r="O804" t="str">
        <f t="shared" si="159"/>
        <v>Mid Level</v>
      </c>
      <c r="P804" t="str">
        <f t="shared" si="160"/>
        <v>Average</v>
      </c>
      <c r="Q804" t="str">
        <f t="shared" si="161"/>
        <v>Intermediate</v>
      </c>
      <c r="R804" t="str">
        <f t="shared" si="162"/>
        <v>Needs Improvement</v>
      </c>
      <c r="S804" t="str">
        <f t="shared" si="163"/>
        <v>Not Hired</v>
      </c>
      <c r="T804">
        <f t="shared" si="164"/>
        <v>58</v>
      </c>
      <c r="U804" t="str">
        <f t="shared" si="165"/>
        <v>Developing</v>
      </c>
      <c r="V804" t="str">
        <f t="shared" si="166"/>
        <v>Interview</v>
      </c>
      <c r="W804" t="str">
        <f t="shared" si="167"/>
        <v>Personality &amp; Communication</v>
      </c>
      <c r="X804" t="str">
        <f t="shared" si="168"/>
        <v>Work on communication and personality development</v>
      </c>
    </row>
    <row r="805" spans="1:24" x14ac:dyDescent="0.3">
      <c r="A805">
        <v>42</v>
      </c>
      <c r="B805">
        <v>1</v>
      </c>
      <c r="C805">
        <v>3</v>
      </c>
      <c r="D805">
        <v>4</v>
      </c>
      <c r="E805">
        <v>1</v>
      </c>
      <c r="F805">
        <v>50.424524224340203</v>
      </c>
      <c r="G805">
        <v>24</v>
      </c>
      <c r="H805">
        <v>11</v>
      </c>
      <c r="I805">
        <v>4</v>
      </c>
      <c r="J805">
        <v>2</v>
      </c>
      <c r="K805">
        <v>0</v>
      </c>
      <c r="L805" t="str">
        <f t="shared" si="156"/>
        <v>C804</v>
      </c>
      <c r="M805" t="str">
        <f t="shared" si="157"/>
        <v>Female</v>
      </c>
      <c r="N805" t="str">
        <f t="shared" si="158"/>
        <v>Master's</v>
      </c>
      <c r="O805" t="str">
        <f t="shared" si="159"/>
        <v>Mid Level</v>
      </c>
      <c r="P805" t="str">
        <f t="shared" si="160"/>
        <v>Low</v>
      </c>
      <c r="Q805" t="str">
        <f t="shared" si="161"/>
        <v>Beginner</v>
      </c>
      <c r="R805" t="str">
        <f t="shared" si="162"/>
        <v>Needs Improvement</v>
      </c>
      <c r="S805" t="str">
        <f t="shared" si="163"/>
        <v>Not Hired</v>
      </c>
      <c r="T805">
        <f t="shared" si="164"/>
        <v>19</v>
      </c>
      <c r="U805" t="str">
        <f t="shared" si="165"/>
        <v>Needs Improvement</v>
      </c>
      <c r="V805" t="str">
        <f t="shared" si="166"/>
        <v>Interview</v>
      </c>
      <c r="W805" t="str">
        <f t="shared" si="167"/>
        <v>Personality &amp; Communication</v>
      </c>
      <c r="X805" t="str">
        <f t="shared" si="168"/>
        <v>Work on communication and personality development</v>
      </c>
    </row>
    <row r="806" spans="1:24" x14ac:dyDescent="0.3">
      <c r="A806">
        <v>35</v>
      </c>
      <c r="B806">
        <v>0</v>
      </c>
      <c r="C806">
        <v>3</v>
      </c>
      <c r="D806">
        <v>12</v>
      </c>
      <c r="E806">
        <v>4</v>
      </c>
      <c r="F806">
        <v>18.215401665997899</v>
      </c>
      <c r="G806">
        <v>45</v>
      </c>
      <c r="H806">
        <v>94</v>
      </c>
      <c r="I806">
        <v>74</v>
      </c>
      <c r="J806">
        <v>1</v>
      </c>
      <c r="K806">
        <v>1</v>
      </c>
      <c r="L806" t="str">
        <f t="shared" si="156"/>
        <v>C805</v>
      </c>
      <c r="M806" t="str">
        <f t="shared" si="157"/>
        <v>Male</v>
      </c>
      <c r="N806" t="str">
        <f t="shared" si="158"/>
        <v>Master's</v>
      </c>
      <c r="O806" t="str">
        <f t="shared" si="159"/>
        <v>Senior Level</v>
      </c>
      <c r="P806" t="str">
        <f t="shared" si="160"/>
        <v>Low</v>
      </c>
      <c r="Q806" t="str">
        <f t="shared" si="161"/>
        <v>Advanced</v>
      </c>
      <c r="R806" t="str">
        <f t="shared" si="162"/>
        <v>Good</v>
      </c>
      <c r="S806" t="str">
        <f t="shared" si="163"/>
        <v>Hired</v>
      </c>
      <c r="T806">
        <f t="shared" si="164"/>
        <v>72</v>
      </c>
      <c r="U806" t="str">
        <f t="shared" si="165"/>
        <v>Developing</v>
      </c>
      <c r="V806" t="str">
        <f t="shared" si="166"/>
        <v>Technical Skills</v>
      </c>
      <c r="W806" t="str">
        <f t="shared" si="167"/>
        <v>Interview Preparation</v>
      </c>
      <c r="X806" t="str">
        <f t="shared" si="168"/>
        <v>Improve interview preparation and communication</v>
      </c>
    </row>
    <row r="807" spans="1:24" x14ac:dyDescent="0.3">
      <c r="A807">
        <v>44</v>
      </c>
      <c r="B807">
        <v>1</v>
      </c>
      <c r="C807">
        <v>1</v>
      </c>
      <c r="D807">
        <v>9</v>
      </c>
      <c r="E807">
        <v>2</v>
      </c>
      <c r="F807">
        <v>4.0881193145099797</v>
      </c>
      <c r="G807">
        <v>72</v>
      </c>
      <c r="H807">
        <v>31</v>
      </c>
      <c r="I807">
        <v>58</v>
      </c>
      <c r="J807">
        <v>3</v>
      </c>
      <c r="K807">
        <v>0</v>
      </c>
      <c r="L807" t="str">
        <f t="shared" si="156"/>
        <v>C806</v>
      </c>
      <c r="M807" t="str">
        <f t="shared" si="157"/>
        <v>Female</v>
      </c>
      <c r="N807" t="str">
        <f t="shared" si="158"/>
        <v>Bachelor's Type 1</v>
      </c>
      <c r="O807" t="str">
        <f t="shared" si="159"/>
        <v>Senior Level</v>
      </c>
      <c r="P807" t="str">
        <f t="shared" si="160"/>
        <v>Average</v>
      </c>
      <c r="Q807" t="str">
        <f t="shared" si="161"/>
        <v>Beginner</v>
      </c>
      <c r="R807" t="str">
        <f t="shared" si="162"/>
        <v>Good</v>
      </c>
      <c r="S807" t="str">
        <f t="shared" si="163"/>
        <v>Not Hired</v>
      </c>
      <c r="T807">
        <f t="shared" si="164"/>
        <v>54</v>
      </c>
      <c r="U807" t="str">
        <f t="shared" si="165"/>
        <v>Developing</v>
      </c>
      <c r="V807" t="str">
        <f t="shared" si="166"/>
        <v>Interview</v>
      </c>
      <c r="W807" t="str">
        <f t="shared" si="167"/>
        <v>Technical Skills</v>
      </c>
      <c r="X807" t="str">
        <f t="shared" si="168"/>
        <v>Strengthen technical skills and practical knowledge</v>
      </c>
    </row>
    <row r="808" spans="1:24" x14ac:dyDescent="0.3">
      <c r="A808">
        <v>26</v>
      </c>
      <c r="B808">
        <v>0</v>
      </c>
      <c r="C808">
        <v>3</v>
      </c>
      <c r="D808">
        <v>2</v>
      </c>
      <c r="E808">
        <v>2</v>
      </c>
      <c r="F808">
        <v>37.717501766764698</v>
      </c>
      <c r="G808">
        <v>97</v>
      </c>
      <c r="H808">
        <v>19</v>
      </c>
      <c r="I808">
        <v>74</v>
      </c>
      <c r="J808">
        <v>1</v>
      </c>
      <c r="K808">
        <v>1</v>
      </c>
      <c r="L808" t="str">
        <f t="shared" si="156"/>
        <v>C807</v>
      </c>
      <c r="M808" t="str">
        <f t="shared" si="157"/>
        <v>Male</v>
      </c>
      <c r="N808" t="str">
        <f t="shared" si="158"/>
        <v>Master's</v>
      </c>
      <c r="O808" t="str">
        <f t="shared" si="159"/>
        <v>Entry Level</v>
      </c>
      <c r="P808" t="str">
        <f t="shared" si="160"/>
        <v>Strong</v>
      </c>
      <c r="Q808" t="str">
        <f t="shared" si="161"/>
        <v>Beginner</v>
      </c>
      <c r="R808" t="str">
        <f t="shared" si="162"/>
        <v>Good</v>
      </c>
      <c r="S808" t="str">
        <f t="shared" si="163"/>
        <v>Hired</v>
      </c>
      <c r="T808">
        <f t="shared" si="164"/>
        <v>55</v>
      </c>
      <c r="U808" t="str">
        <f t="shared" si="165"/>
        <v>Developing</v>
      </c>
      <c r="V808" t="str">
        <f t="shared" si="166"/>
        <v>Interview</v>
      </c>
      <c r="W808" t="str">
        <f t="shared" si="167"/>
        <v>Technical Skills</v>
      </c>
      <c r="X808" t="str">
        <f t="shared" si="168"/>
        <v>Strengthen technical skills and practical knowledge</v>
      </c>
    </row>
    <row r="809" spans="1:24" x14ac:dyDescent="0.3">
      <c r="A809">
        <v>32</v>
      </c>
      <c r="B809">
        <v>1</v>
      </c>
      <c r="C809">
        <v>2</v>
      </c>
      <c r="D809">
        <v>8</v>
      </c>
      <c r="E809">
        <v>2</v>
      </c>
      <c r="F809">
        <v>27.086670942662199</v>
      </c>
      <c r="G809">
        <v>56</v>
      </c>
      <c r="H809">
        <v>50</v>
      </c>
      <c r="I809">
        <v>58</v>
      </c>
      <c r="J809">
        <v>3</v>
      </c>
      <c r="K809">
        <v>0</v>
      </c>
      <c r="L809" t="str">
        <f t="shared" si="156"/>
        <v>C808</v>
      </c>
      <c r="M809" t="str">
        <f t="shared" si="157"/>
        <v>Female</v>
      </c>
      <c r="N809" t="str">
        <f t="shared" si="158"/>
        <v>Bachelor's Type 2</v>
      </c>
      <c r="O809" t="str">
        <f t="shared" si="159"/>
        <v>Senior Level</v>
      </c>
      <c r="P809" t="str">
        <f t="shared" si="160"/>
        <v>Average</v>
      </c>
      <c r="Q809" t="str">
        <f t="shared" si="161"/>
        <v>Intermediate</v>
      </c>
      <c r="R809" t="str">
        <f t="shared" si="162"/>
        <v>Good</v>
      </c>
      <c r="S809" t="str">
        <f t="shared" si="163"/>
        <v>Not Hired</v>
      </c>
      <c r="T809">
        <f t="shared" si="164"/>
        <v>54</v>
      </c>
      <c r="U809" t="str">
        <f t="shared" si="165"/>
        <v>Developing</v>
      </c>
      <c r="V809" t="str">
        <f t="shared" si="166"/>
        <v>Personality</v>
      </c>
      <c r="W809" t="str">
        <f t="shared" si="167"/>
        <v>Technical Skills</v>
      </c>
      <c r="X809" t="str">
        <f t="shared" si="168"/>
        <v>Strengthen technical skills and practical knowledge</v>
      </c>
    </row>
    <row r="810" spans="1:24" x14ac:dyDescent="0.3">
      <c r="A810">
        <v>40</v>
      </c>
      <c r="B810">
        <v>1</v>
      </c>
      <c r="C810">
        <v>2</v>
      </c>
      <c r="D810">
        <v>3</v>
      </c>
      <c r="E810">
        <v>2</v>
      </c>
      <c r="F810">
        <v>11.6601965694567</v>
      </c>
      <c r="G810">
        <v>86</v>
      </c>
      <c r="H810">
        <v>80</v>
      </c>
      <c r="I810">
        <v>46</v>
      </c>
      <c r="J810">
        <v>1</v>
      </c>
      <c r="K810">
        <v>1</v>
      </c>
      <c r="L810" t="str">
        <f t="shared" si="156"/>
        <v>C809</v>
      </c>
      <c r="M810" t="str">
        <f t="shared" si="157"/>
        <v>Female</v>
      </c>
      <c r="N810" t="str">
        <f t="shared" si="158"/>
        <v>Bachelor's Type 2</v>
      </c>
      <c r="O810" t="str">
        <f t="shared" si="159"/>
        <v>Mid Level</v>
      </c>
      <c r="P810" t="str">
        <f t="shared" si="160"/>
        <v>Strong</v>
      </c>
      <c r="Q810" t="str">
        <f t="shared" si="161"/>
        <v>Advanced</v>
      </c>
      <c r="R810" t="str">
        <f t="shared" si="162"/>
        <v>Needs Improvement</v>
      </c>
      <c r="S810" t="str">
        <f t="shared" si="163"/>
        <v>Hired</v>
      </c>
      <c r="T810">
        <f t="shared" si="164"/>
        <v>65</v>
      </c>
      <c r="U810" t="str">
        <f t="shared" si="165"/>
        <v>Developing</v>
      </c>
      <c r="V810" t="str">
        <f t="shared" si="166"/>
        <v>Interview</v>
      </c>
      <c r="W810" t="str">
        <f t="shared" si="167"/>
        <v>Personality &amp; Communication</v>
      </c>
      <c r="X810" t="str">
        <f t="shared" si="168"/>
        <v>Work on communication and personality development</v>
      </c>
    </row>
    <row r="811" spans="1:24" x14ac:dyDescent="0.3">
      <c r="A811">
        <v>29</v>
      </c>
      <c r="B811">
        <v>0</v>
      </c>
      <c r="C811">
        <v>3</v>
      </c>
      <c r="D811">
        <v>12</v>
      </c>
      <c r="E811">
        <v>5</v>
      </c>
      <c r="F811">
        <v>40.0864494502379</v>
      </c>
      <c r="G811">
        <v>4</v>
      </c>
      <c r="H811">
        <v>35</v>
      </c>
      <c r="I811">
        <v>94</v>
      </c>
      <c r="J811">
        <v>2</v>
      </c>
      <c r="K811">
        <v>0</v>
      </c>
      <c r="L811" t="str">
        <f t="shared" si="156"/>
        <v>C810</v>
      </c>
      <c r="M811" t="str">
        <f t="shared" si="157"/>
        <v>Male</v>
      </c>
      <c r="N811" t="str">
        <f t="shared" si="158"/>
        <v>Master's</v>
      </c>
      <c r="O811" t="str">
        <f t="shared" si="159"/>
        <v>Senior Level</v>
      </c>
      <c r="P811" t="str">
        <f t="shared" si="160"/>
        <v>Low</v>
      </c>
      <c r="Q811" t="str">
        <f t="shared" si="161"/>
        <v>Beginner</v>
      </c>
      <c r="R811" t="str">
        <f t="shared" si="162"/>
        <v>Strong</v>
      </c>
      <c r="S811" t="str">
        <f t="shared" si="163"/>
        <v>Not Hired</v>
      </c>
      <c r="T811">
        <f t="shared" si="164"/>
        <v>46</v>
      </c>
      <c r="U811" t="str">
        <f t="shared" si="165"/>
        <v>Needs Improvement</v>
      </c>
      <c r="V811" t="str">
        <f t="shared" si="166"/>
        <v>Personality</v>
      </c>
      <c r="W811" t="str">
        <f t="shared" si="167"/>
        <v>Interview Preparation</v>
      </c>
      <c r="X811" t="str">
        <f t="shared" si="168"/>
        <v>Improve interview preparation and communication</v>
      </c>
    </row>
    <row r="812" spans="1:24" x14ac:dyDescent="0.3">
      <c r="A812">
        <v>45</v>
      </c>
      <c r="B812">
        <v>1</v>
      </c>
      <c r="C812">
        <v>2</v>
      </c>
      <c r="D812">
        <v>12</v>
      </c>
      <c r="E812">
        <v>2</v>
      </c>
      <c r="F812">
        <v>11.1877742924971</v>
      </c>
      <c r="G812">
        <v>54</v>
      </c>
      <c r="H812">
        <v>66</v>
      </c>
      <c r="I812">
        <v>94</v>
      </c>
      <c r="J812">
        <v>2</v>
      </c>
      <c r="K812">
        <v>0</v>
      </c>
      <c r="L812" t="str">
        <f t="shared" si="156"/>
        <v>C811</v>
      </c>
      <c r="M812" t="str">
        <f t="shared" si="157"/>
        <v>Female</v>
      </c>
      <c r="N812" t="str">
        <f t="shared" si="158"/>
        <v>Bachelor's Type 2</v>
      </c>
      <c r="O812" t="str">
        <f t="shared" si="159"/>
        <v>Senior Level</v>
      </c>
      <c r="P812" t="str">
        <f t="shared" si="160"/>
        <v>Average</v>
      </c>
      <c r="Q812" t="str">
        <f t="shared" si="161"/>
        <v>Intermediate</v>
      </c>
      <c r="R812" t="str">
        <f t="shared" si="162"/>
        <v>Strong</v>
      </c>
      <c r="S812" t="str">
        <f t="shared" si="163"/>
        <v>Not Hired</v>
      </c>
      <c r="T812">
        <f t="shared" si="164"/>
        <v>69</v>
      </c>
      <c r="U812" t="str">
        <f t="shared" si="165"/>
        <v>Developing</v>
      </c>
      <c r="V812" t="str">
        <f t="shared" si="166"/>
        <v>Personality</v>
      </c>
      <c r="W812" t="str">
        <f t="shared" si="167"/>
        <v>Interview Preparation</v>
      </c>
      <c r="X812" t="str">
        <f t="shared" si="168"/>
        <v>Improve interview preparation and communication</v>
      </c>
    </row>
    <row r="813" spans="1:24" x14ac:dyDescent="0.3">
      <c r="A813">
        <v>26</v>
      </c>
      <c r="B813">
        <v>1</v>
      </c>
      <c r="C813">
        <v>1</v>
      </c>
      <c r="D813">
        <v>14</v>
      </c>
      <c r="E813">
        <v>4</v>
      </c>
      <c r="F813">
        <v>14.033082741646799</v>
      </c>
      <c r="G813">
        <v>60</v>
      </c>
      <c r="H813">
        <v>0</v>
      </c>
      <c r="I813">
        <v>12</v>
      </c>
      <c r="J813">
        <v>1</v>
      </c>
      <c r="K813">
        <v>0</v>
      </c>
      <c r="L813" t="str">
        <f t="shared" si="156"/>
        <v>C812</v>
      </c>
      <c r="M813" t="str">
        <f t="shared" si="157"/>
        <v>Female</v>
      </c>
      <c r="N813" t="str">
        <f t="shared" si="158"/>
        <v>Bachelor's Type 1</v>
      </c>
      <c r="O813" t="str">
        <f t="shared" si="159"/>
        <v>Senior Level</v>
      </c>
      <c r="P813" t="str">
        <f t="shared" si="160"/>
        <v>Average</v>
      </c>
      <c r="Q813" t="str">
        <f t="shared" si="161"/>
        <v>Beginner</v>
      </c>
      <c r="R813" t="str">
        <f t="shared" si="162"/>
        <v>Needs Improvement</v>
      </c>
      <c r="S813" t="str">
        <f t="shared" si="163"/>
        <v>Not Hired</v>
      </c>
      <c r="T813">
        <f t="shared" si="164"/>
        <v>37</v>
      </c>
      <c r="U813" t="str">
        <f t="shared" si="165"/>
        <v>Needs Improvement</v>
      </c>
      <c r="V813" t="str">
        <f t="shared" si="166"/>
        <v>Interview</v>
      </c>
      <c r="W813" t="str">
        <f t="shared" si="167"/>
        <v>Technical Skills</v>
      </c>
      <c r="X813" t="str">
        <f t="shared" si="168"/>
        <v>Strengthen technical skills and practical knowledge</v>
      </c>
    </row>
    <row r="814" spans="1:24" x14ac:dyDescent="0.3">
      <c r="A814">
        <v>33</v>
      </c>
      <c r="B814">
        <v>0</v>
      </c>
      <c r="C814">
        <v>2</v>
      </c>
      <c r="D814">
        <v>2</v>
      </c>
      <c r="E814">
        <v>5</v>
      </c>
      <c r="F814">
        <v>5.6264277183359503</v>
      </c>
      <c r="G814">
        <v>88</v>
      </c>
      <c r="H814">
        <v>26</v>
      </c>
      <c r="I814">
        <v>77</v>
      </c>
      <c r="J814">
        <v>1</v>
      </c>
      <c r="K814">
        <v>1</v>
      </c>
      <c r="L814" t="str">
        <f t="shared" si="156"/>
        <v>C813</v>
      </c>
      <c r="M814" t="str">
        <f t="shared" si="157"/>
        <v>Male</v>
      </c>
      <c r="N814" t="str">
        <f t="shared" si="158"/>
        <v>Bachelor's Type 2</v>
      </c>
      <c r="O814" t="str">
        <f t="shared" si="159"/>
        <v>Entry Level</v>
      </c>
      <c r="P814" t="str">
        <f t="shared" si="160"/>
        <v>Strong</v>
      </c>
      <c r="Q814" t="str">
        <f t="shared" si="161"/>
        <v>Beginner</v>
      </c>
      <c r="R814" t="str">
        <f t="shared" si="162"/>
        <v>Strong</v>
      </c>
      <c r="S814" t="str">
        <f t="shared" si="163"/>
        <v>Hired</v>
      </c>
      <c r="T814">
        <f t="shared" si="164"/>
        <v>54</v>
      </c>
      <c r="U814" t="str">
        <f t="shared" si="165"/>
        <v>Developing</v>
      </c>
      <c r="V814" t="str">
        <f t="shared" si="166"/>
        <v>Interview</v>
      </c>
      <c r="W814" t="str">
        <f t="shared" si="167"/>
        <v>Technical Skills</v>
      </c>
      <c r="X814" t="str">
        <f t="shared" si="168"/>
        <v>Strengthen technical skills and practical knowledge</v>
      </c>
    </row>
    <row r="815" spans="1:24" x14ac:dyDescent="0.3">
      <c r="A815">
        <v>50</v>
      </c>
      <c r="B815">
        <v>1</v>
      </c>
      <c r="C815">
        <v>2</v>
      </c>
      <c r="D815">
        <v>10</v>
      </c>
      <c r="E815">
        <v>2</v>
      </c>
      <c r="F815">
        <v>20.9716139515427</v>
      </c>
      <c r="G815">
        <v>7</v>
      </c>
      <c r="H815">
        <v>39</v>
      </c>
      <c r="I815">
        <v>88</v>
      </c>
      <c r="J815">
        <v>2</v>
      </c>
      <c r="K815">
        <v>0</v>
      </c>
      <c r="L815" t="str">
        <f t="shared" si="156"/>
        <v>C814</v>
      </c>
      <c r="M815" t="str">
        <f t="shared" si="157"/>
        <v>Female</v>
      </c>
      <c r="N815" t="str">
        <f t="shared" si="158"/>
        <v>Bachelor's Type 2</v>
      </c>
      <c r="O815" t="str">
        <f t="shared" si="159"/>
        <v>Senior Level</v>
      </c>
      <c r="P815" t="str">
        <f t="shared" si="160"/>
        <v>Low</v>
      </c>
      <c r="Q815" t="str">
        <f t="shared" si="161"/>
        <v>Beginner</v>
      </c>
      <c r="R815" t="str">
        <f t="shared" si="162"/>
        <v>Strong</v>
      </c>
      <c r="S815" t="str">
        <f t="shared" si="163"/>
        <v>Not Hired</v>
      </c>
      <c r="T815">
        <f t="shared" si="164"/>
        <v>44</v>
      </c>
      <c r="U815" t="str">
        <f t="shared" si="165"/>
        <v>Needs Improvement</v>
      </c>
      <c r="V815" t="str">
        <f t="shared" si="166"/>
        <v>Personality</v>
      </c>
      <c r="W815" t="str">
        <f t="shared" si="167"/>
        <v>Interview Preparation</v>
      </c>
      <c r="X815" t="str">
        <f t="shared" si="168"/>
        <v>Improve interview preparation and communication</v>
      </c>
    </row>
    <row r="816" spans="1:24" x14ac:dyDescent="0.3">
      <c r="A816">
        <v>45</v>
      </c>
      <c r="B816">
        <v>0</v>
      </c>
      <c r="C816">
        <v>4</v>
      </c>
      <c r="D816">
        <v>1</v>
      </c>
      <c r="E816">
        <v>1</v>
      </c>
      <c r="F816">
        <v>21.946461196870899</v>
      </c>
      <c r="G816">
        <v>15</v>
      </c>
      <c r="H816">
        <v>96</v>
      </c>
      <c r="I816">
        <v>32</v>
      </c>
      <c r="J816">
        <v>1</v>
      </c>
      <c r="K816">
        <v>1</v>
      </c>
      <c r="L816" t="str">
        <f t="shared" si="156"/>
        <v>C815</v>
      </c>
      <c r="M816" t="str">
        <f t="shared" si="157"/>
        <v>Male</v>
      </c>
      <c r="N816" t="str">
        <f t="shared" si="158"/>
        <v>PhD</v>
      </c>
      <c r="O816" t="str">
        <f t="shared" si="159"/>
        <v>Entry Level</v>
      </c>
      <c r="P816" t="str">
        <f t="shared" si="160"/>
        <v>Low</v>
      </c>
      <c r="Q816" t="str">
        <f t="shared" si="161"/>
        <v>Advanced</v>
      </c>
      <c r="R816" t="str">
        <f t="shared" si="162"/>
        <v>Needs Improvement</v>
      </c>
      <c r="S816" t="str">
        <f t="shared" si="163"/>
        <v>Hired</v>
      </c>
      <c r="T816">
        <f t="shared" si="164"/>
        <v>46</v>
      </c>
      <c r="U816" t="str">
        <f t="shared" si="165"/>
        <v>Needs Improvement</v>
      </c>
      <c r="V816" t="str">
        <f t="shared" si="166"/>
        <v>Technical Skills</v>
      </c>
      <c r="W816" t="str">
        <f t="shared" si="167"/>
        <v>Interview Preparation</v>
      </c>
      <c r="X816" t="str">
        <f t="shared" si="168"/>
        <v>Improve interview preparation and communication</v>
      </c>
    </row>
    <row r="817" spans="1:24" x14ac:dyDescent="0.3">
      <c r="A817">
        <v>24</v>
      </c>
      <c r="B817">
        <v>0</v>
      </c>
      <c r="C817">
        <v>2</v>
      </c>
      <c r="D817">
        <v>9</v>
      </c>
      <c r="E817">
        <v>3</v>
      </c>
      <c r="F817">
        <v>26.728089517414901</v>
      </c>
      <c r="G817">
        <v>47</v>
      </c>
      <c r="H817">
        <v>83</v>
      </c>
      <c r="I817">
        <v>96</v>
      </c>
      <c r="J817">
        <v>2</v>
      </c>
      <c r="K817">
        <v>0</v>
      </c>
      <c r="L817" t="str">
        <f t="shared" si="156"/>
        <v>C816</v>
      </c>
      <c r="M817" t="str">
        <f t="shared" si="157"/>
        <v>Male</v>
      </c>
      <c r="N817" t="str">
        <f t="shared" si="158"/>
        <v>Bachelor's Type 2</v>
      </c>
      <c r="O817" t="str">
        <f t="shared" si="159"/>
        <v>Senior Level</v>
      </c>
      <c r="P817" t="str">
        <f t="shared" si="160"/>
        <v>Low</v>
      </c>
      <c r="Q817" t="str">
        <f t="shared" si="161"/>
        <v>Advanced</v>
      </c>
      <c r="R817" t="str">
        <f t="shared" si="162"/>
        <v>Strong</v>
      </c>
      <c r="S817" t="str">
        <f t="shared" si="163"/>
        <v>Not Hired</v>
      </c>
      <c r="T817">
        <f t="shared" si="164"/>
        <v>70</v>
      </c>
      <c r="U817" t="str">
        <f t="shared" si="165"/>
        <v>Developing</v>
      </c>
      <c r="V817" t="str">
        <f t="shared" si="166"/>
        <v>Personality</v>
      </c>
      <c r="W817" t="str">
        <f t="shared" si="167"/>
        <v>Interview Preparation</v>
      </c>
      <c r="X817" t="str">
        <f t="shared" si="168"/>
        <v>Improve interview preparation and communication</v>
      </c>
    </row>
    <row r="818" spans="1:24" x14ac:dyDescent="0.3">
      <c r="A818">
        <v>22</v>
      </c>
      <c r="B818">
        <v>1</v>
      </c>
      <c r="C818">
        <v>2</v>
      </c>
      <c r="D818">
        <v>12</v>
      </c>
      <c r="E818">
        <v>3</v>
      </c>
      <c r="F818">
        <v>36.448213356188802</v>
      </c>
      <c r="G818">
        <v>60</v>
      </c>
      <c r="H818">
        <v>13</v>
      </c>
      <c r="I818">
        <v>61</v>
      </c>
      <c r="J818">
        <v>2</v>
      </c>
      <c r="K818">
        <v>0</v>
      </c>
      <c r="L818" t="str">
        <f t="shared" si="156"/>
        <v>C817</v>
      </c>
      <c r="M818" t="str">
        <f t="shared" si="157"/>
        <v>Female</v>
      </c>
      <c r="N818" t="str">
        <f t="shared" si="158"/>
        <v>Bachelor's Type 2</v>
      </c>
      <c r="O818" t="str">
        <f t="shared" si="159"/>
        <v>Senior Level</v>
      </c>
      <c r="P818" t="str">
        <f t="shared" si="160"/>
        <v>Average</v>
      </c>
      <c r="Q818" t="str">
        <f t="shared" si="161"/>
        <v>Beginner</v>
      </c>
      <c r="R818" t="str">
        <f t="shared" si="162"/>
        <v>Good</v>
      </c>
      <c r="S818" t="str">
        <f t="shared" si="163"/>
        <v>Not Hired</v>
      </c>
      <c r="T818">
        <f t="shared" si="164"/>
        <v>49</v>
      </c>
      <c r="U818" t="str">
        <f t="shared" si="165"/>
        <v>Needs Improvement</v>
      </c>
      <c r="V818" t="str">
        <f t="shared" si="166"/>
        <v>Personality</v>
      </c>
      <c r="W818" t="str">
        <f t="shared" si="167"/>
        <v>Technical Skills</v>
      </c>
      <c r="X818" t="str">
        <f t="shared" si="168"/>
        <v>Strengthen technical skills and practical knowledge</v>
      </c>
    </row>
    <row r="819" spans="1:24" x14ac:dyDescent="0.3">
      <c r="A819">
        <v>42</v>
      </c>
      <c r="B819">
        <v>1</v>
      </c>
      <c r="C819">
        <v>3</v>
      </c>
      <c r="D819">
        <v>10</v>
      </c>
      <c r="E819">
        <v>3</v>
      </c>
      <c r="F819">
        <v>46.3050464340212</v>
      </c>
      <c r="G819">
        <v>14</v>
      </c>
      <c r="H819">
        <v>99</v>
      </c>
      <c r="I819">
        <v>78</v>
      </c>
      <c r="J819">
        <v>3</v>
      </c>
      <c r="K819">
        <v>1</v>
      </c>
      <c r="L819" t="str">
        <f t="shared" si="156"/>
        <v>C818</v>
      </c>
      <c r="M819" t="str">
        <f t="shared" si="157"/>
        <v>Female</v>
      </c>
      <c r="N819" t="str">
        <f t="shared" si="158"/>
        <v>Master's</v>
      </c>
      <c r="O819" t="str">
        <f t="shared" si="159"/>
        <v>Senior Level</v>
      </c>
      <c r="P819" t="str">
        <f t="shared" si="160"/>
        <v>Low</v>
      </c>
      <c r="Q819" t="str">
        <f t="shared" si="161"/>
        <v>Advanced</v>
      </c>
      <c r="R819" t="str">
        <f t="shared" si="162"/>
        <v>Strong</v>
      </c>
      <c r="S819" t="str">
        <f t="shared" si="163"/>
        <v>Hired</v>
      </c>
      <c r="T819">
        <f t="shared" si="164"/>
        <v>63</v>
      </c>
      <c r="U819" t="str">
        <f t="shared" si="165"/>
        <v>Developing</v>
      </c>
      <c r="V819" t="str">
        <f t="shared" si="166"/>
        <v>Technical Skills</v>
      </c>
      <c r="W819" t="str">
        <f t="shared" si="167"/>
        <v>Interview Preparation</v>
      </c>
      <c r="X819" t="str">
        <f t="shared" si="168"/>
        <v>Improve interview preparation and communication</v>
      </c>
    </row>
    <row r="820" spans="1:24" x14ac:dyDescent="0.3">
      <c r="A820">
        <v>48</v>
      </c>
      <c r="B820">
        <v>1</v>
      </c>
      <c r="C820">
        <v>2</v>
      </c>
      <c r="D820">
        <v>8</v>
      </c>
      <c r="E820">
        <v>5</v>
      </c>
      <c r="F820">
        <v>7.8867049443904298</v>
      </c>
      <c r="G820">
        <v>64</v>
      </c>
      <c r="H820">
        <v>68</v>
      </c>
      <c r="I820">
        <v>15</v>
      </c>
      <c r="J820">
        <v>2</v>
      </c>
      <c r="K820">
        <v>0</v>
      </c>
      <c r="L820" t="str">
        <f t="shared" si="156"/>
        <v>C819</v>
      </c>
      <c r="M820" t="str">
        <f t="shared" si="157"/>
        <v>Female</v>
      </c>
      <c r="N820" t="str">
        <f t="shared" si="158"/>
        <v>Bachelor's Type 2</v>
      </c>
      <c r="O820" t="str">
        <f t="shared" si="159"/>
        <v>Senior Level</v>
      </c>
      <c r="P820" t="str">
        <f t="shared" si="160"/>
        <v>Average</v>
      </c>
      <c r="Q820" t="str">
        <f t="shared" si="161"/>
        <v>Intermediate</v>
      </c>
      <c r="R820" t="str">
        <f t="shared" si="162"/>
        <v>Needs Improvement</v>
      </c>
      <c r="S820" t="str">
        <f t="shared" si="163"/>
        <v>Not Hired</v>
      </c>
      <c r="T820">
        <f t="shared" si="164"/>
        <v>53</v>
      </c>
      <c r="U820" t="str">
        <f t="shared" si="165"/>
        <v>Developing</v>
      </c>
      <c r="V820" t="str">
        <f t="shared" si="166"/>
        <v>Technical Skills</v>
      </c>
      <c r="W820" t="str">
        <f t="shared" si="167"/>
        <v>Personality &amp; Communication</v>
      </c>
      <c r="X820" t="str">
        <f t="shared" si="168"/>
        <v>Work on communication and personality development</v>
      </c>
    </row>
    <row r="821" spans="1:24" x14ac:dyDescent="0.3">
      <c r="A821">
        <v>30</v>
      </c>
      <c r="B821">
        <v>1</v>
      </c>
      <c r="C821">
        <v>2</v>
      </c>
      <c r="D821">
        <v>3</v>
      </c>
      <c r="E821">
        <v>2</v>
      </c>
      <c r="F821">
        <v>3.7174049174328498</v>
      </c>
      <c r="G821">
        <v>21</v>
      </c>
      <c r="H821">
        <v>86</v>
      </c>
      <c r="I821">
        <v>43</v>
      </c>
      <c r="J821">
        <v>1</v>
      </c>
      <c r="K821">
        <v>0</v>
      </c>
      <c r="L821" t="str">
        <f t="shared" si="156"/>
        <v>C820</v>
      </c>
      <c r="M821" t="str">
        <f t="shared" si="157"/>
        <v>Female</v>
      </c>
      <c r="N821" t="str">
        <f t="shared" si="158"/>
        <v>Bachelor's Type 2</v>
      </c>
      <c r="O821" t="str">
        <f t="shared" si="159"/>
        <v>Mid Level</v>
      </c>
      <c r="P821" t="str">
        <f t="shared" si="160"/>
        <v>Low</v>
      </c>
      <c r="Q821" t="str">
        <f t="shared" si="161"/>
        <v>Advanced</v>
      </c>
      <c r="R821" t="str">
        <f t="shared" si="162"/>
        <v>Needs Improvement</v>
      </c>
      <c r="S821" t="str">
        <f t="shared" si="163"/>
        <v>Not Hired</v>
      </c>
      <c r="T821">
        <f t="shared" si="164"/>
        <v>46</v>
      </c>
      <c r="U821" t="str">
        <f t="shared" si="165"/>
        <v>Needs Improvement</v>
      </c>
      <c r="V821" t="str">
        <f t="shared" si="166"/>
        <v>Technical Skills</v>
      </c>
      <c r="W821" t="str">
        <f t="shared" si="167"/>
        <v>Interview Preparation</v>
      </c>
      <c r="X821" t="str">
        <f t="shared" si="168"/>
        <v>Improve interview preparation and communication</v>
      </c>
    </row>
    <row r="822" spans="1:24" x14ac:dyDescent="0.3">
      <c r="A822">
        <v>30</v>
      </c>
      <c r="B822">
        <v>1</v>
      </c>
      <c r="C822">
        <v>2</v>
      </c>
      <c r="D822">
        <v>15</v>
      </c>
      <c r="E822">
        <v>5</v>
      </c>
      <c r="F822">
        <v>1.92656167971666</v>
      </c>
      <c r="G822">
        <v>2</v>
      </c>
      <c r="H822">
        <v>78</v>
      </c>
      <c r="I822">
        <v>57</v>
      </c>
      <c r="J822">
        <v>2</v>
      </c>
      <c r="K822">
        <v>0</v>
      </c>
      <c r="L822" t="str">
        <f t="shared" si="156"/>
        <v>C821</v>
      </c>
      <c r="M822" t="str">
        <f t="shared" si="157"/>
        <v>Female</v>
      </c>
      <c r="N822" t="str">
        <f t="shared" si="158"/>
        <v>Bachelor's Type 2</v>
      </c>
      <c r="O822" t="str">
        <f t="shared" si="159"/>
        <v>Senior Level</v>
      </c>
      <c r="P822" t="str">
        <f t="shared" si="160"/>
        <v>Low</v>
      </c>
      <c r="Q822" t="str">
        <f t="shared" si="161"/>
        <v>Advanced</v>
      </c>
      <c r="R822" t="str">
        <f t="shared" si="162"/>
        <v>Good</v>
      </c>
      <c r="S822" t="str">
        <f t="shared" si="163"/>
        <v>Not Hired</v>
      </c>
      <c r="T822">
        <f t="shared" si="164"/>
        <v>53</v>
      </c>
      <c r="U822" t="str">
        <f t="shared" si="165"/>
        <v>Developing</v>
      </c>
      <c r="V822" t="str">
        <f t="shared" si="166"/>
        <v>Technical Skills</v>
      </c>
      <c r="W822" t="str">
        <f t="shared" si="167"/>
        <v>Interview Preparation</v>
      </c>
      <c r="X822" t="str">
        <f t="shared" si="168"/>
        <v>Improve interview preparation and communication</v>
      </c>
    </row>
    <row r="823" spans="1:24" x14ac:dyDescent="0.3">
      <c r="A823">
        <v>37</v>
      </c>
      <c r="B823">
        <v>1</v>
      </c>
      <c r="C823">
        <v>3</v>
      </c>
      <c r="D823">
        <v>2</v>
      </c>
      <c r="E823">
        <v>4</v>
      </c>
      <c r="F823">
        <v>8.1810689034408099</v>
      </c>
      <c r="G823">
        <v>53</v>
      </c>
      <c r="H823">
        <v>5</v>
      </c>
      <c r="I823">
        <v>5</v>
      </c>
      <c r="J823">
        <v>1</v>
      </c>
      <c r="K823">
        <v>0</v>
      </c>
      <c r="L823" t="str">
        <f t="shared" si="156"/>
        <v>C822</v>
      </c>
      <c r="M823" t="str">
        <f t="shared" si="157"/>
        <v>Female</v>
      </c>
      <c r="N823" t="str">
        <f t="shared" si="158"/>
        <v>Master's</v>
      </c>
      <c r="O823" t="str">
        <f t="shared" si="159"/>
        <v>Entry Level</v>
      </c>
      <c r="P823" t="str">
        <f t="shared" si="160"/>
        <v>Average</v>
      </c>
      <c r="Q823" t="str">
        <f t="shared" si="161"/>
        <v>Beginner</v>
      </c>
      <c r="R823" t="str">
        <f t="shared" si="162"/>
        <v>Needs Improvement</v>
      </c>
      <c r="S823" t="str">
        <f t="shared" si="163"/>
        <v>Not Hired</v>
      </c>
      <c r="T823">
        <f t="shared" si="164"/>
        <v>24</v>
      </c>
      <c r="U823" t="str">
        <f t="shared" si="165"/>
        <v>Needs Improvement</v>
      </c>
      <c r="V823" t="str">
        <f t="shared" si="166"/>
        <v>Interview</v>
      </c>
      <c r="W823" t="str">
        <f t="shared" si="167"/>
        <v>Technical Skills</v>
      </c>
      <c r="X823" t="str">
        <f t="shared" si="168"/>
        <v>Strengthen technical skills and practical knowledge</v>
      </c>
    </row>
    <row r="824" spans="1:24" x14ac:dyDescent="0.3">
      <c r="A824">
        <v>34</v>
      </c>
      <c r="B824">
        <v>1</v>
      </c>
      <c r="C824">
        <v>2</v>
      </c>
      <c r="D824">
        <v>6</v>
      </c>
      <c r="E824">
        <v>1</v>
      </c>
      <c r="F824">
        <v>33.897474289081202</v>
      </c>
      <c r="G824">
        <v>13</v>
      </c>
      <c r="H824">
        <v>32</v>
      </c>
      <c r="I824">
        <v>88</v>
      </c>
      <c r="J824">
        <v>3</v>
      </c>
      <c r="K824">
        <v>0</v>
      </c>
      <c r="L824" t="str">
        <f t="shared" si="156"/>
        <v>C823</v>
      </c>
      <c r="M824" t="str">
        <f t="shared" si="157"/>
        <v>Female</v>
      </c>
      <c r="N824" t="str">
        <f t="shared" si="158"/>
        <v>Bachelor's Type 2</v>
      </c>
      <c r="O824" t="str">
        <f t="shared" si="159"/>
        <v>Mid Level</v>
      </c>
      <c r="P824" t="str">
        <f t="shared" si="160"/>
        <v>Low</v>
      </c>
      <c r="Q824" t="str">
        <f t="shared" si="161"/>
        <v>Beginner</v>
      </c>
      <c r="R824" t="str">
        <f t="shared" si="162"/>
        <v>Strong</v>
      </c>
      <c r="S824" t="str">
        <f t="shared" si="163"/>
        <v>Not Hired</v>
      </c>
      <c r="T824">
        <f t="shared" si="164"/>
        <v>40</v>
      </c>
      <c r="U824" t="str">
        <f t="shared" si="165"/>
        <v>Needs Improvement</v>
      </c>
      <c r="V824" t="str">
        <f t="shared" si="166"/>
        <v>Personality</v>
      </c>
      <c r="W824" t="str">
        <f t="shared" si="167"/>
        <v>Interview Preparation</v>
      </c>
      <c r="X824" t="str">
        <f t="shared" si="168"/>
        <v>Improve interview preparation and communication</v>
      </c>
    </row>
    <row r="825" spans="1:24" x14ac:dyDescent="0.3">
      <c r="A825">
        <v>31</v>
      </c>
      <c r="B825">
        <v>0</v>
      </c>
      <c r="C825">
        <v>2</v>
      </c>
      <c r="D825">
        <v>7</v>
      </c>
      <c r="E825">
        <v>1</v>
      </c>
      <c r="F825">
        <v>37.373853899824802</v>
      </c>
      <c r="G825">
        <v>35</v>
      </c>
      <c r="H825">
        <v>54</v>
      </c>
      <c r="I825">
        <v>14</v>
      </c>
      <c r="J825">
        <v>3</v>
      </c>
      <c r="K825">
        <v>0</v>
      </c>
      <c r="L825" t="str">
        <f t="shared" si="156"/>
        <v>C824</v>
      </c>
      <c r="M825" t="str">
        <f t="shared" si="157"/>
        <v>Male</v>
      </c>
      <c r="N825" t="str">
        <f t="shared" si="158"/>
        <v>Bachelor's Type 2</v>
      </c>
      <c r="O825" t="str">
        <f t="shared" si="159"/>
        <v>Senior Level</v>
      </c>
      <c r="P825" t="str">
        <f t="shared" si="160"/>
        <v>Low</v>
      </c>
      <c r="Q825" t="str">
        <f t="shared" si="161"/>
        <v>Intermediate</v>
      </c>
      <c r="R825" t="str">
        <f t="shared" si="162"/>
        <v>Needs Improvement</v>
      </c>
      <c r="S825" t="str">
        <f t="shared" si="163"/>
        <v>Not Hired</v>
      </c>
      <c r="T825">
        <f t="shared" si="164"/>
        <v>39</v>
      </c>
      <c r="U825" t="str">
        <f t="shared" si="165"/>
        <v>Needs Improvement</v>
      </c>
      <c r="V825" t="str">
        <f t="shared" si="166"/>
        <v>Technical Skills</v>
      </c>
      <c r="W825" t="str">
        <f t="shared" si="167"/>
        <v>Personality &amp; Communication</v>
      </c>
      <c r="X825" t="str">
        <f t="shared" si="168"/>
        <v>Work on communication and personality development</v>
      </c>
    </row>
    <row r="826" spans="1:24" x14ac:dyDescent="0.3">
      <c r="A826">
        <v>28</v>
      </c>
      <c r="B826">
        <v>1</v>
      </c>
      <c r="C826">
        <v>1</v>
      </c>
      <c r="D826">
        <v>10</v>
      </c>
      <c r="E826">
        <v>3</v>
      </c>
      <c r="F826">
        <v>40.325285676406097</v>
      </c>
      <c r="G826">
        <v>81</v>
      </c>
      <c r="H826">
        <v>18</v>
      </c>
      <c r="I826">
        <v>3</v>
      </c>
      <c r="J826">
        <v>2</v>
      </c>
      <c r="K826">
        <v>0</v>
      </c>
      <c r="L826" t="str">
        <f t="shared" si="156"/>
        <v>C825</v>
      </c>
      <c r="M826" t="str">
        <f t="shared" si="157"/>
        <v>Female</v>
      </c>
      <c r="N826" t="str">
        <f t="shared" si="158"/>
        <v>Bachelor's Type 1</v>
      </c>
      <c r="O826" t="str">
        <f t="shared" si="159"/>
        <v>Senior Level</v>
      </c>
      <c r="P826" t="str">
        <f t="shared" si="160"/>
        <v>Strong</v>
      </c>
      <c r="Q826" t="str">
        <f t="shared" si="161"/>
        <v>Beginner</v>
      </c>
      <c r="R826" t="str">
        <f t="shared" si="162"/>
        <v>Needs Improvement</v>
      </c>
      <c r="S826" t="str">
        <f t="shared" si="163"/>
        <v>Not Hired</v>
      </c>
      <c r="T826">
        <f t="shared" si="164"/>
        <v>43</v>
      </c>
      <c r="U826" t="str">
        <f t="shared" si="165"/>
        <v>Needs Improvement</v>
      </c>
      <c r="V826" t="str">
        <f t="shared" si="166"/>
        <v>Interview</v>
      </c>
      <c r="W826" t="str">
        <f t="shared" si="167"/>
        <v>Personality &amp; Communication</v>
      </c>
      <c r="X826" t="str">
        <f t="shared" si="168"/>
        <v>Work on communication and personality development</v>
      </c>
    </row>
    <row r="827" spans="1:24" x14ac:dyDescent="0.3">
      <c r="A827">
        <v>29</v>
      </c>
      <c r="B827">
        <v>0</v>
      </c>
      <c r="C827">
        <v>1</v>
      </c>
      <c r="D827">
        <v>13</v>
      </c>
      <c r="E827">
        <v>3</v>
      </c>
      <c r="F827">
        <v>13.1854105952171</v>
      </c>
      <c r="G827">
        <v>81</v>
      </c>
      <c r="H827">
        <v>76</v>
      </c>
      <c r="I827">
        <v>55</v>
      </c>
      <c r="J827">
        <v>1</v>
      </c>
      <c r="K827">
        <v>1</v>
      </c>
      <c r="L827" t="str">
        <f t="shared" si="156"/>
        <v>C826</v>
      </c>
      <c r="M827" t="str">
        <f t="shared" si="157"/>
        <v>Male</v>
      </c>
      <c r="N827" t="str">
        <f t="shared" si="158"/>
        <v>Bachelor's Type 1</v>
      </c>
      <c r="O827" t="str">
        <f t="shared" si="159"/>
        <v>Senior Level</v>
      </c>
      <c r="P827" t="str">
        <f t="shared" si="160"/>
        <v>Strong</v>
      </c>
      <c r="Q827" t="str">
        <f t="shared" si="161"/>
        <v>Advanced</v>
      </c>
      <c r="R827" t="str">
        <f t="shared" si="162"/>
        <v>Good</v>
      </c>
      <c r="S827" t="str">
        <f t="shared" si="163"/>
        <v>Hired</v>
      </c>
      <c r="T827">
        <f t="shared" si="164"/>
        <v>74</v>
      </c>
      <c r="U827" t="str">
        <f t="shared" si="165"/>
        <v>Developing</v>
      </c>
      <c r="V827" t="str">
        <f t="shared" si="166"/>
        <v>Interview</v>
      </c>
      <c r="W827" t="str">
        <f t="shared" si="167"/>
        <v>Personality &amp; Communication</v>
      </c>
      <c r="X827" t="str">
        <f t="shared" si="168"/>
        <v>Work on communication and personality development</v>
      </c>
    </row>
    <row r="828" spans="1:24" x14ac:dyDescent="0.3">
      <c r="A828">
        <v>45</v>
      </c>
      <c r="B828">
        <v>1</v>
      </c>
      <c r="C828">
        <v>1</v>
      </c>
      <c r="D828">
        <v>1</v>
      </c>
      <c r="E828">
        <v>3</v>
      </c>
      <c r="F828">
        <v>16.294740663075899</v>
      </c>
      <c r="G828">
        <v>66</v>
      </c>
      <c r="H828">
        <v>28</v>
      </c>
      <c r="I828">
        <v>63</v>
      </c>
      <c r="J828">
        <v>3</v>
      </c>
      <c r="K828">
        <v>0</v>
      </c>
      <c r="L828" t="str">
        <f t="shared" si="156"/>
        <v>C827</v>
      </c>
      <c r="M828" t="str">
        <f t="shared" si="157"/>
        <v>Female</v>
      </c>
      <c r="N828" t="str">
        <f t="shared" si="158"/>
        <v>Bachelor's Type 1</v>
      </c>
      <c r="O828" t="str">
        <f t="shared" si="159"/>
        <v>Entry Level</v>
      </c>
      <c r="P828" t="str">
        <f t="shared" si="160"/>
        <v>Average</v>
      </c>
      <c r="Q828" t="str">
        <f t="shared" si="161"/>
        <v>Beginner</v>
      </c>
      <c r="R828" t="str">
        <f t="shared" si="162"/>
        <v>Good</v>
      </c>
      <c r="S828" t="str">
        <f t="shared" si="163"/>
        <v>Not Hired</v>
      </c>
      <c r="T828">
        <f t="shared" si="164"/>
        <v>44</v>
      </c>
      <c r="U828" t="str">
        <f t="shared" si="165"/>
        <v>Needs Improvement</v>
      </c>
      <c r="V828" t="str">
        <f t="shared" si="166"/>
        <v>Interview</v>
      </c>
      <c r="W828" t="str">
        <f t="shared" si="167"/>
        <v>Technical Skills</v>
      </c>
      <c r="X828" t="str">
        <f t="shared" si="168"/>
        <v>Strengthen technical skills and practical knowledge</v>
      </c>
    </row>
    <row r="829" spans="1:24" x14ac:dyDescent="0.3">
      <c r="A829">
        <v>31</v>
      </c>
      <c r="B829">
        <v>1</v>
      </c>
      <c r="C829">
        <v>1</v>
      </c>
      <c r="D829">
        <v>6</v>
      </c>
      <c r="E829">
        <v>2</v>
      </c>
      <c r="F829">
        <v>25.156732278274902</v>
      </c>
      <c r="G829">
        <v>9</v>
      </c>
      <c r="H829">
        <v>60</v>
      </c>
      <c r="I829">
        <v>67</v>
      </c>
      <c r="J829">
        <v>3</v>
      </c>
      <c r="K829">
        <v>0</v>
      </c>
      <c r="L829" t="str">
        <f t="shared" si="156"/>
        <v>C828</v>
      </c>
      <c r="M829" t="str">
        <f t="shared" si="157"/>
        <v>Female</v>
      </c>
      <c r="N829" t="str">
        <f t="shared" si="158"/>
        <v>Bachelor's Type 1</v>
      </c>
      <c r="O829" t="str">
        <f t="shared" si="159"/>
        <v>Mid Level</v>
      </c>
      <c r="P829" t="str">
        <f t="shared" si="160"/>
        <v>Low</v>
      </c>
      <c r="Q829" t="str">
        <f t="shared" si="161"/>
        <v>Intermediate</v>
      </c>
      <c r="R829" t="str">
        <f t="shared" si="162"/>
        <v>Good</v>
      </c>
      <c r="S829" t="str">
        <f t="shared" si="163"/>
        <v>Not Hired</v>
      </c>
      <c r="T829">
        <f t="shared" si="164"/>
        <v>43</v>
      </c>
      <c r="U829" t="str">
        <f t="shared" si="165"/>
        <v>Needs Improvement</v>
      </c>
      <c r="V829" t="str">
        <f t="shared" si="166"/>
        <v>Personality</v>
      </c>
      <c r="W829" t="str">
        <f t="shared" si="167"/>
        <v>Interview Preparation</v>
      </c>
      <c r="X829" t="str">
        <f t="shared" si="168"/>
        <v>Improve interview preparation and communication</v>
      </c>
    </row>
    <row r="830" spans="1:24" x14ac:dyDescent="0.3">
      <c r="A830">
        <v>36</v>
      </c>
      <c r="B830">
        <v>0</v>
      </c>
      <c r="C830">
        <v>2</v>
      </c>
      <c r="D830">
        <v>11</v>
      </c>
      <c r="E830">
        <v>4</v>
      </c>
      <c r="F830">
        <v>4.1591548430113203</v>
      </c>
      <c r="G830">
        <v>48</v>
      </c>
      <c r="H830">
        <v>69</v>
      </c>
      <c r="I830">
        <v>93</v>
      </c>
      <c r="J830">
        <v>3</v>
      </c>
      <c r="K830">
        <v>0</v>
      </c>
      <c r="L830" t="str">
        <f t="shared" si="156"/>
        <v>C829</v>
      </c>
      <c r="M830" t="str">
        <f t="shared" si="157"/>
        <v>Male</v>
      </c>
      <c r="N830" t="str">
        <f t="shared" si="158"/>
        <v>Bachelor's Type 2</v>
      </c>
      <c r="O830" t="str">
        <f t="shared" si="159"/>
        <v>Senior Level</v>
      </c>
      <c r="P830" t="str">
        <f t="shared" si="160"/>
        <v>Low</v>
      </c>
      <c r="Q830" t="str">
        <f t="shared" si="161"/>
        <v>Intermediate</v>
      </c>
      <c r="R830" t="str">
        <f t="shared" si="162"/>
        <v>Strong</v>
      </c>
      <c r="S830" t="str">
        <f t="shared" si="163"/>
        <v>Not Hired</v>
      </c>
      <c r="T830">
        <f t="shared" si="164"/>
        <v>67</v>
      </c>
      <c r="U830" t="str">
        <f t="shared" si="165"/>
        <v>Developing</v>
      </c>
      <c r="V830" t="str">
        <f t="shared" si="166"/>
        <v>Personality</v>
      </c>
      <c r="W830" t="str">
        <f t="shared" si="167"/>
        <v>Interview Preparation</v>
      </c>
      <c r="X830" t="str">
        <f t="shared" si="168"/>
        <v>Improve interview preparation and communication</v>
      </c>
    </row>
    <row r="831" spans="1:24" x14ac:dyDescent="0.3">
      <c r="A831">
        <v>48</v>
      </c>
      <c r="B831">
        <v>1</v>
      </c>
      <c r="C831">
        <v>3</v>
      </c>
      <c r="D831">
        <v>4</v>
      </c>
      <c r="E831">
        <v>4</v>
      </c>
      <c r="F831">
        <v>31.5570761605623</v>
      </c>
      <c r="G831">
        <v>64</v>
      </c>
      <c r="H831">
        <v>78</v>
      </c>
      <c r="I831">
        <v>33</v>
      </c>
      <c r="J831">
        <v>3</v>
      </c>
      <c r="K831">
        <v>0</v>
      </c>
      <c r="L831" t="str">
        <f t="shared" si="156"/>
        <v>C830</v>
      </c>
      <c r="M831" t="str">
        <f t="shared" si="157"/>
        <v>Female</v>
      </c>
      <c r="N831" t="str">
        <f t="shared" si="158"/>
        <v>Master's</v>
      </c>
      <c r="O831" t="str">
        <f t="shared" si="159"/>
        <v>Mid Level</v>
      </c>
      <c r="P831" t="str">
        <f t="shared" si="160"/>
        <v>Average</v>
      </c>
      <c r="Q831" t="str">
        <f t="shared" si="161"/>
        <v>Advanced</v>
      </c>
      <c r="R831" t="str">
        <f t="shared" si="162"/>
        <v>Needs Improvement</v>
      </c>
      <c r="S831" t="str">
        <f t="shared" si="163"/>
        <v>Not Hired</v>
      </c>
      <c r="T831">
        <f t="shared" si="164"/>
        <v>57</v>
      </c>
      <c r="U831" t="str">
        <f t="shared" si="165"/>
        <v>Developing</v>
      </c>
      <c r="V831" t="str">
        <f t="shared" si="166"/>
        <v>Technical Skills</v>
      </c>
      <c r="W831" t="str">
        <f t="shared" si="167"/>
        <v>Personality &amp; Communication</v>
      </c>
      <c r="X831" t="str">
        <f t="shared" si="168"/>
        <v>Work on communication and personality development</v>
      </c>
    </row>
    <row r="832" spans="1:24" x14ac:dyDescent="0.3">
      <c r="A832">
        <v>25</v>
      </c>
      <c r="B832">
        <v>1</v>
      </c>
      <c r="C832">
        <v>2</v>
      </c>
      <c r="D832">
        <v>14</v>
      </c>
      <c r="E832">
        <v>4</v>
      </c>
      <c r="F832">
        <v>50.186751683787797</v>
      </c>
      <c r="G832">
        <v>90</v>
      </c>
      <c r="H832">
        <v>79</v>
      </c>
      <c r="I832">
        <v>90</v>
      </c>
      <c r="J832">
        <v>2</v>
      </c>
      <c r="K832">
        <v>1</v>
      </c>
      <c r="L832" t="str">
        <f t="shared" si="156"/>
        <v>C831</v>
      </c>
      <c r="M832" t="str">
        <f t="shared" si="157"/>
        <v>Female</v>
      </c>
      <c r="N832" t="str">
        <f t="shared" si="158"/>
        <v>Bachelor's Type 2</v>
      </c>
      <c r="O832" t="str">
        <f t="shared" si="159"/>
        <v>Senior Level</v>
      </c>
      <c r="P832" t="str">
        <f t="shared" si="160"/>
        <v>Strong</v>
      </c>
      <c r="Q832" t="str">
        <f t="shared" si="161"/>
        <v>Advanced</v>
      </c>
      <c r="R832" t="str">
        <f t="shared" si="162"/>
        <v>Strong</v>
      </c>
      <c r="S832" t="str">
        <f t="shared" si="163"/>
        <v>Hired</v>
      </c>
      <c r="T832">
        <f t="shared" si="164"/>
        <v>85</v>
      </c>
      <c r="U832" t="str">
        <f t="shared" si="165"/>
        <v>Job Ready</v>
      </c>
      <c r="V832" t="str">
        <f t="shared" si="166"/>
        <v>Interview</v>
      </c>
      <c r="W832" t="str">
        <f t="shared" si="167"/>
        <v>Technical Skills</v>
      </c>
      <c r="X832" t="str">
        <f t="shared" si="168"/>
        <v>Strengthen technical skills and practical knowledge</v>
      </c>
    </row>
    <row r="833" spans="1:24" x14ac:dyDescent="0.3">
      <c r="A833">
        <v>26</v>
      </c>
      <c r="B833">
        <v>0</v>
      </c>
      <c r="C833">
        <v>3</v>
      </c>
      <c r="D833">
        <v>10</v>
      </c>
      <c r="E833">
        <v>4</v>
      </c>
      <c r="F833">
        <v>19.040315568900098</v>
      </c>
      <c r="G833">
        <v>56</v>
      </c>
      <c r="H833">
        <v>23</v>
      </c>
      <c r="I833">
        <v>94</v>
      </c>
      <c r="J833">
        <v>1</v>
      </c>
      <c r="K833">
        <v>1</v>
      </c>
      <c r="L833" t="str">
        <f t="shared" si="156"/>
        <v>C832</v>
      </c>
      <c r="M833" t="str">
        <f t="shared" si="157"/>
        <v>Male</v>
      </c>
      <c r="N833" t="str">
        <f t="shared" si="158"/>
        <v>Master's</v>
      </c>
      <c r="O833" t="str">
        <f t="shared" si="159"/>
        <v>Senior Level</v>
      </c>
      <c r="P833" t="str">
        <f t="shared" si="160"/>
        <v>Average</v>
      </c>
      <c r="Q833" t="str">
        <f t="shared" si="161"/>
        <v>Beginner</v>
      </c>
      <c r="R833" t="str">
        <f t="shared" si="162"/>
        <v>Strong</v>
      </c>
      <c r="S833" t="str">
        <f t="shared" si="163"/>
        <v>Hired</v>
      </c>
      <c r="T833">
        <f t="shared" si="164"/>
        <v>56</v>
      </c>
      <c r="U833" t="str">
        <f t="shared" si="165"/>
        <v>Developing</v>
      </c>
      <c r="V833" t="str">
        <f t="shared" si="166"/>
        <v>Personality</v>
      </c>
      <c r="W833" t="str">
        <f t="shared" si="167"/>
        <v>Technical Skills</v>
      </c>
      <c r="X833" t="str">
        <f t="shared" si="168"/>
        <v>Strengthen technical skills and practical knowledge</v>
      </c>
    </row>
    <row r="834" spans="1:24" x14ac:dyDescent="0.3">
      <c r="A834">
        <v>33</v>
      </c>
      <c r="B834">
        <v>1</v>
      </c>
      <c r="C834">
        <v>4</v>
      </c>
      <c r="D834">
        <v>4</v>
      </c>
      <c r="E834">
        <v>3</v>
      </c>
      <c r="F834">
        <v>38.642373754569199</v>
      </c>
      <c r="G834">
        <v>26</v>
      </c>
      <c r="H834">
        <v>22</v>
      </c>
      <c r="I834">
        <v>55</v>
      </c>
      <c r="J834">
        <v>2</v>
      </c>
      <c r="K834">
        <v>0</v>
      </c>
      <c r="L834" t="str">
        <f t="shared" si="156"/>
        <v>C833</v>
      </c>
      <c r="M834" t="str">
        <f t="shared" si="157"/>
        <v>Female</v>
      </c>
      <c r="N834" t="str">
        <f t="shared" si="158"/>
        <v>PhD</v>
      </c>
      <c r="O834" t="str">
        <f t="shared" si="159"/>
        <v>Mid Level</v>
      </c>
      <c r="P834" t="str">
        <f t="shared" si="160"/>
        <v>Low</v>
      </c>
      <c r="Q834" t="str">
        <f t="shared" si="161"/>
        <v>Beginner</v>
      </c>
      <c r="R834" t="str">
        <f t="shared" si="162"/>
        <v>Good</v>
      </c>
      <c r="S834" t="str">
        <f t="shared" si="163"/>
        <v>Not Hired</v>
      </c>
      <c r="T834">
        <f t="shared" si="164"/>
        <v>34</v>
      </c>
      <c r="U834" t="str">
        <f t="shared" si="165"/>
        <v>Needs Improvement</v>
      </c>
      <c r="V834" t="str">
        <f t="shared" si="166"/>
        <v>Personality</v>
      </c>
      <c r="W834" t="str">
        <f t="shared" si="167"/>
        <v>Technical Skills</v>
      </c>
      <c r="X834" t="str">
        <f t="shared" si="168"/>
        <v>Strengthen technical skills and practical knowledge</v>
      </c>
    </row>
    <row r="835" spans="1:24" x14ac:dyDescent="0.3">
      <c r="A835">
        <v>32</v>
      </c>
      <c r="B835">
        <v>1</v>
      </c>
      <c r="C835">
        <v>3</v>
      </c>
      <c r="D835">
        <v>2</v>
      </c>
      <c r="E835">
        <v>1</v>
      </c>
      <c r="F835">
        <v>26.0016957784804</v>
      </c>
      <c r="G835">
        <v>74</v>
      </c>
      <c r="H835">
        <v>9</v>
      </c>
      <c r="I835">
        <v>31</v>
      </c>
      <c r="J835">
        <v>2</v>
      </c>
      <c r="K835">
        <v>0</v>
      </c>
      <c r="L835" t="str">
        <f t="shared" ref="L835:L898" si="169">"C"&amp;TEXT(ROW()-1,"000")</f>
        <v>C834</v>
      </c>
      <c r="M835" t="str">
        <f t="shared" ref="M835:M898" si="170">IF(B835=0,"Male","Female")</f>
        <v>Female</v>
      </c>
      <c r="N835" t="str">
        <f t="shared" ref="N835:N898" si="171">IF(C835=1,"Bachelor's Type 1",IF(C835=2,"Bachelor's Type 2",IF(C835=3,"Master's","PhD")))</f>
        <v>Master's</v>
      </c>
      <c r="O835" t="str">
        <f t="shared" ref="O835:O898" si="172">IF(D835&lt;=2,"Entry Level",IF(D835&lt;=6,"Mid Level","Senior Level"))</f>
        <v>Entry Level</v>
      </c>
      <c r="P835" t="str">
        <f t="shared" ref="P835:P898" si="173">IF(G835&lt;50,"Low",IF(G835&lt;75,"Average","Strong"))</f>
        <v>Average</v>
      </c>
      <c r="Q835" t="str">
        <f t="shared" ref="Q835:Q898" si="174">IF(H835&lt;50,"Beginner",IF(H835&lt;75,"Intermediate","Advanced"))</f>
        <v>Beginner</v>
      </c>
      <c r="R835" t="str">
        <f t="shared" ref="R835:R898" si="175">IF(I835&lt;50,"Needs Improvement",IF(I835&lt;75,"Good","Strong"))</f>
        <v>Needs Improvement</v>
      </c>
      <c r="S835" t="str">
        <f t="shared" ref="S835:S898" si="176">IF(K835=1,"Hired","Not Hired")</f>
        <v>Not Hired</v>
      </c>
      <c r="T835">
        <f t="shared" ref="T835:T898" si="177">ROUND((G835*30%)+(H835*30%)+(I835*20%)+((D835/15)*100*15%)+(IF(C835&lt;=2,50,IF(C835=3,75,100))*5%),0)</f>
        <v>37</v>
      </c>
      <c r="U835" t="str">
        <f t="shared" ref="U835:U898" si="178">IF(T835&lt;50,"Needs Improvement",IF(T835&lt;75,"Developing","Job Ready"))</f>
        <v>Needs Improvement</v>
      </c>
      <c r="V835" t="str">
        <f t="shared" ref="V835:V898" si="179">IF(AND(G835&gt;=H835,G835&gt;=I835),"Interview",IF(H835&gt;=I835,"Technical Skills","Personality"))</f>
        <v>Interview</v>
      </c>
      <c r="W835" t="str">
        <f t="shared" ref="W835:W898" si="180">IF(AND(G835&lt;=H835,G835&lt;=I835),"Interview Preparation",IF(H835&lt;=I835,"Technical Skills","Personality &amp; Communication"))</f>
        <v>Technical Skills</v>
      </c>
      <c r="X835" t="str">
        <f t="shared" ref="X835:X898" si="181">IF(W835="Interview Preparation","Improve interview preparation and communication",IF(W835="Technical Skills","Strengthen technical skills and practical knowledge","Work on communication and personality development"))</f>
        <v>Strengthen technical skills and practical knowledge</v>
      </c>
    </row>
    <row r="836" spans="1:24" x14ac:dyDescent="0.3">
      <c r="A836">
        <v>27</v>
      </c>
      <c r="B836">
        <v>1</v>
      </c>
      <c r="C836">
        <v>2</v>
      </c>
      <c r="D836">
        <v>4</v>
      </c>
      <c r="E836">
        <v>3</v>
      </c>
      <c r="F836">
        <v>7.3905922180191297</v>
      </c>
      <c r="G836">
        <v>4</v>
      </c>
      <c r="H836">
        <v>53</v>
      </c>
      <c r="I836">
        <v>8</v>
      </c>
      <c r="J836">
        <v>2</v>
      </c>
      <c r="K836">
        <v>0</v>
      </c>
      <c r="L836" t="str">
        <f t="shared" si="169"/>
        <v>C835</v>
      </c>
      <c r="M836" t="str">
        <f t="shared" si="170"/>
        <v>Female</v>
      </c>
      <c r="N836" t="str">
        <f t="shared" si="171"/>
        <v>Bachelor's Type 2</v>
      </c>
      <c r="O836" t="str">
        <f t="shared" si="172"/>
        <v>Mid Level</v>
      </c>
      <c r="P836" t="str">
        <f t="shared" si="173"/>
        <v>Low</v>
      </c>
      <c r="Q836" t="str">
        <f t="shared" si="174"/>
        <v>Intermediate</v>
      </c>
      <c r="R836" t="str">
        <f t="shared" si="175"/>
        <v>Needs Improvement</v>
      </c>
      <c r="S836" t="str">
        <f t="shared" si="176"/>
        <v>Not Hired</v>
      </c>
      <c r="T836">
        <f t="shared" si="177"/>
        <v>25</v>
      </c>
      <c r="U836" t="str">
        <f t="shared" si="178"/>
        <v>Needs Improvement</v>
      </c>
      <c r="V836" t="str">
        <f t="shared" si="179"/>
        <v>Technical Skills</v>
      </c>
      <c r="W836" t="str">
        <f t="shared" si="180"/>
        <v>Interview Preparation</v>
      </c>
      <c r="X836" t="str">
        <f t="shared" si="181"/>
        <v>Improve interview preparation and communication</v>
      </c>
    </row>
    <row r="837" spans="1:24" x14ac:dyDescent="0.3">
      <c r="A837">
        <v>29</v>
      </c>
      <c r="B837">
        <v>0</v>
      </c>
      <c r="C837">
        <v>2</v>
      </c>
      <c r="D837">
        <v>11</v>
      </c>
      <c r="E837">
        <v>4</v>
      </c>
      <c r="F837">
        <v>30.1118724401293</v>
      </c>
      <c r="G837">
        <v>70</v>
      </c>
      <c r="H837">
        <v>40</v>
      </c>
      <c r="I837">
        <v>62</v>
      </c>
      <c r="J837">
        <v>2</v>
      </c>
      <c r="K837">
        <v>0</v>
      </c>
      <c r="L837" t="str">
        <f t="shared" si="169"/>
        <v>C836</v>
      </c>
      <c r="M837" t="str">
        <f t="shared" si="170"/>
        <v>Male</v>
      </c>
      <c r="N837" t="str">
        <f t="shared" si="171"/>
        <v>Bachelor's Type 2</v>
      </c>
      <c r="O837" t="str">
        <f t="shared" si="172"/>
        <v>Senior Level</v>
      </c>
      <c r="P837" t="str">
        <f t="shared" si="173"/>
        <v>Average</v>
      </c>
      <c r="Q837" t="str">
        <f t="shared" si="174"/>
        <v>Beginner</v>
      </c>
      <c r="R837" t="str">
        <f t="shared" si="175"/>
        <v>Good</v>
      </c>
      <c r="S837" t="str">
        <f t="shared" si="176"/>
        <v>Not Hired</v>
      </c>
      <c r="T837">
        <f t="shared" si="177"/>
        <v>59</v>
      </c>
      <c r="U837" t="str">
        <f t="shared" si="178"/>
        <v>Developing</v>
      </c>
      <c r="V837" t="str">
        <f t="shared" si="179"/>
        <v>Interview</v>
      </c>
      <c r="W837" t="str">
        <f t="shared" si="180"/>
        <v>Technical Skills</v>
      </c>
      <c r="X837" t="str">
        <f t="shared" si="181"/>
        <v>Strengthen technical skills and practical knowledge</v>
      </c>
    </row>
    <row r="838" spans="1:24" x14ac:dyDescent="0.3">
      <c r="A838">
        <v>28</v>
      </c>
      <c r="B838">
        <v>1</v>
      </c>
      <c r="C838">
        <v>2</v>
      </c>
      <c r="D838">
        <v>1</v>
      </c>
      <c r="E838">
        <v>3</v>
      </c>
      <c r="F838">
        <v>15.9937134222032</v>
      </c>
      <c r="G838">
        <v>82</v>
      </c>
      <c r="H838">
        <v>48</v>
      </c>
      <c r="I838">
        <v>71</v>
      </c>
      <c r="J838">
        <v>1</v>
      </c>
      <c r="K838">
        <v>1</v>
      </c>
      <c r="L838" t="str">
        <f t="shared" si="169"/>
        <v>C837</v>
      </c>
      <c r="M838" t="str">
        <f t="shared" si="170"/>
        <v>Female</v>
      </c>
      <c r="N838" t="str">
        <f t="shared" si="171"/>
        <v>Bachelor's Type 2</v>
      </c>
      <c r="O838" t="str">
        <f t="shared" si="172"/>
        <v>Entry Level</v>
      </c>
      <c r="P838" t="str">
        <f t="shared" si="173"/>
        <v>Strong</v>
      </c>
      <c r="Q838" t="str">
        <f t="shared" si="174"/>
        <v>Beginner</v>
      </c>
      <c r="R838" t="str">
        <f t="shared" si="175"/>
        <v>Good</v>
      </c>
      <c r="S838" t="str">
        <f t="shared" si="176"/>
        <v>Hired</v>
      </c>
      <c r="T838">
        <f t="shared" si="177"/>
        <v>57</v>
      </c>
      <c r="U838" t="str">
        <f t="shared" si="178"/>
        <v>Developing</v>
      </c>
      <c r="V838" t="str">
        <f t="shared" si="179"/>
        <v>Interview</v>
      </c>
      <c r="W838" t="str">
        <f t="shared" si="180"/>
        <v>Technical Skills</v>
      </c>
      <c r="X838" t="str">
        <f t="shared" si="181"/>
        <v>Strengthen technical skills and practical knowledge</v>
      </c>
    </row>
    <row r="839" spans="1:24" x14ac:dyDescent="0.3">
      <c r="A839">
        <v>37</v>
      </c>
      <c r="B839">
        <v>1</v>
      </c>
      <c r="C839">
        <v>1</v>
      </c>
      <c r="D839">
        <v>3</v>
      </c>
      <c r="E839">
        <v>4</v>
      </c>
      <c r="F839">
        <v>2.7201604226729099</v>
      </c>
      <c r="G839">
        <v>56</v>
      </c>
      <c r="H839">
        <v>16</v>
      </c>
      <c r="I839">
        <v>77</v>
      </c>
      <c r="J839">
        <v>2</v>
      </c>
      <c r="K839">
        <v>0</v>
      </c>
      <c r="L839" t="str">
        <f t="shared" si="169"/>
        <v>C838</v>
      </c>
      <c r="M839" t="str">
        <f t="shared" si="170"/>
        <v>Female</v>
      </c>
      <c r="N839" t="str">
        <f t="shared" si="171"/>
        <v>Bachelor's Type 1</v>
      </c>
      <c r="O839" t="str">
        <f t="shared" si="172"/>
        <v>Mid Level</v>
      </c>
      <c r="P839" t="str">
        <f t="shared" si="173"/>
        <v>Average</v>
      </c>
      <c r="Q839" t="str">
        <f t="shared" si="174"/>
        <v>Beginner</v>
      </c>
      <c r="R839" t="str">
        <f t="shared" si="175"/>
        <v>Strong</v>
      </c>
      <c r="S839" t="str">
        <f t="shared" si="176"/>
        <v>Not Hired</v>
      </c>
      <c r="T839">
        <f t="shared" si="177"/>
        <v>43</v>
      </c>
      <c r="U839" t="str">
        <f t="shared" si="178"/>
        <v>Needs Improvement</v>
      </c>
      <c r="V839" t="str">
        <f t="shared" si="179"/>
        <v>Personality</v>
      </c>
      <c r="W839" t="str">
        <f t="shared" si="180"/>
        <v>Technical Skills</v>
      </c>
      <c r="X839" t="str">
        <f t="shared" si="181"/>
        <v>Strengthen technical skills and practical knowledge</v>
      </c>
    </row>
    <row r="840" spans="1:24" x14ac:dyDescent="0.3">
      <c r="A840">
        <v>46</v>
      </c>
      <c r="B840">
        <v>1</v>
      </c>
      <c r="C840">
        <v>2</v>
      </c>
      <c r="D840">
        <v>5</v>
      </c>
      <c r="E840">
        <v>5</v>
      </c>
      <c r="F840">
        <v>32.746486505887098</v>
      </c>
      <c r="G840">
        <v>92</v>
      </c>
      <c r="H840">
        <v>55</v>
      </c>
      <c r="I840">
        <v>32</v>
      </c>
      <c r="J840">
        <v>2</v>
      </c>
      <c r="K840">
        <v>0</v>
      </c>
      <c r="L840" t="str">
        <f t="shared" si="169"/>
        <v>C839</v>
      </c>
      <c r="M840" t="str">
        <f t="shared" si="170"/>
        <v>Female</v>
      </c>
      <c r="N840" t="str">
        <f t="shared" si="171"/>
        <v>Bachelor's Type 2</v>
      </c>
      <c r="O840" t="str">
        <f t="shared" si="172"/>
        <v>Mid Level</v>
      </c>
      <c r="P840" t="str">
        <f t="shared" si="173"/>
        <v>Strong</v>
      </c>
      <c r="Q840" t="str">
        <f t="shared" si="174"/>
        <v>Intermediate</v>
      </c>
      <c r="R840" t="str">
        <f t="shared" si="175"/>
        <v>Needs Improvement</v>
      </c>
      <c r="S840" t="str">
        <f t="shared" si="176"/>
        <v>Not Hired</v>
      </c>
      <c r="T840">
        <f t="shared" si="177"/>
        <v>58</v>
      </c>
      <c r="U840" t="str">
        <f t="shared" si="178"/>
        <v>Developing</v>
      </c>
      <c r="V840" t="str">
        <f t="shared" si="179"/>
        <v>Interview</v>
      </c>
      <c r="W840" t="str">
        <f t="shared" si="180"/>
        <v>Personality &amp; Communication</v>
      </c>
      <c r="X840" t="str">
        <f t="shared" si="181"/>
        <v>Work on communication and personality development</v>
      </c>
    </row>
    <row r="841" spans="1:24" x14ac:dyDescent="0.3">
      <c r="A841">
        <v>45</v>
      </c>
      <c r="B841">
        <v>1</v>
      </c>
      <c r="C841">
        <v>4</v>
      </c>
      <c r="D841">
        <v>0</v>
      </c>
      <c r="E841">
        <v>1</v>
      </c>
      <c r="F841">
        <v>43.946617466236297</v>
      </c>
      <c r="G841">
        <v>14</v>
      </c>
      <c r="H841">
        <v>44</v>
      </c>
      <c r="I841">
        <v>86</v>
      </c>
      <c r="J841">
        <v>1</v>
      </c>
      <c r="K841">
        <v>1</v>
      </c>
      <c r="L841" t="str">
        <f t="shared" si="169"/>
        <v>C840</v>
      </c>
      <c r="M841" t="str">
        <f t="shared" si="170"/>
        <v>Female</v>
      </c>
      <c r="N841" t="str">
        <f t="shared" si="171"/>
        <v>PhD</v>
      </c>
      <c r="O841" t="str">
        <f t="shared" si="172"/>
        <v>Entry Level</v>
      </c>
      <c r="P841" t="str">
        <f t="shared" si="173"/>
        <v>Low</v>
      </c>
      <c r="Q841" t="str">
        <f t="shared" si="174"/>
        <v>Beginner</v>
      </c>
      <c r="R841" t="str">
        <f t="shared" si="175"/>
        <v>Strong</v>
      </c>
      <c r="S841" t="str">
        <f t="shared" si="176"/>
        <v>Hired</v>
      </c>
      <c r="T841">
        <f t="shared" si="177"/>
        <v>40</v>
      </c>
      <c r="U841" t="str">
        <f t="shared" si="178"/>
        <v>Needs Improvement</v>
      </c>
      <c r="V841" t="str">
        <f t="shared" si="179"/>
        <v>Personality</v>
      </c>
      <c r="W841" t="str">
        <f t="shared" si="180"/>
        <v>Interview Preparation</v>
      </c>
      <c r="X841" t="str">
        <f t="shared" si="181"/>
        <v>Improve interview preparation and communication</v>
      </c>
    </row>
    <row r="842" spans="1:24" x14ac:dyDescent="0.3">
      <c r="A842">
        <v>21</v>
      </c>
      <c r="B842">
        <v>0</v>
      </c>
      <c r="C842">
        <v>3</v>
      </c>
      <c r="D842">
        <v>9</v>
      </c>
      <c r="E842">
        <v>5</v>
      </c>
      <c r="F842">
        <v>18.238488344993701</v>
      </c>
      <c r="G842">
        <v>98</v>
      </c>
      <c r="H842">
        <v>29</v>
      </c>
      <c r="I842">
        <v>20</v>
      </c>
      <c r="J842">
        <v>2</v>
      </c>
      <c r="K842">
        <v>0</v>
      </c>
      <c r="L842" t="str">
        <f t="shared" si="169"/>
        <v>C841</v>
      </c>
      <c r="M842" t="str">
        <f t="shared" si="170"/>
        <v>Male</v>
      </c>
      <c r="N842" t="str">
        <f t="shared" si="171"/>
        <v>Master's</v>
      </c>
      <c r="O842" t="str">
        <f t="shared" si="172"/>
        <v>Senior Level</v>
      </c>
      <c r="P842" t="str">
        <f t="shared" si="173"/>
        <v>Strong</v>
      </c>
      <c r="Q842" t="str">
        <f t="shared" si="174"/>
        <v>Beginner</v>
      </c>
      <c r="R842" t="str">
        <f t="shared" si="175"/>
        <v>Needs Improvement</v>
      </c>
      <c r="S842" t="str">
        <f t="shared" si="176"/>
        <v>Not Hired</v>
      </c>
      <c r="T842">
        <f t="shared" si="177"/>
        <v>55</v>
      </c>
      <c r="U842" t="str">
        <f t="shared" si="178"/>
        <v>Developing</v>
      </c>
      <c r="V842" t="str">
        <f t="shared" si="179"/>
        <v>Interview</v>
      </c>
      <c r="W842" t="str">
        <f t="shared" si="180"/>
        <v>Personality &amp; Communication</v>
      </c>
      <c r="X842" t="str">
        <f t="shared" si="181"/>
        <v>Work on communication and personality development</v>
      </c>
    </row>
    <row r="843" spans="1:24" x14ac:dyDescent="0.3">
      <c r="A843">
        <v>24</v>
      </c>
      <c r="B843">
        <v>0</v>
      </c>
      <c r="C843">
        <v>2</v>
      </c>
      <c r="D843">
        <v>3</v>
      </c>
      <c r="E843">
        <v>2</v>
      </c>
      <c r="F843">
        <v>20.514777360638501</v>
      </c>
      <c r="G843">
        <v>100</v>
      </c>
      <c r="H843">
        <v>43</v>
      </c>
      <c r="I843">
        <v>54</v>
      </c>
      <c r="J843">
        <v>3</v>
      </c>
      <c r="K843">
        <v>0</v>
      </c>
      <c r="L843" t="str">
        <f t="shared" si="169"/>
        <v>C842</v>
      </c>
      <c r="M843" t="str">
        <f t="shared" si="170"/>
        <v>Male</v>
      </c>
      <c r="N843" t="str">
        <f t="shared" si="171"/>
        <v>Bachelor's Type 2</v>
      </c>
      <c r="O843" t="str">
        <f t="shared" si="172"/>
        <v>Mid Level</v>
      </c>
      <c r="P843" t="str">
        <f t="shared" si="173"/>
        <v>Strong</v>
      </c>
      <c r="Q843" t="str">
        <f t="shared" si="174"/>
        <v>Beginner</v>
      </c>
      <c r="R843" t="str">
        <f t="shared" si="175"/>
        <v>Good</v>
      </c>
      <c r="S843" t="str">
        <f t="shared" si="176"/>
        <v>Not Hired</v>
      </c>
      <c r="T843">
        <f t="shared" si="177"/>
        <v>59</v>
      </c>
      <c r="U843" t="str">
        <f t="shared" si="178"/>
        <v>Developing</v>
      </c>
      <c r="V843" t="str">
        <f t="shared" si="179"/>
        <v>Interview</v>
      </c>
      <c r="W843" t="str">
        <f t="shared" si="180"/>
        <v>Technical Skills</v>
      </c>
      <c r="X843" t="str">
        <f t="shared" si="181"/>
        <v>Strengthen technical skills and practical knowledge</v>
      </c>
    </row>
    <row r="844" spans="1:24" x14ac:dyDescent="0.3">
      <c r="A844">
        <v>48</v>
      </c>
      <c r="B844">
        <v>1</v>
      </c>
      <c r="C844">
        <v>2</v>
      </c>
      <c r="D844">
        <v>5</v>
      </c>
      <c r="E844">
        <v>3</v>
      </c>
      <c r="F844">
        <v>45.551084148360502</v>
      </c>
      <c r="G844">
        <v>75</v>
      </c>
      <c r="H844">
        <v>73</v>
      </c>
      <c r="I844">
        <v>75</v>
      </c>
      <c r="J844">
        <v>3</v>
      </c>
      <c r="K844">
        <v>0</v>
      </c>
      <c r="L844" t="str">
        <f t="shared" si="169"/>
        <v>C843</v>
      </c>
      <c r="M844" t="str">
        <f t="shared" si="170"/>
        <v>Female</v>
      </c>
      <c r="N844" t="str">
        <f t="shared" si="171"/>
        <v>Bachelor's Type 2</v>
      </c>
      <c r="O844" t="str">
        <f t="shared" si="172"/>
        <v>Mid Level</v>
      </c>
      <c r="P844" t="str">
        <f t="shared" si="173"/>
        <v>Strong</v>
      </c>
      <c r="Q844" t="str">
        <f t="shared" si="174"/>
        <v>Intermediate</v>
      </c>
      <c r="R844" t="str">
        <f t="shared" si="175"/>
        <v>Strong</v>
      </c>
      <c r="S844" t="str">
        <f t="shared" si="176"/>
        <v>Not Hired</v>
      </c>
      <c r="T844">
        <f t="shared" si="177"/>
        <v>67</v>
      </c>
      <c r="U844" t="str">
        <f t="shared" si="178"/>
        <v>Developing</v>
      </c>
      <c r="V844" t="str">
        <f t="shared" si="179"/>
        <v>Interview</v>
      </c>
      <c r="W844" t="str">
        <f t="shared" si="180"/>
        <v>Technical Skills</v>
      </c>
      <c r="X844" t="str">
        <f t="shared" si="181"/>
        <v>Strengthen technical skills and practical knowledge</v>
      </c>
    </row>
    <row r="845" spans="1:24" x14ac:dyDescent="0.3">
      <c r="A845">
        <v>24</v>
      </c>
      <c r="B845">
        <v>1</v>
      </c>
      <c r="C845">
        <v>3</v>
      </c>
      <c r="D845">
        <v>8</v>
      </c>
      <c r="E845">
        <v>2</v>
      </c>
      <c r="F845">
        <v>41.680440668367702</v>
      </c>
      <c r="G845">
        <v>29</v>
      </c>
      <c r="H845">
        <v>54</v>
      </c>
      <c r="I845">
        <v>56</v>
      </c>
      <c r="J845">
        <v>2</v>
      </c>
      <c r="K845">
        <v>0</v>
      </c>
      <c r="L845" t="str">
        <f t="shared" si="169"/>
        <v>C844</v>
      </c>
      <c r="M845" t="str">
        <f t="shared" si="170"/>
        <v>Female</v>
      </c>
      <c r="N845" t="str">
        <f t="shared" si="171"/>
        <v>Master's</v>
      </c>
      <c r="O845" t="str">
        <f t="shared" si="172"/>
        <v>Senior Level</v>
      </c>
      <c r="P845" t="str">
        <f t="shared" si="173"/>
        <v>Low</v>
      </c>
      <c r="Q845" t="str">
        <f t="shared" si="174"/>
        <v>Intermediate</v>
      </c>
      <c r="R845" t="str">
        <f t="shared" si="175"/>
        <v>Good</v>
      </c>
      <c r="S845" t="str">
        <f t="shared" si="176"/>
        <v>Not Hired</v>
      </c>
      <c r="T845">
        <f t="shared" si="177"/>
        <v>48</v>
      </c>
      <c r="U845" t="str">
        <f t="shared" si="178"/>
        <v>Needs Improvement</v>
      </c>
      <c r="V845" t="str">
        <f t="shared" si="179"/>
        <v>Personality</v>
      </c>
      <c r="W845" t="str">
        <f t="shared" si="180"/>
        <v>Interview Preparation</v>
      </c>
      <c r="X845" t="str">
        <f t="shared" si="181"/>
        <v>Improve interview preparation and communication</v>
      </c>
    </row>
    <row r="846" spans="1:24" x14ac:dyDescent="0.3">
      <c r="A846">
        <v>25</v>
      </c>
      <c r="B846">
        <v>0</v>
      </c>
      <c r="C846">
        <v>1</v>
      </c>
      <c r="D846">
        <v>13</v>
      </c>
      <c r="E846">
        <v>3</v>
      </c>
      <c r="F846">
        <v>36.747641177588797</v>
      </c>
      <c r="G846">
        <v>19</v>
      </c>
      <c r="H846">
        <v>18</v>
      </c>
      <c r="I846">
        <v>1</v>
      </c>
      <c r="J846">
        <v>2</v>
      </c>
      <c r="K846">
        <v>0</v>
      </c>
      <c r="L846" t="str">
        <f t="shared" si="169"/>
        <v>C845</v>
      </c>
      <c r="M846" t="str">
        <f t="shared" si="170"/>
        <v>Male</v>
      </c>
      <c r="N846" t="str">
        <f t="shared" si="171"/>
        <v>Bachelor's Type 1</v>
      </c>
      <c r="O846" t="str">
        <f t="shared" si="172"/>
        <v>Senior Level</v>
      </c>
      <c r="P846" t="str">
        <f t="shared" si="173"/>
        <v>Low</v>
      </c>
      <c r="Q846" t="str">
        <f t="shared" si="174"/>
        <v>Beginner</v>
      </c>
      <c r="R846" t="str">
        <f t="shared" si="175"/>
        <v>Needs Improvement</v>
      </c>
      <c r="S846" t="str">
        <f t="shared" si="176"/>
        <v>Not Hired</v>
      </c>
      <c r="T846">
        <f t="shared" si="177"/>
        <v>27</v>
      </c>
      <c r="U846" t="str">
        <f t="shared" si="178"/>
        <v>Needs Improvement</v>
      </c>
      <c r="V846" t="str">
        <f t="shared" si="179"/>
        <v>Interview</v>
      </c>
      <c r="W846" t="str">
        <f t="shared" si="180"/>
        <v>Personality &amp; Communication</v>
      </c>
      <c r="X846" t="str">
        <f t="shared" si="181"/>
        <v>Work on communication and personality development</v>
      </c>
    </row>
    <row r="847" spans="1:24" x14ac:dyDescent="0.3">
      <c r="A847">
        <v>38</v>
      </c>
      <c r="B847">
        <v>0</v>
      </c>
      <c r="C847">
        <v>2</v>
      </c>
      <c r="D847">
        <v>10</v>
      </c>
      <c r="E847">
        <v>5</v>
      </c>
      <c r="F847">
        <v>13.439853187657301</v>
      </c>
      <c r="G847">
        <v>36</v>
      </c>
      <c r="H847">
        <v>28</v>
      </c>
      <c r="I847">
        <v>12</v>
      </c>
      <c r="J847">
        <v>1</v>
      </c>
      <c r="K847">
        <v>0</v>
      </c>
      <c r="L847" t="str">
        <f t="shared" si="169"/>
        <v>C846</v>
      </c>
      <c r="M847" t="str">
        <f t="shared" si="170"/>
        <v>Male</v>
      </c>
      <c r="N847" t="str">
        <f t="shared" si="171"/>
        <v>Bachelor's Type 2</v>
      </c>
      <c r="O847" t="str">
        <f t="shared" si="172"/>
        <v>Senior Level</v>
      </c>
      <c r="P847" t="str">
        <f t="shared" si="173"/>
        <v>Low</v>
      </c>
      <c r="Q847" t="str">
        <f t="shared" si="174"/>
        <v>Beginner</v>
      </c>
      <c r="R847" t="str">
        <f t="shared" si="175"/>
        <v>Needs Improvement</v>
      </c>
      <c r="S847" t="str">
        <f t="shared" si="176"/>
        <v>Not Hired</v>
      </c>
      <c r="T847">
        <f t="shared" si="177"/>
        <v>34</v>
      </c>
      <c r="U847" t="str">
        <f t="shared" si="178"/>
        <v>Needs Improvement</v>
      </c>
      <c r="V847" t="str">
        <f t="shared" si="179"/>
        <v>Interview</v>
      </c>
      <c r="W847" t="str">
        <f t="shared" si="180"/>
        <v>Personality &amp; Communication</v>
      </c>
      <c r="X847" t="str">
        <f t="shared" si="181"/>
        <v>Work on communication and personality development</v>
      </c>
    </row>
    <row r="848" spans="1:24" x14ac:dyDescent="0.3">
      <c r="A848">
        <v>27</v>
      </c>
      <c r="B848">
        <v>1</v>
      </c>
      <c r="C848">
        <v>3</v>
      </c>
      <c r="D848">
        <v>15</v>
      </c>
      <c r="E848">
        <v>4</v>
      </c>
      <c r="F848">
        <v>46.510832748332199</v>
      </c>
      <c r="G848">
        <v>2</v>
      </c>
      <c r="H848">
        <v>1</v>
      </c>
      <c r="I848">
        <v>3</v>
      </c>
      <c r="J848">
        <v>2</v>
      </c>
      <c r="K848">
        <v>0</v>
      </c>
      <c r="L848" t="str">
        <f t="shared" si="169"/>
        <v>C847</v>
      </c>
      <c r="M848" t="str">
        <f t="shared" si="170"/>
        <v>Female</v>
      </c>
      <c r="N848" t="str">
        <f t="shared" si="171"/>
        <v>Master's</v>
      </c>
      <c r="O848" t="str">
        <f t="shared" si="172"/>
        <v>Senior Level</v>
      </c>
      <c r="P848" t="str">
        <f t="shared" si="173"/>
        <v>Low</v>
      </c>
      <c r="Q848" t="str">
        <f t="shared" si="174"/>
        <v>Beginner</v>
      </c>
      <c r="R848" t="str">
        <f t="shared" si="175"/>
        <v>Needs Improvement</v>
      </c>
      <c r="S848" t="str">
        <f t="shared" si="176"/>
        <v>Not Hired</v>
      </c>
      <c r="T848">
        <f t="shared" si="177"/>
        <v>20</v>
      </c>
      <c r="U848" t="str">
        <f t="shared" si="178"/>
        <v>Needs Improvement</v>
      </c>
      <c r="V848" t="str">
        <f t="shared" si="179"/>
        <v>Personality</v>
      </c>
      <c r="W848" t="str">
        <f t="shared" si="180"/>
        <v>Technical Skills</v>
      </c>
      <c r="X848" t="str">
        <f t="shared" si="181"/>
        <v>Strengthen technical skills and practical knowledge</v>
      </c>
    </row>
    <row r="849" spans="1:24" x14ac:dyDescent="0.3">
      <c r="A849">
        <v>35</v>
      </c>
      <c r="B849">
        <v>0</v>
      </c>
      <c r="C849">
        <v>2</v>
      </c>
      <c r="D849">
        <v>10</v>
      </c>
      <c r="E849">
        <v>4</v>
      </c>
      <c r="F849">
        <v>8.7207878769606495</v>
      </c>
      <c r="G849">
        <v>72</v>
      </c>
      <c r="H849">
        <v>35</v>
      </c>
      <c r="I849">
        <v>83</v>
      </c>
      <c r="J849">
        <v>2</v>
      </c>
      <c r="K849">
        <v>0</v>
      </c>
      <c r="L849" t="str">
        <f t="shared" si="169"/>
        <v>C848</v>
      </c>
      <c r="M849" t="str">
        <f t="shared" si="170"/>
        <v>Male</v>
      </c>
      <c r="N849" t="str">
        <f t="shared" si="171"/>
        <v>Bachelor's Type 2</v>
      </c>
      <c r="O849" t="str">
        <f t="shared" si="172"/>
        <v>Senior Level</v>
      </c>
      <c r="P849" t="str">
        <f t="shared" si="173"/>
        <v>Average</v>
      </c>
      <c r="Q849" t="str">
        <f t="shared" si="174"/>
        <v>Beginner</v>
      </c>
      <c r="R849" t="str">
        <f t="shared" si="175"/>
        <v>Strong</v>
      </c>
      <c r="S849" t="str">
        <f t="shared" si="176"/>
        <v>Not Hired</v>
      </c>
      <c r="T849">
        <f t="shared" si="177"/>
        <v>61</v>
      </c>
      <c r="U849" t="str">
        <f t="shared" si="178"/>
        <v>Developing</v>
      </c>
      <c r="V849" t="str">
        <f t="shared" si="179"/>
        <v>Personality</v>
      </c>
      <c r="W849" t="str">
        <f t="shared" si="180"/>
        <v>Technical Skills</v>
      </c>
      <c r="X849" t="str">
        <f t="shared" si="181"/>
        <v>Strengthen technical skills and practical knowledge</v>
      </c>
    </row>
    <row r="850" spans="1:24" x14ac:dyDescent="0.3">
      <c r="A850">
        <v>32</v>
      </c>
      <c r="B850">
        <v>1</v>
      </c>
      <c r="C850">
        <v>1</v>
      </c>
      <c r="D850">
        <v>12</v>
      </c>
      <c r="E850">
        <v>3</v>
      </c>
      <c r="F850">
        <v>32.338525970860999</v>
      </c>
      <c r="G850">
        <v>40</v>
      </c>
      <c r="H850">
        <v>18</v>
      </c>
      <c r="I850">
        <v>49</v>
      </c>
      <c r="J850">
        <v>2</v>
      </c>
      <c r="K850">
        <v>0</v>
      </c>
      <c r="L850" t="str">
        <f t="shared" si="169"/>
        <v>C849</v>
      </c>
      <c r="M850" t="str">
        <f t="shared" si="170"/>
        <v>Female</v>
      </c>
      <c r="N850" t="str">
        <f t="shared" si="171"/>
        <v>Bachelor's Type 1</v>
      </c>
      <c r="O850" t="str">
        <f t="shared" si="172"/>
        <v>Senior Level</v>
      </c>
      <c r="P850" t="str">
        <f t="shared" si="173"/>
        <v>Low</v>
      </c>
      <c r="Q850" t="str">
        <f t="shared" si="174"/>
        <v>Beginner</v>
      </c>
      <c r="R850" t="str">
        <f t="shared" si="175"/>
        <v>Needs Improvement</v>
      </c>
      <c r="S850" t="str">
        <f t="shared" si="176"/>
        <v>Not Hired</v>
      </c>
      <c r="T850">
        <f t="shared" si="177"/>
        <v>42</v>
      </c>
      <c r="U850" t="str">
        <f t="shared" si="178"/>
        <v>Needs Improvement</v>
      </c>
      <c r="V850" t="str">
        <f t="shared" si="179"/>
        <v>Personality</v>
      </c>
      <c r="W850" t="str">
        <f t="shared" si="180"/>
        <v>Technical Skills</v>
      </c>
      <c r="X850" t="str">
        <f t="shared" si="181"/>
        <v>Strengthen technical skills and practical knowledge</v>
      </c>
    </row>
    <row r="851" spans="1:24" x14ac:dyDescent="0.3">
      <c r="A851">
        <v>20</v>
      </c>
      <c r="B851">
        <v>0</v>
      </c>
      <c r="C851">
        <v>2</v>
      </c>
      <c r="D851">
        <v>1</v>
      </c>
      <c r="E851">
        <v>4</v>
      </c>
      <c r="F851">
        <v>2.4400590273259302</v>
      </c>
      <c r="G851">
        <v>38</v>
      </c>
      <c r="H851">
        <v>6</v>
      </c>
      <c r="I851">
        <v>47</v>
      </c>
      <c r="J851">
        <v>3</v>
      </c>
      <c r="K851">
        <v>0</v>
      </c>
      <c r="L851" t="str">
        <f t="shared" si="169"/>
        <v>C850</v>
      </c>
      <c r="M851" t="str">
        <f t="shared" si="170"/>
        <v>Male</v>
      </c>
      <c r="N851" t="str">
        <f t="shared" si="171"/>
        <v>Bachelor's Type 2</v>
      </c>
      <c r="O851" t="str">
        <f t="shared" si="172"/>
        <v>Entry Level</v>
      </c>
      <c r="P851" t="str">
        <f t="shared" si="173"/>
        <v>Low</v>
      </c>
      <c r="Q851" t="str">
        <f t="shared" si="174"/>
        <v>Beginner</v>
      </c>
      <c r="R851" t="str">
        <f t="shared" si="175"/>
        <v>Needs Improvement</v>
      </c>
      <c r="S851" t="str">
        <f t="shared" si="176"/>
        <v>Not Hired</v>
      </c>
      <c r="T851">
        <f t="shared" si="177"/>
        <v>26</v>
      </c>
      <c r="U851" t="str">
        <f t="shared" si="178"/>
        <v>Needs Improvement</v>
      </c>
      <c r="V851" t="str">
        <f t="shared" si="179"/>
        <v>Personality</v>
      </c>
      <c r="W851" t="str">
        <f t="shared" si="180"/>
        <v>Technical Skills</v>
      </c>
      <c r="X851" t="str">
        <f t="shared" si="181"/>
        <v>Strengthen technical skills and practical knowledge</v>
      </c>
    </row>
    <row r="852" spans="1:24" x14ac:dyDescent="0.3">
      <c r="A852">
        <v>41</v>
      </c>
      <c r="B852">
        <v>0</v>
      </c>
      <c r="C852">
        <v>3</v>
      </c>
      <c r="D852">
        <v>10</v>
      </c>
      <c r="E852">
        <v>5</v>
      </c>
      <c r="F852">
        <v>33.185990316247199</v>
      </c>
      <c r="G852">
        <v>25</v>
      </c>
      <c r="H852">
        <v>25</v>
      </c>
      <c r="I852">
        <v>77</v>
      </c>
      <c r="J852">
        <v>2</v>
      </c>
      <c r="K852">
        <v>0</v>
      </c>
      <c r="L852" t="str">
        <f t="shared" si="169"/>
        <v>C851</v>
      </c>
      <c r="M852" t="str">
        <f t="shared" si="170"/>
        <v>Male</v>
      </c>
      <c r="N852" t="str">
        <f t="shared" si="171"/>
        <v>Master's</v>
      </c>
      <c r="O852" t="str">
        <f t="shared" si="172"/>
        <v>Senior Level</v>
      </c>
      <c r="P852" t="str">
        <f t="shared" si="173"/>
        <v>Low</v>
      </c>
      <c r="Q852" t="str">
        <f t="shared" si="174"/>
        <v>Beginner</v>
      </c>
      <c r="R852" t="str">
        <f t="shared" si="175"/>
        <v>Strong</v>
      </c>
      <c r="S852" t="str">
        <f t="shared" si="176"/>
        <v>Not Hired</v>
      </c>
      <c r="T852">
        <f t="shared" si="177"/>
        <v>44</v>
      </c>
      <c r="U852" t="str">
        <f t="shared" si="178"/>
        <v>Needs Improvement</v>
      </c>
      <c r="V852" t="str">
        <f t="shared" si="179"/>
        <v>Personality</v>
      </c>
      <c r="W852" t="str">
        <f t="shared" si="180"/>
        <v>Interview Preparation</v>
      </c>
      <c r="X852" t="str">
        <f t="shared" si="181"/>
        <v>Improve interview preparation and communication</v>
      </c>
    </row>
    <row r="853" spans="1:24" x14ac:dyDescent="0.3">
      <c r="A853">
        <v>39</v>
      </c>
      <c r="B853">
        <v>0</v>
      </c>
      <c r="C853">
        <v>2</v>
      </c>
      <c r="D853">
        <v>6</v>
      </c>
      <c r="E853">
        <v>4</v>
      </c>
      <c r="F853">
        <v>14.857217593667899</v>
      </c>
      <c r="G853">
        <v>1</v>
      </c>
      <c r="H853">
        <v>78</v>
      </c>
      <c r="I853">
        <v>29</v>
      </c>
      <c r="J853">
        <v>1</v>
      </c>
      <c r="K853">
        <v>1</v>
      </c>
      <c r="L853" t="str">
        <f t="shared" si="169"/>
        <v>C852</v>
      </c>
      <c r="M853" t="str">
        <f t="shared" si="170"/>
        <v>Male</v>
      </c>
      <c r="N853" t="str">
        <f t="shared" si="171"/>
        <v>Bachelor's Type 2</v>
      </c>
      <c r="O853" t="str">
        <f t="shared" si="172"/>
        <v>Mid Level</v>
      </c>
      <c r="P853" t="str">
        <f t="shared" si="173"/>
        <v>Low</v>
      </c>
      <c r="Q853" t="str">
        <f t="shared" si="174"/>
        <v>Advanced</v>
      </c>
      <c r="R853" t="str">
        <f t="shared" si="175"/>
        <v>Needs Improvement</v>
      </c>
      <c r="S853" t="str">
        <f t="shared" si="176"/>
        <v>Hired</v>
      </c>
      <c r="T853">
        <f t="shared" si="177"/>
        <v>38</v>
      </c>
      <c r="U853" t="str">
        <f t="shared" si="178"/>
        <v>Needs Improvement</v>
      </c>
      <c r="V853" t="str">
        <f t="shared" si="179"/>
        <v>Technical Skills</v>
      </c>
      <c r="W853" t="str">
        <f t="shared" si="180"/>
        <v>Interview Preparation</v>
      </c>
      <c r="X853" t="str">
        <f t="shared" si="181"/>
        <v>Improve interview preparation and communication</v>
      </c>
    </row>
    <row r="854" spans="1:24" x14ac:dyDescent="0.3">
      <c r="A854">
        <v>36</v>
      </c>
      <c r="B854">
        <v>0</v>
      </c>
      <c r="C854">
        <v>2</v>
      </c>
      <c r="D854">
        <v>5</v>
      </c>
      <c r="E854">
        <v>5</v>
      </c>
      <c r="F854">
        <v>23.483848859186001</v>
      </c>
      <c r="G854">
        <v>22</v>
      </c>
      <c r="H854">
        <v>37</v>
      </c>
      <c r="I854">
        <v>28</v>
      </c>
      <c r="J854">
        <v>1</v>
      </c>
      <c r="K854">
        <v>0</v>
      </c>
      <c r="L854" t="str">
        <f t="shared" si="169"/>
        <v>C853</v>
      </c>
      <c r="M854" t="str">
        <f t="shared" si="170"/>
        <v>Male</v>
      </c>
      <c r="N854" t="str">
        <f t="shared" si="171"/>
        <v>Bachelor's Type 2</v>
      </c>
      <c r="O854" t="str">
        <f t="shared" si="172"/>
        <v>Mid Level</v>
      </c>
      <c r="P854" t="str">
        <f t="shared" si="173"/>
        <v>Low</v>
      </c>
      <c r="Q854" t="str">
        <f t="shared" si="174"/>
        <v>Beginner</v>
      </c>
      <c r="R854" t="str">
        <f t="shared" si="175"/>
        <v>Needs Improvement</v>
      </c>
      <c r="S854" t="str">
        <f t="shared" si="176"/>
        <v>Not Hired</v>
      </c>
      <c r="T854">
        <f t="shared" si="177"/>
        <v>31</v>
      </c>
      <c r="U854" t="str">
        <f t="shared" si="178"/>
        <v>Needs Improvement</v>
      </c>
      <c r="V854" t="str">
        <f t="shared" si="179"/>
        <v>Technical Skills</v>
      </c>
      <c r="W854" t="str">
        <f t="shared" si="180"/>
        <v>Interview Preparation</v>
      </c>
      <c r="X854" t="str">
        <f t="shared" si="181"/>
        <v>Improve interview preparation and communication</v>
      </c>
    </row>
    <row r="855" spans="1:24" x14ac:dyDescent="0.3">
      <c r="A855">
        <v>50</v>
      </c>
      <c r="B855">
        <v>1</v>
      </c>
      <c r="C855">
        <v>2</v>
      </c>
      <c r="D855">
        <v>1</v>
      </c>
      <c r="E855">
        <v>2</v>
      </c>
      <c r="F855">
        <v>18.263227602852599</v>
      </c>
      <c r="G855">
        <v>22</v>
      </c>
      <c r="H855">
        <v>2</v>
      </c>
      <c r="I855">
        <v>7</v>
      </c>
      <c r="J855">
        <v>2</v>
      </c>
      <c r="K855">
        <v>0</v>
      </c>
      <c r="L855" t="str">
        <f t="shared" si="169"/>
        <v>C854</v>
      </c>
      <c r="M855" t="str">
        <f t="shared" si="170"/>
        <v>Female</v>
      </c>
      <c r="N855" t="str">
        <f t="shared" si="171"/>
        <v>Bachelor's Type 2</v>
      </c>
      <c r="O855" t="str">
        <f t="shared" si="172"/>
        <v>Entry Level</v>
      </c>
      <c r="P855" t="str">
        <f t="shared" si="173"/>
        <v>Low</v>
      </c>
      <c r="Q855" t="str">
        <f t="shared" si="174"/>
        <v>Beginner</v>
      </c>
      <c r="R855" t="str">
        <f t="shared" si="175"/>
        <v>Needs Improvement</v>
      </c>
      <c r="S855" t="str">
        <f t="shared" si="176"/>
        <v>Not Hired</v>
      </c>
      <c r="T855">
        <f t="shared" si="177"/>
        <v>12</v>
      </c>
      <c r="U855" t="str">
        <f t="shared" si="178"/>
        <v>Needs Improvement</v>
      </c>
      <c r="V855" t="str">
        <f t="shared" si="179"/>
        <v>Interview</v>
      </c>
      <c r="W855" t="str">
        <f t="shared" si="180"/>
        <v>Technical Skills</v>
      </c>
      <c r="X855" t="str">
        <f t="shared" si="181"/>
        <v>Strengthen technical skills and practical knowledge</v>
      </c>
    </row>
    <row r="856" spans="1:24" x14ac:dyDescent="0.3">
      <c r="A856">
        <v>26</v>
      </c>
      <c r="B856">
        <v>0</v>
      </c>
      <c r="C856">
        <v>2</v>
      </c>
      <c r="D856">
        <v>7</v>
      </c>
      <c r="E856">
        <v>5</v>
      </c>
      <c r="F856">
        <v>9.6378378123104902</v>
      </c>
      <c r="G856">
        <v>84</v>
      </c>
      <c r="H856">
        <v>79</v>
      </c>
      <c r="I856">
        <v>11</v>
      </c>
      <c r="J856">
        <v>2</v>
      </c>
      <c r="K856">
        <v>0</v>
      </c>
      <c r="L856" t="str">
        <f t="shared" si="169"/>
        <v>C855</v>
      </c>
      <c r="M856" t="str">
        <f t="shared" si="170"/>
        <v>Male</v>
      </c>
      <c r="N856" t="str">
        <f t="shared" si="171"/>
        <v>Bachelor's Type 2</v>
      </c>
      <c r="O856" t="str">
        <f t="shared" si="172"/>
        <v>Senior Level</v>
      </c>
      <c r="P856" t="str">
        <f t="shared" si="173"/>
        <v>Strong</v>
      </c>
      <c r="Q856" t="str">
        <f t="shared" si="174"/>
        <v>Advanced</v>
      </c>
      <c r="R856" t="str">
        <f t="shared" si="175"/>
        <v>Needs Improvement</v>
      </c>
      <c r="S856" t="str">
        <f t="shared" si="176"/>
        <v>Not Hired</v>
      </c>
      <c r="T856">
        <f t="shared" si="177"/>
        <v>61</v>
      </c>
      <c r="U856" t="str">
        <f t="shared" si="178"/>
        <v>Developing</v>
      </c>
      <c r="V856" t="str">
        <f t="shared" si="179"/>
        <v>Interview</v>
      </c>
      <c r="W856" t="str">
        <f t="shared" si="180"/>
        <v>Personality &amp; Communication</v>
      </c>
      <c r="X856" t="str">
        <f t="shared" si="181"/>
        <v>Work on communication and personality development</v>
      </c>
    </row>
    <row r="857" spans="1:24" x14ac:dyDescent="0.3">
      <c r="A857">
        <v>44</v>
      </c>
      <c r="B857">
        <v>0</v>
      </c>
      <c r="C857">
        <v>2</v>
      </c>
      <c r="D857">
        <v>6</v>
      </c>
      <c r="E857">
        <v>1</v>
      </c>
      <c r="F857">
        <v>32.0990395046937</v>
      </c>
      <c r="G857">
        <v>15</v>
      </c>
      <c r="H857">
        <v>65</v>
      </c>
      <c r="I857">
        <v>40</v>
      </c>
      <c r="J857">
        <v>3</v>
      </c>
      <c r="K857">
        <v>0</v>
      </c>
      <c r="L857" t="str">
        <f t="shared" si="169"/>
        <v>C856</v>
      </c>
      <c r="M857" t="str">
        <f t="shared" si="170"/>
        <v>Male</v>
      </c>
      <c r="N857" t="str">
        <f t="shared" si="171"/>
        <v>Bachelor's Type 2</v>
      </c>
      <c r="O857" t="str">
        <f t="shared" si="172"/>
        <v>Mid Level</v>
      </c>
      <c r="P857" t="str">
        <f t="shared" si="173"/>
        <v>Low</v>
      </c>
      <c r="Q857" t="str">
        <f t="shared" si="174"/>
        <v>Intermediate</v>
      </c>
      <c r="R857" t="str">
        <f t="shared" si="175"/>
        <v>Needs Improvement</v>
      </c>
      <c r="S857" t="str">
        <f t="shared" si="176"/>
        <v>Not Hired</v>
      </c>
      <c r="T857">
        <f t="shared" si="177"/>
        <v>41</v>
      </c>
      <c r="U857" t="str">
        <f t="shared" si="178"/>
        <v>Needs Improvement</v>
      </c>
      <c r="V857" t="str">
        <f t="shared" si="179"/>
        <v>Technical Skills</v>
      </c>
      <c r="W857" t="str">
        <f t="shared" si="180"/>
        <v>Interview Preparation</v>
      </c>
      <c r="X857" t="str">
        <f t="shared" si="181"/>
        <v>Improve interview preparation and communication</v>
      </c>
    </row>
    <row r="858" spans="1:24" x14ac:dyDescent="0.3">
      <c r="A858">
        <v>32</v>
      </c>
      <c r="B858">
        <v>1</v>
      </c>
      <c r="C858">
        <v>3</v>
      </c>
      <c r="D858">
        <v>10</v>
      </c>
      <c r="E858">
        <v>1</v>
      </c>
      <c r="F858">
        <v>45.098777757030298</v>
      </c>
      <c r="G858">
        <v>8</v>
      </c>
      <c r="H858">
        <v>94</v>
      </c>
      <c r="I858">
        <v>25</v>
      </c>
      <c r="J858">
        <v>2</v>
      </c>
      <c r="K858">
        <v>0</v>
      </c>
      <c r="L858" t="str">
        <f t="shared" si="169"/>
        <v>C857</v>
      </c>
      <c r="M858" t="str">
        <f t="shared" si="170"/>
        <v>Female</v>
      </c>
      <c r="N858" t="str">
        <f t="shared" si="171"/>
        <v>Master's</v>
      </c>
      <c r="O858" t="str">
        <f t="shared" si="172"/>
        <v>Senior Level</v>
      </c>
      <c r="P858" t="str">
        <f t="shared" si="173"/>
        <v>Low</v>
      </c>
      <c r="Q858" t="str">
        <f t="shared" si="174"/>
        <v>Advanced</v>
      </c>
      <c r="R858" t="str">
        <f t="shared" si="175"/>
        <v>Needs Improvement</v>
      </c>
      <c r="S858" t="str">
        <f t="shared" si="176"/>
        <v>Not Hired</v>
      </c>
      <c r="T858">
        <f t="shared" si="177"/>
        <v>49</v>
      </c>
      <c r="U858" t="str">
        <f t="shared" si="178"/>
        <v>Needs Improvement</v>
      </c>
      <c r="V858" t="str">
        <f t="shared" si="179"/>
        <v>Technical Skills</v>
      </c>
      <c r="W858" t="str">
        <f t="shared" si="180"/>
        <v>Interview Preparation</v>
      </c>
      <c r="X858" t="str">
        <f t="shared" si="181"/>
        <v>Improve interview preparation and communication</v>
      </c>
    </row>
    <row r="859" spans="1:24" x14ac:dyDescent="0.3">
      <c r="A859">
        <v>23</v>
      </c>
      <c r="B859">
        <v>0</v>
      </c>
      <c r="C859">
        <v>1</v>
      </c>
      <c r="D859">
        <v>4</v>
      </c>
      <c r="E859">
        <v>1</v>
      </c>
      <c r="F859">
        <v>48.954212114120097</v>
      </c>
      <c r="G859">
        <v>12</v>
      </c>
      <c r="H859">
        <v>91</v>
      </c>
      <c r="I859">
        <v>49</v>
      </c>
      <c r="J859">
        <v>2</v>
      </c>
      <c r="K859">
        <v>0</v>
      </c>
      <c r="L859" t="str">
        <f t="shared" si="169"/>
        <v>C858</v>
      </c>
      <c r="M859" t="str">
        <f t="shared" si="170"/>
        <v>Male</v>
      </c>
      <c r="N859" t="str">
        <f t="shared" si="171"/>
        <v>Bachelor's Type 1</v>
      </c>
      <c r="O859" t="str">
        <f t="shared" si="172"/>
        <v>Mid Level</v>
      </c>
      <c r="P859" t="str">
        <f t="shared" si="173"/>
        <v>Low</v>
      </c>
      <c r="Q859" t="str">
        <f t="shared" si="174"/>
        <v>Advanced</v>
      </c>
      <c r="R859" t="str">
        <f t="shared" si="175"/>
        <v>Needs Improvement</v>
      </c>
      <c r="S859" t="str">
        <f t="shared" si="176"/>
        <v>Not Hired</v>
      </c>
      <c r="T859">
        <f t="shared" si="177"/>
        <v>47</v>
      </c>
      <c r="U859" t="str">
        <f t="shared" si="178"/>
        <v>Needs Improvement</v>
      </c>
      <c r="V859" t="str">
        <f t="shared" si="179"/>
        <v>Technical Skills</v>
      </c>
      <c r="W859" t="str">
        <f t="shared" si="180"/>
        <v>Interview Preparation</v>
      </c>
      <c r="X859" t="str">
        <f t="shared" si="181"/>
        <v>Improve interview preparation and communication</v>
      </c>
    </row>
    <row r="860" spans="1:24" x14ac:dyDescent="0.3">
      <c r="A860">
        <v>23</v>
      </c>
      <c r="B860">
        <v>0</v>
      </c>
      <c r="C860">
        <v>3</v>
      </c>
      <c r="D860">
        <v>11</v>
      </c>
      <c r="E860">
        <v>3</v>
      </c>
      <c r="F860">
        <v>10.617318157695699</v>
      </c>
      <c r="G860">
        <v>27</v>
      </c>
      <c r="H860">
        <v>70</v>
      </c>
      <c r="I860">
        <v>1</v>
      </c>
      <c r="J860">
        <v>2</v>
      </c>
      <c r="K860">
        <v>0</v>
      </c>
      <c r="L860" t="str">
        <f t="shared" si="169"/>
        <v>C859</v>
      </c>
      <c r="M860" t="str">
        <f t="shared" si="170"/>
        <v>Male</v>
      </c>
      <c r="N860" t="str">
        <f t="shared" si="171"/>
        <v>Master's</v>
      </c>
      <c r="O860" t="str">
        <f t="shared" si="172"/>
        <v>Senior Level</v>
      </c>
      <c r="P860" t="str">
        <f t="shared" si="173"/>
        <v>Low</v>
      </c>
      <c r="Q860" t="str">
        <f t="shared" si="174"/>
        <v>Intermediate</v>
      </c>
      <c r="R860" t="str">
        <f t="shared" si="175"/>
        <v>Needs Improvement</v>
      </c>
      <c r="S860" t="str">
        <f t="shared" si="176"/>
        <v>Not Hired</v>
      </c>
      <c r="T860">
        <f t="shared" si="177"/>
        <v>44</v>
      </c>
      <c r="U860" t="str">
        <f t="shared" si="178"/>
        <v>Needs Improvement</v>
      </c>
      <c r="V860" t="str">
        <f t="shared" si="179"/>
        <v>Technical Skills</v>
      </c>
      <c r="W860" t="str">
        <f t="shared" si="180"/>
        <v>Personality &amp; Communication</v>
      </c>
      <c r="X860" t="str">
        <f t="shared" si="181"/>
        <v>Work on communication and personality development</v>
      </c>
    </row>
    <row r="861" spans="1:24" x14ac:dyDescent="0.3">
      <c r="A861">
        <v>25</v>
      </c>
      <c r="B861">
        <v>1</v>
      </c>
      <c r="C861">
        <v>1</v>
      </c>
      <c r="D861">
        <v>4</v>
      </c>
      <c r="E861">
        <v>3</v>
      </c>
      <c r="F861">
        <v>36.868638703148598</v>
      </c>
      <c r="G861">
        <v>26</v>
      </c>
      <c r="H861">
        <v>93</v>
      </c>
      <c r="I861">
        <v>54</v>
      </c>
      <c r="J861">
        <v>2</v>
      </c>
      <c r="K861">
        <v>0</v>
      </c>
      <c r="L861" t="str">
        <f t="shared" si="169"/>
        <v>C860</v>
      </c>
      <c r="M861" t="str">
        <f t="shared" si="170"/>
        <v>Female</v>
      </c>
      <c r="N861" t="str">
        <f t="shared" si="171"/>
        <v>Bachelor's Type 1</v>
      </c>
      <c r="O861" t="str">
        <f t="shared" si="172"/>
        <v>Mid Level</v>
      </c>
      <c r="P861" t="str">
        <f t="shared" si="173"/>
        <v>Low</v>
      </c>
      <c r="Q861" t="str">
        <f t="shared" si="174"/>
        <v>Advanced</v>
      </c>
      <c r="R861" t="str">
        <f t="shared" si="175"/>
        <v>Good</v>
      </c>
      <c r="S861" t="str">
        <f t="shared" si="176"/>
        <v>Not Hired</v>
      </c>
      <c r="T861">
        <f t="shared" si="177"/>
        <v>53</v>
      </c>
      <c r="U861" t="str">
        <f t="shared" si="178"/>
        <v>Developing</v>
      </c>
      <c r="V861" t="str">
        <f t="shared" si="179"/>
        <v>Technical Skills</v>
      </c>
      <c r="W861" t="str">
        <f t="shared" si="180"/>
        <v>Interview Preparation</v>
      </c>
      <c r="X861" t="str">
        <f t="shared" si="181"/>
        <v>Improve interview preparation and communication</v>
      </c>
    </row>
    <row r="862" spans="1:24" x14ac:dyDescent="0.3">
      <c r="A862">
        <v>47</v>
      </c>
      <c r="B862">
        <v>0</v>
      </c>
      <c r="C862">
        <v>2</v>
      </c>
      <c r="D862">
        <v>6</v>
      </c>
      <c r="E862">
        <v>3</v>
      </c>
      <c r="F862">
        <v>34.216968330284097</v>
      </c>
      <c r="G862">
        <v>50</v>
      </c>
      <c r="H862">
        <v>42</v>
      </c>
      <c r="I862">
        <v>55</v>
      </c>
      <c r="J862">
        <v>2</v>
      </c>
      <c r="K862">
        <v>0</v>
      </c>
      <c r="L862" t="str">
        <f t="shared" si="169"/>
        <v>C861</v>
      </c>
      <c r="M862" t="str">
        <f t="shared" si="170"/>
        <v>Male</v>
      </c>
      <c r="N862" t="str">
        <f t="shared" si="171"/>
        <v>Bachelor's Type 2</v>
      </c>
      <c r="O862" t="str">
        <f t="shared" si="172"/>
        <v>Mid Level</v>
      </c>
      <c r="P862" t="str">
        <f t="shared" si="173"/>
        <v>Average</v>
      </c>
      <c r="Q862" t="str">
        <f t="shared" si="174"/>
        <v>Beginner</v>
      </c>
      <c r="R862" t="str">
        <f t="shared" si="175"/>
        <v>Good</v>
      </c>
      <c r="S862" t="str">
        <f t="shared" si="176"/>
        <v>Not Hired</v>
      </c>
      <c r="T862">
        <f t="shared" si="177"/>
        <v>47</v>
      </c>
      <c r="U862" t="str">
        <f t="shared" si="178"/>
        <v>Needs Improvement</v>
      </c>
      <c r="V862" t="str">
        <f t="shared" si="179"/>
        <v>Personality</v>
      </c>
      <c r="W862" t="str">
        <f t="shared" si="180"/>
        <v>Technical Skills</v>
      </c>
      <c r="X862" t="str">
        <f t="shared" si="181"/>
        <v>Strengthen technical skills and practical knowledge</v>
      </c>
    </row>
    <row r="863" spans="1:24" x14ac:dyDescent="0.3">
      <c r="A863">
        <v>50</v>
      </c>
      <c r="B863">
        <v>1</v>
      </c>
      <c r="C863">
        <v>1</v>
      </c>
      <c r="D863">
        <v>8</v>
      </c>
      <c r="E863">
        <v>5</v>
      </c>
      <c r="F863">
        <v>18.168889478728602</v>
      </c>
      <c r="G863">
        <v>63</v>
      </c>
      <c r="H863">
        <v>61</v>
      </c>
      <c r="I863">
        <v>13</v>
      </c>
      <c r="J863">
        <v>2</v>
      </c>
      <c r="K863">
        <v>0</v>
      </c>
      <c r="L863" t="str">
        <f t="shared" si="169"/>
        <v>C862</v>
      </c>
      <c r="M863" t="str">
        <f t="shared" si="170"/>
        <v>Female</v>
      </c>
      <c r="N863" t="str">
        <f t="shared" si="171"/>
        <v>Bachelor's Type 1</v>
      </c>
      <c r="O863" t="str">
        <f t="shared" si="172"/>
        <v>Senior Level</v>
      </c>
      <c r="P863" t="str">
        <f t="shared" si="173"/>
        <v>Average</v>
      </c>
      <c r="Q863" t="str">
        <f t="shared" si="174"/>
        <v>Intermediate</v>
      </c>
      <c r="R863" t="str">
        <f t="shared" si="175"/>
        <v>Needs Improvement</v>
      </c>
      <c r="S863" t="str">
        <f t="shared" si="176"/>
        <v>Not Hired</v>
      </c>
      <c r="T863">
        <f t="shared" si="177"/>
        <v>50</v>
      </c>
      <c r="U863" t="str">
        <f t="shared" si="178"/>
        <v>Developing</v>
      </c>
      <c r="V863" t="str">
        <f t="shared" si="179"/>
        <v>Interview</v>
      </c>
      <c r="W863" t="str">
        <f t="shared" si="180"/>
        <v>Personality &amp; Communication</v>
      </c>
      <c r="X863" t="str">
        <f t="shared" si="181"/>
        <v>Work on communication and personality development</v>
      </c>
    </row>
    <row r="864" spans="1:24" x14ac:dyDescent="0.3">
      <c r="A864">
        <v>38</v>
      </c>
      <c r="B864">
        <v>1</v>
      </c>
      <c r="C864">
        <v>2</v>
      </c>
      <c r="D864">
        <v>10</v>
      </c>
      <c r="E864">
        <v>3</v>
      </c>
      <c r="F864">
        <v>1.9549599676862901</v>
      </c>
      <c r="G864">
        <v>51</v>
      </c>
      <c r="H864">
        <v>70</v>
      </c>
      <c r="I864">
        <v>5</v>
      </c>
      <c r="J864">
        <v>2</v>
      </c>
      <c r="K864">
        <v>0</v>
      </c>
      <c r="L864" t="str">
        <f t="shared" si="169"/>
        <v>C863</v>
      </c>
      <c r="M864" t="str">
        <f t="shared" si="170"/>
        <v>Female</v>
      </c>
      <c r="N864" t="str">
        <f t="shared" si="171"/>
        <v>Bachelor's Type 2</v>
      </c>
      <c r="O864" t="str">
        <f t="shared" si="172"/>
        <v>Senior Level</v>
      </c>
      <c r="P864" t="str">
        <f t="shared" si="173"/>
        <v>Average</v>
      </c>
      <c r="Q864" t="str">
        <f t="shared" si="174"/>
        <v>Intermediate</v>
      </c>
      <c r="R864" t="str">
        <f t="shared" si="175"/>
        <v>Needs Improvement</v>
      </c>
      <c r="S864" t="str">
        <f t="shared" si="176"/>
        <v>Not Hired</v>
      </c>
      <c r="T864">
        <f t="shared" si="177"/>
        <v>50</v>
      </c>
      <c r="U864" t="str">
        <f t="shared" si="178"/>
        <v>Developing</v>
      </c>
      <c r="V864" t="str">
        <f t="shared" si="179"/>
        <v>Technical Skills</v>
      </c>
      <c r="W864" t="str">
        <f t="shared" si="180"/>
        <v>Personality &amp; Communication</v>
      </c>
      <c r="X864" t="str">
        <f t="shared" si="181"/>
        <v>Work on communication and personality development</v>
      </c>
    </row>
    <row r="865" spans="1:24" x14ac:dyDescent="0.3">
      <c r="A865">
        <v>48</v>
      </c>
      <c r="B865">
        <v>1</v>
      </c>
      <c r="C865">
        <v>2</v>
      </c>
      <c r="D865">
        <v>14</v>
      </c>
      <c r="E865">
        <v>2</v>
      </c>
      <c r="F865">
        <v>35.489562365643302</v>
      </c>
      <c r="G865">
        <v>80</v>
      </c>
      <c r="H865">
        <v>99</v>
      </c>
      <c r="I865">
        <v>94</v>
      </c>
      <c r="J865">
        <v>1</v>
      </c>
      <c r="K865">
        <v>1</v>
      </c>
      <c r="L865" t="str">
        <f t="shared" si="169"/>
        <v>C864</v>
      </c>
      <c r="M865" t="str">
        <f t="shared" si="170"/>
        <v>Female</v>
      </c>
      <c r="N865" t="str">
        <f t="shared" si="171"/>
        <v>Bachelor's Type 2</v>
      </c>
      <c r="O865" t="str">
        <f t="shared" si="172"/>
        <v>Senior Level</v>
      </c>
      <c r="P865" t="str">
        <f t="shared" si="173"/>
        <v>Strong</v>
      </c>
      <c r="Q865" t="str">
        <f t="shared" si="174"/>
        <v>Advanced</v>
      </c>
      <c r="R865" t="str">
        <f t="shared" si="175"/>
        <v>Strong</v>
      </c>
      <c r="S865" t="str">
        <f t="shared" si="176"/>
        <v>Hired</v>
      </c>
      <c r="T865">
        <f t="shared" si="177"/>
        <v>89</v>
      </c>
      <c r="U865" t="str">
        <f t="shared" si="178"/>
        <v>Job Ready</v>
      </c>
      <c r="V865" t="str">
        <f t="shared" si="179"/>
        <v>Technical Skills</v>
      </c>
      <c r="W865" t="str">
        <f t="shared" si="180"/>
        <v>Interview Preparation</v>
      </c>
      <c r="X865" t="str">
        <f t="shared" si="181"/>
        <v>Improve interview preparation and communication</v>
      </c>
    </row>
    <row r="866" spans="1:24" x14ac:dyDescent="0.3">
      <c r="A866">
        <v>31</v>
      </c>
      <c r="B866">
        <v>1</v>
      </c>
      <c r="C866">
        <v>2</v>
      </c>
      <c r="D866">
        <v>8</v>
      </c>
      <c r="E866">
        <v>1</v>
      </c>
      <c r="F866">
        <v>48.274743027974999</v>
      </c>
      <c r="G866">
        <v>37</v>
      </c>
      <c r="H866">
        <v>92</v>
      </c>
      <c r="I866">
        <v>80</v>
      </c>
      <c r="J866">
        <v>3</v>
      </c>
      <c r="K866">
        <v>0</v>
      </c>
      <c r="L866" t="str">
        <f t="shared" si="169"/>
        <v>C865</v>
      </c>
      <c r="M866" t="str">
        <f t="shared" si="170"/>
        <v>Female</v>
      </c>
      <c r="N866" t="str">
        <f t="shared" si="171"/>
        <v>Bachelor's Type 2</v>
      </c>
      <c r="O866" t="str">
        <f t="shared" si="172"/>
        <v>Senior Level</v>
      </c>
      <c r="P866" t="str">
        <f t="shared" si="173"/>
        <v>Low</v>
      </c>
      <c r="Q866" t="str">
        <f t="shared" si="174"/>
        <v>Advanced</v>
      </c>
      <c r="R866" t="str">
        <f t="shared" si="175"/>
        <v>Strong</v>
      </c>
      <c r="S866" t="str">
        <f t="shared" si="176"/>
        <v>Not Hired</v>
      </c>
      <c r="T866">
        <f t="shared" si="177"/>
        <v>65</v>
      </c>
      <c r="U866" t="str">
        <f t="shared" si="178"/>
        <v>Developing</v>
      </c>
      <c r="V866" t="str">
        <f t="shared" si="179"/>
        <v>Technical Skills</v>
      </c>
      <c r="W866" t="str">
        <f t="shared" si="180"/>
        <v>Interview Preparation</v>
      </c>
      <c r="X866" t="str">
        <f t="shared" si="181"/>
        <v>Improve interview preparation and communication</v>
      </c>
    </row>
    <row r="867" spans="1:24" x14ac:dyDescent="0.3">
      <c r="A867">
        <v>41</v>
      </c>
      <c r="B867">
        <v>0</v>
      </c>
      <c r="C867">
        <v>1</v>
      </c>
      <c r="D867">
        <v>8</v>
      </c>
      <c r="E867">
        <v>5</v>
      </c>
      <c r="F867">
        <v>32.606006095782497</v>
      </c>
      <c r="G867">
        <v>99</v>
      </c>
      <c r="H867">
        <v>23</v>
      </c>
      <c r="I867">
        <v>88</v>
      </c>
      <c r="J867">
        <v>2</v>
      </c>
      <c r="K867">
        <v>0</v>
      </c>
      <c r="L867" t="str">
        <f t="shared" si="169"/>
        <v>C866</v>
      </c>
      <c r="M867" t="str">
        <f t="shared" si="170"/>
        <v>Male</v>
      </c>
      <c r="N867" t="str">
        <f t="shared" si="171"/>
        <v>Bachelor's Type 1</v>
      </c>
      <c r="O867" t="str">
        <f t="shared" si="172"/>
        <v>Senior Level</v>
      </c>
      <c r="P867" t="str">
        <f t="shared" si="173"/>
        <v>Strong</v>
      </c>
      <c r="Q867" t="str">
        <f t="shared" si="174"/>
        <v>Beginner</v>
      </c>
      <c r="R867" t="str">
        <f t="shared" si="175"/>
        <v>Strong</v>
      </c>
      <c r="S867" t="str">
        <f t="shared" si="176"/>
        <v>Not Hired</v>
      </c>
      <c r="T867">
        <f t="shared" si="177"/>
        <v>65</v>
      </c>
      <c r="U867" t="str">
        <f t="shared" si="178"/>
        <v>Developing</v>
      </c>
      <c r="V867" t="str">
        <f t="shared" si="179"/>
        <v>Interview</v>
      </c>
      <c r="W867" t="str">
        <f t="shared" si="180"/>
        <v>Technical Skills</v>
      </c>
      <c r="X867" t="str">
        <f t="shared" si="181"/>
        <v>Strengthen technical skills and practical knowledge</v>
      </c>
    </row>
    <row r="868" spans="1:24" x14ac:dyDescent="0.3">
      <c r="A868">
        <v>26</v>
      </c>
      <c r="B868">
        <v>1</v>
      </c>
      <c r="C868">
        <v>2</v>
      </c>
      <c r="D868">
        <v>5</v>
      </c>
      <c r="E868">
        <v>1</v>
      </c>
      <c r="F868">
        <v>22.764636209381699</v>
      </c>
      <c r="G868">
        <v>64</v>
      </c>
      <c r="H868">
        <v>38</v>
      </c>
      <c r="I868">
        <v>60</v>
      </c>
      <c r="J868">
        <v>1</v>
      </c>
      <c r="K868">
        <v>0</v>
      </c>
      <c r="L868" t="str">
        <f t="shared" si="169"/>
        <v>C867</v>
      </c>
      <c r="M868" t="str">
        <f t="shared" si="170"/>
        <v>Female</v>
      </c>
      <c r="N868" t="str">
        <f t="shared" si="171"/>
        <v>Bachelor's Type 2</v>
      </c>
      <c r="O868" t="str">
        <f t="shared" si="172"/>
        <v>Mid Level</v>
      </c>
      <c r="P868" t="str">
        <f t="shared" si="173"/>
        <v>Average</v>
      </c>
      <c r="Q868" t="str">
        <f t="shared" si="174"/>
        <v>Beginner</v>
      </c>
      <c r="R868" t="str">
        <f t="shared" si="175"/>
        <v>Good</v>
      </c>
      <c r="S868" t="str">
        <f t="shared" si="176"/>
        <v>Not Hired</v>
      </c>
      <c r="T868">
        <f t="shared" si="177"/>
        <v>50</v>
      </c>
      <c r="U868" t="str">
        <f t="shared" si="178"/>
        <v>Developing</v>
      </c>
      <c r="V868" t="str">
        <f t="shared" si="179"/>
        <v>Interview</v>
      </c>
      <c r="W868" t="str">
        <f t="shared" si="180"/>
        <v>Technical Skills</v>
      </c>
      <c r="X868" t="str">
        <f t="shared" si="181"/>
        <v>Strengthen technical skills and practical knowledge</v>
      </c>
    </row>
    <row r="869" spans="1:24" x14ac:dyDescent="0.3">
      <c r="A869">
        <v>46</v>
      </c>
      <c r="B869">
        <v>0</v>
      </c>
      <c r="C869">
        <v>1</v>
      </c>
      <c r="D869">
        <v>9</v>
      </c>
      <c r="E869">
        <v>3</v>
      </c>
      <c r="F869">
        <v>27.2576947055814</v>
      </c>
      <c r="G869">
        <v>17</v>
      </c>
      <c r="H869">
        <v>67</v>
      </c>
      <c r="I869">
        <v>95</v>
      </c>
      <c r="J869">
        <v>1</v>
      </c>
      <c r="K869">
        <v>1</v>
      </c>
      <c r="L869" t="str">
        <f t="shared" si="169"/>
        <v>C868</v>
      </c>
      <c r="M869" t="str">
        <f t="shared" si="170"/>
        <v>Male</v>
      </c>
      <c r="N869" t="str">
        <f t="shared" si="171"/>
        <v>Bachelor's Type 1</v>
      </c>
      <c r="O869" t="str">
        <f t="shared" si="172"/>
        <v>Senior Level</v>
      </c>
      <c r="P869" t="str">
        <f t="shared" si="173"/>
        <v>Low</v>
      </c>
      <c r="Q869" t="str">
        <f t="shared" si="174"/>
        <v>Intermediate</v>
      </c>
      <c r="R869" t="str">
        <f t="shared" si="175"/>
        <v>Strong</v>
      </c>
      <c r="S869" t="str">
        <f t="shared" si="176"/>
        <v>Hired</v>
      </c>
      <c r="T869">
        <f t="shared" si="177"/>
        <v>56</v>
      </c>
      <c r="U869" t="str">
        <f t="shared" si="178"/>
        <v>Developing</v>
      </c>
      <c r="V869" t="str">
        <f t="shared" si="179"/>
        <v>Personality</v>
      </c>
      <c r="W869" t="str">
        <f t="shared" si="180"/>
        <v>Interview Preparation</v>
      </c>
      <c r="X869" t="str">
        <f t="shared" si="181"/>
        <v>Improve interview preparation and communication</v>
      </c>
    </row>
    <row r="870" spans="1:24" x14ac:dyDescent="0.3">
      <c r="A870">
        <v>29</v>
      </c>
      <c r="B870">
        <v>0</v>
      </c>
      <c r="C870">
        <v>3</v>
      </c>
      <c r="D870">
        <v>5</v>
      </c>
      <c r="E870">
        <v>5</v>
      </c>
      <c r="F870">
        <v>10.9814403829958</v>
      </c>
      <c r="G870">
        <v>62</v>
      </c>
      <c r="H870">
        <v>92</v>
      </c>
      <c r="I870">
        <v>11</v>
      </c>
      <c r="J870">
        <v>1</v>
      </c>
      <c r="K870">
        <v>1</v>
      </c>
      <c r="L870" t="str">
        <f t="shared" si="169"/>
        <v>C869</v>
      </c>
      <c r="M870" t="str">
        <f t="shared" si="170"/>
        <v>Male</v>
      </c>
      <c r="N870" t="str">
        <f t="shared" si="171"/>
        <v>Master's</v>
      </c>
      <c r="O870" t="str">
        <f t="shared" si="172"/>
        <v>Mid Level</v>
      </c>
      <c r="P870" t="str">
        <f t="shared" si="173"/>
        <v>Average</v>
      </c>
      <c r="Q870" t="str">
        <f t="shared" si="174"/>
        <v>Advanced</v>
      </c>
      <c r="R870" t="str">
        <f t="shared" si="175"/>
        <v>Needs Improvement</v>
      </c>
      <c r="S870" t="str">
        <f t="shared" si="176"/>
        <v>Hired</v>
      </c>
      <c r="T870">
        <f t="shared" si="177"/>
        <v>57</v>
      </c>
      <c r="U870" t="str">
        <f t="shared" si="178"/>
        <v>Developing</v>
      </c>
      <c r="V870" t="str">
        <f t="shared" si="179"/>
        <v>Technical Skills</v>
      </c>
      <c r="W870" t="str">
        <f t="shared" si="180"/>
        <v>Personality &amp; Communication</v>
      </c>
      <c r="X870" t="str">
        <f t="shared" si="181"/>
        <v>Work on communication and personality development</v>
      </c>
    </row>
    <row r="871" spans="1:24" x14ac:dyDescent="0.3">
      <c r="A871">
        <v>45</v>
      </c>
      <c r="B871">
        <v>0</v>
      </c>
      <c r="C871">
        <v>4</v>
      </c>
      <c r="D871">
        <v>2</v>
      </c>
      <c r="E871">
        <v>4</v>
      </c>
      <c r="F871">
        <v>38.527208187686803</v>
      </c>
      <c r="G871">
        <v>50</v>
      </c>
      <c r="H871">
        <v>43</v>
      </c>
      <c r="I871">
        <v>12</v>
      </c>
      <c r="J871">
        <v>2</v>
      </c>
      <c r="K871">
        <v>0</v>
      </c>
      <c r="L871" t="str">
        <f t="shared" si="169"/>
        <v>C870</v>
      </c>
      <c r="M871" t="str">
        <f t="shared" si="170"/>
        <v>Male</v>
      </c>
      <c r="N871" t="str">
        <f t="shared" si="171"/>
        <v>PhD</v>
      </c>
      <c r="O871" t="str">
        <f t="shared" si="172"/>
        <v>Entry Level</v>
      </c>
      <c r="P871" t="str">
        <f t="shared" si="173"/>
        <v>Average</v>
      </c>
      <c r="Q871" t="str">
        <f t="shared" si="174"/>
        <v>Beginner</v>
      </c>
      <c r="R871" t="str">
        <f t="shared" si="175"/>
        <v>Needs Improvement</v>
      </c>
      <c r="S871" t="str">
        <f t="shared" si="176"/>
        <v>Not Hired</v>
      </c>
      <c r="T871">
        <f t="shared" si="177"/>
        <v>37</v>
      </c>
      <c r="U871" t="str">
        <f t="shared" si="178"/>
        <v>Needs Improvement</v>
      </c>
      <c r="V871" t="str">
        <f t="shared" si="179"/>
        <v>Interview</v>
      </c>
      <c r="W871" t="str">
        <f t="shared" si="180"/>
        <v>Personality &amp; Communication</v>
      </c>
      <c r="X871" t="str">
        <f t="shared" si="181"/>
        <v>Work on communication and personality development</v>
      </c>
    </row>
    <row r="872" spans="1:24" x14ac:dyDescent="0.3">
      <c r="A872">
        <v>38</v>
      </c>
      <c r="B872">
        <v>0</v>
      </c>
      <c r="C872">
        <v>2</v>
      </c>
      <c r="D872">
        <v>0</v>
      </c>
      <c r="E872">
        <v>2</v>
      </c>
      <c r="F872">
        <v>38.320991500492397</v>
      </c>
      <c r="G872">
        <v>8</v>
      </c>
      <c r="H872">
        <v>4</v>
      </c>
      <c r="I872">
        <v>18</v>
      </c>
      <c r="J872">
        <v>1</v>
      </c>
      <c r="K872">
        <v>0</v>
      </c>
      <c r="L872" t="str">
        <f t="shared" si="169"/>
        <v>C871</v>
      </c>
      <c r="M872" t="str">
        <f t="shared" si="170"/>
        <v>Male</v>
      </c>
      <c r="N872" t="str">
        <f t="shared" si="171"/>
        <v>Bachelor's Type 2</v>
      </c>
      <c r="O872" t="str">
        <f t="shared" si="172"/>
        <v>Entry Level</v>
      </c>
      <c r="P872" t="str">
        <f t="shared" si="173"/>
        <v>Low</v>
      </c>
      <c r="Q872" t="str">
        <f t="shared" si="174"/>
        <v>Beginner</v>
      </c>
      <c r="R872" t="str">
        <f t="shared" si="175"/>
        <v>Needs Improvement</v>
      </c>
      <c r="S872" t="str">
        <f t="shared" si="176"/>
        <v>Not Hired</v>
      </c>
      <c r="T872">
        <f t="shared" si="177"/>
        <v>10</v>
      </c>
      <c r="U872" t="str">
        <f t="shared" si="178"/>
        <v>Needs Improvement</v>
      </c>
      <c r="V872" t="str">
        <f t="shared" si="179"/>
        <v>Personality</v>
      </c>
      <c r="W872" t="str">
        <f t="shared" si="180"/>
        <v>Technical Skills</v>
      </c>
      <c r="X872" t="str">
        <f t="shared" si="181"/>
        <v>Strengthen technical skills and practical knowledge</v>
      </c>
    </row>
    <row r="873" spans="1:24" x14ac:dyDescent="0.3">
      <c r="A873">
        <v>26</v>
      </c>
      <c r="B873">
        <v>0</v>
      </c>
      <c r="C873">
        <v>2</v>
      </c>
      <c r="D873">
        <v>15</v>
      </c>
      <c r="E873">
        <v>3</v>
      </c>
      <c r="F873">
        <v>8.2758650193712402</v>
      </c>
      <c r="G873">
        <v>12</v>
      </c>
      <c r="H873">
        <v>54</v>
      </c>
      <c r="I873">
        <v>43</v>
      </c>
      <c r="J873">
        <v>1</v>
      </c>
      <c r="K873">
        <v>1</v>
      </c>
      <c r="L873" t="str">
        <f t="shared" si="169"/>
        <v>C872</v>
      </c>
      <c r="M873" t="str">
        <f t="shared" si="170"/>
        <v>Male</v>
      </c>
      <c r="N873" t="str">
        <f t="shared" si="171"/>
        <v>Bachelor's Type 2</v>
      </c>
      <c r="O873" t="str">
        <f t="shared" si="172"/>
        <v>Senior Level</v>
      </c>
      <c r="P873" t="str">
        <f t="shared" si="173"/>
        <v>Low</v>
      </c>
      <c r="Q873" t="str">
        <f t="shared" si="174"/>
        <v>Intermediate</v>
      </c>
      <c r="R873" t="str">
        <f t="shared" si="175"/>
        <v>Needs Improvement</v>
      </c>
      <c r="S873" t="str">
        <f t="shared" si="176"/>
        <v>Hired</v>
      </c>
      <c r="T873">
        <f t="shared" si="177"/>
        <v>46</v>
      </c>
      <c r="U873" t="str">
        <f t="shared" si="178"/>
        <v>Needs Improvement</v>
      </c>
      <c r="V873" t="str">
        <f t="shared" si="179"/>
        <v>Technical Skills</v>
      </c>
      <c r="W873" t="str">
        <f t="shared" si="180"/>
        <v>Interview Preparation</v>
      </c>
      <c r="X873" t="str">
        <f t="shared" si="181"/>
        <v>Improve interview preparation and communication</v>
      </c>
    </row>
    <row r="874" spans="1:24" x14ac:dyDescent="0.3">
      <c r="A874">
        <v>49</v>
      </c>
      <c r="B874">
        <v>0</v>
      </c>
      <c r="C874">
        <v>2</v>
      </c>
      <c r="D874">
        <v>6</v>
      </c>
      <c r="E874">
        <v>3</v>
      </c>
      <c r="F874">
        <v>44.898919124982903</v>
      </c>
      <c r="G874">
        <v>39</v>
      </c>
      <c r="H874">
        <v>92</v>
      </c>
      <c r="I874">
        <v>88</v>
      </c>
      <c r="J874">
        <v>2</v>
      </c>
      <c r="K874">
        <v>0</v>
      </c>
      <c r="L874" t="str">
        <f t="shared" si="169"/>
        <v>C873</v>
      </c>
      <c r="M874" t="str">
        <f t="shared" si="170"/>
        <v>Male</v>
      </c>
      <c r="N874" t="str">
        <f t="shared" si="171"/>
        <v>Bachelor's Type 2</v>
      </c>
      <c r="O874" t="str">
        <f t="shared" si="172"/>
        <v>Mid Level</v>
      </c>
      <c r="P874" t="str">
        <f t="shared" si="173"/>
        <v>Low</v>
      </c>
      <c r="Q874" t="str">
        <f t="shared" si="174"/>
        <v>Advanced</v>
      </c>
      <c r="R874" t="str">
        <f t="shared" si="175"/>
        <v>Strong</v>
      </c>
      <c r="S874" t="str">
        <f t="shared" si="176"/>
        <v>Not Hired</v>
      </c>
      <c r="T874">
        <f t="shared" si="177"/>
        <v>65</v>
      </c>
      <c r="U874" t="str">
        <f t="shared" si="178"/>
        <v>Developing</v>
      </c>
      <c r="V874" t="str">
        <f t="shared" si="179"/>
        <v>Technical Skills</v>
      </c>
      <c r="W874" t="str">
        <f t="shared" si="180"/>
        <v>Interview Preparation</v>
      </c>
      <c r="X874" t="str">
        <f t="shared" si="181"/>
        <v>Improve interview preparation and communication</v>
      </c>
    </row>
    <row r="875" spans="1:24" x14ac:dyDescent="0.3">
      <c r="A875">
        <v>22</v>
      </c>
      <c r="B875">
        <v>0</v>
      </c>
      <c r="C875">
        <v>1</v>
      </c>
      <c r="D875">
        <v>3</v>
      </c>
      <c r="E875">
        <v>2</v>
      </c>
      <c r="F875">
        <v>14.4594869736652</v>
      </c>
      <c r="G875">
        <v>54</v>
      </c>
      <c r="H875">
        <v>29</v>
      </c>
      <c r="I875">
        <v>94</v>
      </c>
      <c r="J875">
        <v>2</v>
      </c>
      <c r="K875">
        <v>0</v>
      </c>
      <c r="L875" t="str">
        <f t="shared" si="169"/>
        <v>C874</v>
      </c>
      <c r="M875" t="str">
        <f t="shared" si="170"/>
        <v>Male</v>
      </c>
      <c r="N875" t="str">
        <f t="shared" si="171"/>
        <v>Bachelor's Type 1</v>
      </c>
      <c r="O875" t="str">
        <f t="shared" si="172"/>
        <v>Mid Level</v>
      </c>
      <c r="P875" t="str">
        <f t="shared" si="173"/>
        <v>Average</v>
      </c>
      <c r="Q875" t="str">
        <f t="shared" si="174"/>
        <v>Beginner</v>
      </c>
      <c r="R875" t="str">
        <f t="shared" si="175"/>
        <v>Strong</v>
      </c>
      <c r="S875" t="str">
        <f t="shared" si="176"/>
        <v>Not Hired</v>
      </c>
      <c r="T875">
        <f t="shared" si="177"/>
        <v>49</v>
      </c>
      <c r="U875" t="str">
        <f t="shared" si="178"/>
        <v>Needs Improvement</v>
      </c>
      <c r="V875" t="str">
        <f t="shared" si="179"/>
        <v>Personality</v>
      </c>
      <c r="W875" t="str">
        <f t="shared" si="180"/>
        <v>Technical Skills</v>
      </c>
      <c r="X875" t="str">
        <f t="shared" si="181"/>
        <v>Strengthen technical skills and practical knowledge</v>
      </c>
    </row>
    <row r="876" spans="1:24" x14ac:dyDescent="0.3">
      <c r="A876">
        <v>32</v>
      </c>
      <c r="B876">
        <v>0</v>
      </c>
      <c r="C876">
        <v>2</v>
      </c>
      <c r="D876">
        <v>0</v>
      </c>
      <c r="E876">
        <v>2</v>
      </c>
      <c r="F876">
        <v>50.112803046830699</v>
      </c>
      <c r="G876">
        <v>78</v>
      </c>
      <c r="H876">
        <v>28</v>
      </c>
      <c r="I876">
        <v>58</v>
      </c>
      <c r="J876">
        <v>1</v>
      </c>
      <c r="K876">
        <v>0</v>
      </c>
      <c r="L876" t="str">
        <f t="shared" si="169"/>
        <v>C875</v>
      </c>
      <c r="M876" t="str">
        <f t="shared" si="170"/>
        <v>Male</v>
      </c>
      <c r="N876" t="str">
        <f t="shared" si="171"/>
        <v>Bachelor's Type 2</v>
      </c>
      <c r="O876" t="str">
        <f t="shared" si="172"/>
        <v>Entry Level</v>
      </c>
      <c r="P876" t="str">
        <f t="shared" si="173"/>
        <v>Strong</v>
      </c>
      <c r="Q876" t="str">
        <f t="shared" si="174"/>
        <v>Beginner</v>
      </c>
      <c r="R876" t="str">
        <f t="shared" si="175"/>
        <v>Good</v>
      </c>
      <c r="S876" t="str">
        <f t="shared" si="176"/>
        <v>Not Hired</v>
      </c>
      <c r="T876">
        <f t="shared" si="177"/>
        <v>46</v>
      </c>
      <c r="U876" t="str">
        <f t="shared" si="178"/>
        <v>Needs Improvement</v>
      </c>
      <c r="V876" t="str">
        <f t="shared" si="179"/>
        <v>Interview</v>
      </c>
      <c r="W876" t="str">
        <f t="shared" si="180"/>
        <v>Technical Skills</v>
      </c>
      <c r="X876" t="str">
        <f t="shared" si="181"/>
        <v>Strengthen technical skills and practical knowledge</v>
      </c>
    </row>
    <row r="877" spans="1:24" x14ac:dyDescent="0.3">
      <c r="A877">
        <v>32</v>
      </c>
      <c r="B877">
        <v>0</v>
      </c>
      <c r="C877">
        <v>3</v>
      </c>
      <c r="D877">
        <v>14</v>
      </c>
      <c r="E877">
        <v>4</v>
      </c>
      <c r="F877">
        <v>20.1451507018622</v>
      </c>
      <c r="G877">
        <v>42</v>
      </c>
      <c r="H877">
        <v>25</v>
      </c>
      <c r="I877">
        <v>36</v>
      </c>
      <c r="J877">
        <v>2</v>
      </c>
      <c r="K877">
        <v>0</v>
      </c>
      <c r="L877" t="str">
        <f t="shared" si="169"/>
        <v>C876</v>
      </c>
      <c r="M877" t="str">
        <f t="shared" si="170"/>
        <v>Male</v>
      </c>
      <c r="N877" t="str">
        <f t="shared" si="171"/>
        <v>Master's</v>
      </c>
      <c r="O877" t="str">
        <f t="shared" si="172"/>
        <v>Senior Level</v>
      </c>
      <c r="P877" t="str">
        <f t="shared" si="173"/>
        <v>Low</v>
      </c>
      <c r="Q877" t="str">
        <f t="shared" si="174"/>
        <v>Beginner</v>
      </c>
      <c r="R877" t="str">
        <f t="shared" si="175"/>
        <v>Needs Improvement</v>
      </c>
      <c r="S877" t="str">
        <f t="shared" si="176"/>
        <v>Not Hired</v>
      </c>
      <c r="T877">
        <f t="shared" si="177"/>
        <v>45</v>
      </c>
      <c r="U877" t="str">
        <f t="shared" si="178"/>
        <v>Needs Improvement</v>
      </c>
      <c r="V877" t="str">
        <f t="shared" si="179"/>
        <v>Interview</v>
      </c>
      <c r="W877" t="str">
        <f t="shared" si="180"/>
        <v>Technical Skills</v>
      </c>
      <c r="X877" t="str">
        <f t="shared" si="181"/>
        <v>Strengthen technical skills and practical knowledge</v>
      </c>
    </row>
    <row r="878" spans="1:24" x14ac:dyDescent="0.3">
      <c r="A878">
        <v>37</v>
      </c>
      <c r="B878">
        <v>0</v>
      </c>
      <c r="C878">
        <v>2</v>
      </c>
      <c r="D878">
        <v>7</v>
      </c>
      <c r="E878">
        <v>3</v>
      </c>
      <c r="F878">
        <v>9.8942029367249802</v>
      </c>
      <c r="G878">
        <v>43</v>
      </c>
      <c r="H878">
        <v>82</v>
      </c>
      <c r="I878">
        <v>24</v>
      </c>
      <c r="J878">
        <v>2</v>
      </c>
      <c r="K878">
        <v>0</v>
      </c>
      <c r="L878" t="str">
        <f t="shared" si="169"/>
        <v>C877</v>
      </c>
      <c r="M878" t="str">
        <f t="shared" si="170"/>
        <v>Male</v>
      </c>
      <c r="N878" t="str">
        <f t="shared" si="171"/>
        <v>Bachelor's Type 2</v>
      </c>
      <c r="O878" t="str">
        <f t="shared" si="172"/>
        <v>Senior Level</v>
      </c>
      <c r="P878" t="str">
        <f t="shared" si="173"/>
        <v>Low</v>
      </c>
      <c r="Q878" t="str">
        <f t="shared" si="174"/>
        <v>Advanced</v>
      </c>
      <c r="R878" t="str">
        <f t="shared" si="175"/>
        <v>Needs Improvement</v>
      </c>
      <c r="S878" t="str">
        <f t="shared" si="176"/>
        <v>Not Hired</v>
      </c>
      <c r="T878">
        <f t="shared" si="177"/>
        <v>52</v>
      </c>
      <c r="U878" t="str">
        <f t="shared" si="178"/>
        <v>Developing</v>
      </c>
      <c r="V878" t="str">
        <f t="shared" si="179"/>
        <v>Technical Skills</v>
      </c>
      <c r="W878" t="str">
        <f t="shared" si="180"/>
        <v>Personality &amp; Communication</v>
      </c>
      <c r="X878" t="str">
        <f t="shared" si="181"/>
        <v>Work on communication and personality development</v>
      </c>
    </row>
    <row r="879" spans="1:24" x14ac:dyDescent="0.3">
      <c r="A879">
        <v>47</v>
      </c>
      <c r="B879">
        <v>1</v>
      </c>
      <c r="C879">
        <v>1</v>
      </c>
      <c r="D879">
        <v>11</v>
      </c>
      <c r="E879">
        <v>3</v>
      </c>
      <c r="F879">
        <v>18.586005567282601</v>
      </c>
      <c r="G879">
        <v>67</v>
      </c>
      <c r="H879">
        <v>25</v>
      </c>
      <c r="I879">
        <v>15</v>
      </c>
      <c r="J879">
        <v>3</v>
      </c>
      <c r="K879">
        <v>0</v>
      </c>
      <c r="L879" t="str">
        <f t="shared" si="169"/>
        <v>C878</v>
      </c>
      <c r="M879" t="str">
        <f t="shared" si="170"/>
        <v>Female</v>
      </c>
      <c r="N879" t="str">
        <f t="shared" si="171"/>
        <v>Bachelor's Type 1</v>
      </c>
      <c r="O879" t="str">
        <f t="shared" si="172"/>
        <v>Senior Level</v>
      </c>
      <c r="P879" t="str">
        <f t="shared" si="173"/>
        <v>Average</v>
      </c>
      <c r="Q879" t="str">
        <f t="shared" si="174"/>
        <v>Beginner</v>
      </c>
      <c r="R879" t="str">
        <f t="shared" si="175"/>
        <v>Needs Improvement</v>
      </c>
      <c r="S879" t="str">
        <f t="shared" si="176"/>
        <v>Not Hired</v>
      </c>
      <c r="T879">
        <f t="shared" si="177"/>
        <v>44</v>
      </c>
      <c r="U879" t="str">
        <f t="shared" si="178"/>
        <v>Needs Improvement</v>
      </c>
      <c r="V879" t="str">
        <f t="shared" si="179"/>
        <v>Interview</v>
      </c>
      <c r="W879" t="str">
        <f t="shared" si="180"/>
        <v>Personality &amp; Communication</v>
      </c>
      <c r="X879" t="str">
        <f t="shared" si="181"/>
        <v>Work on communication and personality development</v>
      </c>
    </row>
    <row r="880" spans="1:24" x14ac:dyDescent="0.3">
      <c r="A880">
        <v>49</v>
      </c>
      <c r="B880">
        <v>1</v>
      </c>
      <c r="C880">
        <v>3</v>
      </c>
      <c r="D880">
        <v>5</v>
      </c>
      <c r="E880">
        <v>1</v>
      </c>
      <c r="F880">
        <v>23.0090164348596</v>
      </c>
      <c r="G880">
        <v>32</v>
      </c>
      <c r="H880">
        <v>36</v>
      </c>
      <c r="I880">
        <v>37</v>
      </c>
      <c r="J880">
        <v>2</v>
      </c>
      <c r="K880">
        <v>0</v>
      </c>
      <c r="L880" t="str">
        <f t="shared" si="169"/>
        <v>C879</v>
      </c>
      <c r="M880" t="str">
        <f t="shared" si="170"/>
        <v>Female</v>
      </c>
      <c r="N880" t="str">
        <f t="shared" si="171"/>
        <v>Master's</v>
      </c>
      <c r="O880" t="str">
        <f t="shared" si="172"/>
        <v>Mid Level</v>
      </c>
      <c r="P880" t="str">
        <f t="shared" si="173"/>
        <v>Low</v>
      </c>
      <c r="Q880" t="str">
        <f t="shared" si="174"/>
        <v>Beginner</v>
      </c>
      <c r="R880" t="str">
        <f t="shared" si="175"/>
        <v>Needs Improvement</v>
      </c>
      <c r="S880" t="str">
        <f t="shared" si="176"/>
        <v>Not Hired</v>
      </c>
      <c r="T880">
        <f t="shared" si="177"/>
        <v>37</v>
      </c>
      <c r="U880" t="str">
        <f t="shared" si="178"/>
        <v>Needs Improvement</v>
      </c>
      <c r="V880" t="str">
        <f t="shared" si="179"/>
        <v>Personality</v>
      </c>
      <c r="W880" t="str">
        <f t="shared" si="180"/>
        <v>Interview Preparation</v>
      </c>
      <c r="X880" t="str">
        <f t="shared" si="181"/>
        <v>Improve interview preparation and communication</v>
      </c>
    </row>
    <row r="881" spans="1:24" x14ac:dyDescent="0.3">
      <c r="A881">
        <v>45</v>
      </c>
      <c r="B881">
        <v>1</v>
      </c>
      <c r="C881">
        <v>2</v>
      </c>
      <c r="D881">
        <v>5</v>
      </c>
      <c r="E881">
        <v>5</v>
      </c>
      <c r="F881">
        <v>4.4653886519147399</v>
      </c>
      <c r="G881">
        <v>23</v>
      </c>
      <c r="H881">
        <v>90</v>
      </c>
      <c r="I881">
        <v>42</v>
      </c>
      <c r="J881">
        <v>1</v>
      </c>
      <c r="K881">
        <v>0</v>
      </c>
      <c r="L881" t="str">
        <f t="shared" si="169"/>
        <v>C880</v>
      </c>
      <c r="M881" t="str">
        <f t="shared" si="170"/>
        <v>Female</v>
      </c>
      <c r="N881" t="str">
        <f t="shared" si="171"/>
        <v>Bachelor's Type 2</v>
      </c>
      <c r="O881" t="str">
        <f t="shared" si="172"/>
        <v>Mid Level</v>
      </c>
      <c r="P881" t="str">
        <f t="shared" si="173"/>
        <v>Low</v>
      </c>
      <c r="Q881" t="str">
        <f t="shared" si="174"/>
        <v>Advanced</v>
      </c>
      <c r="R881" t="str">
        <f t="shared" si="175"/>
        <v>Needs Improvement</v>
      </c>
      <c r="S881" t="str">
        <f t="shared" si="176"/>
        <v>Not Hired</v>
      </c>
      <c r="T881">
        <f t="shared" si="177"/>
        <v>50</v>
      </c>
      <c r="U881" t="str">
        <f t="shared" si="178"/>
        <v>Developing</v>
      </c>
      <c r="V881" t="str">
        <f t="shared" si="179"/>
        <v>Technical Skills</v>
      </c>
      <c r="W881" t="str">
        <f t="shared" si="180"/>
        <v>Interview Preparation</v>
      </c>
      <c r="X881" t="str">
        <f t="shared" si="181"/>
        <v>Improve interview preparation and communication</v>
      </c>
    </row>
    <row r="882" spans="1:24" x14ac:dyDescent="0.3">
      <c r="A882">
        <v>39</v>
      </c>
      <c r="B882">
        <v>0</v>
      </c>
      <c r="C882">
        <v>3</v>
      </c>
      <c r="D882">
        <v>1</v>
      </c>
      <c r="E882">
        <v>5</v>
      </c>
      <c r="F882">
        <v>29.9109190611644</v>
      </c>
      <c r="G882">
        <v>35</v>
      </c>
      <c r="H882">
        <v>93</v>
      </c>
      <c r="I882">
        <v>86</v>
      </c>
      <c r="J882">
        <v>2</v>
      </c>
      <c r="K882">
        <v>0</v>
      </c>
      <c r="L882" t="str">
        <f t="shared" si="169"/>
        <v>C881</v>
      </c>
      <c r="M882" t="str">
        <f t="shared" si="170"/>
        <v>Male</v>
      </c>
      <c r="N882" t="str">
        <f t="shared" si="171"/>
        <v>Master's</v>
      </c>
      <c r="O882" t="str">
        <f t="shared" si="172"/>
        <v>Entry Level</v>
      </c>
      <c r="P882" t="str">
        <f t="shared" si="173"/>
        <v>Low</v>
      </c>
      <c r="Q882" t="str">
        <f t="shared" si="174"/>
        <v>Advanced</v>
      </c>
      <c r="R882" t="str">
        <f t="shared" si="175"/>
        <v>Strong</v>
      </c>
      <c r="S882" t="str">
        <f t="shared" si="176"/>
        <v>Not Hired</v>
      </c>
      <c r="T882">
        <f t="shared" si="177"/>
        <v>60</v>
      </c>
      <c r="U882" t="str">
        <f t="shared" si="178"/>
        <v>Developing</v>
      </c>
      <c r="V882" t="str">
        <f t="shared" si="179"/>
        <v>Technical Skills</v>
      </c>
      <c r="W882" t="str">
        <f t="shared" si="180"/>
        <v>Interview Preparation</v>
      </c>
      <c r="X882" t="str">
        <f t="shared" si="181"/>
        <v>Improve interview preparation and communication</v>
      </c>
    </row>
    <row r="883" spans="1:24" x14ac:dyDescent="0.3">
      <c r="A883">
        <v>47</v>
      </c>
      <c r="B883">
        <v>1</v>
      </c>
      <c r="C883">
        <v>2</v>
      </c>
      <c r="D883">
        <v>14</v>
      </c>
      <c r="E883">
        <v>1</v>
      </c>
      <c r="F883">
        <v>30.881621993444998</v>
      </c>
      <c r="G883">
        <v>9</v>
      </c>
      <c r="H883">
        <v>52</v>
      </c>
      <c r="I883">
        <v>13</v>
      </c>
      <c r="J883">
        <v>2</v>
      </c>
      <c r="K883">
        <v>0</v>
      </c>
      <c r="L883" t="str">
        <f t="shared" si="169"/>
        <v>C882</v>
      </c>
      <c r="M883" t="str">
        <f t="shared" si="170"/>
        <v>Female</v>
      </c>
      <c r="N883" t="str">
        <f t="shared" si="171"/>
        <v>Bachelor's Type 2</v>
      </c>
      <c r="O883" t="str">
        <f t="shared" si="172"/>
        <v>Senior Level</v>
      </c>
      <c r="P883" t="str">
        <f t="shared" si="173"/>
        <v>Low</v>
      </c>
      <c r="Q883" t="str">
        <f t="shared" si="174"/>
        <v>Intermediate</v>
      </c>
      <c r="R883" t="str">
        <f t="shared" si="175"/>
        <v>Needs Improvement</v>
      </c>
      <c r="S883" t="str">
        <f t="shared" si="176"/>
        <v>Not Hired</v>
      </c>
      <c r="T883">
        <f t="shared" si="177"/>
        <v>37</v>
      </c>
      <c r="U883" t="str">
        <f t="shared" si="178"/>
        <v>Needs Improvement</v>
      </c>
      <c r="V883" t="str">
        <f t="shared" si="179"/>
        <v>Technical Skills</v>
      </c>
      <c r="W883" t="str">
        <f t="shared" si="180"/>
        <v>Interview Preparation</v>
      </c>
      <c r="X883" t="str">
        <f t="shared" si="181"/>
        <v>Improve interview preparation and communication</v>
      </c>
    </row>
    <row r="884" spans="1:24" x14ac:dyDescent="0.3">
      <c r="A884">
        <v>27</v>
      </c>
      <c r="B884">
        <v>1</v>
      </c>
      <c r="C884">
        <v>2</v>
      </c>
      <c r="D884">
        <v>0</v>
      </c>
      <c r="E884">
        <v>5</v>
      </c>
      <c r="F884">
        <v>37.946522767473603</v>
      </c>
      <c r="G884">
        <v>99</v>
      </c>
      <c r="H884">
        <v>29</v>
      </c>
      <c r="I884">
        <v>5</v>
      </c>
      <c r="J884">
        <v>1</v>
      </c>
      <c r="K884">
        <v>0</v>
      </c>
      <c r="L884" t="str">
        <f t="shared" si="169"/>
        <v>C883</v>
      </c>
      <c r="M884" t="str">
        <f t="shared" si="170"/>
        <v>Female</v>
      </c>
      <c r="N884" t="str">
        <f t="shared" si="171"/>
        <v>Bachelor's Type 2</v>
      </c>
      <c r="O884" t="str">
        <f t="shared" si="172"/>
        <v>Entry Level</v>
      </c>
      <c r="P884" t="str">
        <f t="shared" si="173"/>
        <v>Strong</v>
      </c>
      <c r="Q884" t="str">
        <f t="shared" si="174"/>
        <v>Beginner</v>
      </c>
      <c r="R884" t="str">
        <f t="shared" si="175"/>
        <v>Needs Improvement</v>
      </c>
      <c r="S884" t="str">
        <f t="shared" si="176"/>
        <v>Not Hired</v>
      </c>
      <c r="T884">
        <f t="shared" si="177"/>
        <v>42</v>
      </c>
      <c r="U884" t="str">
        <f t="shared" si="178"/>
        <v>Needs Improvement</v>
      </c>
      <c r="V884" t="str">
        <f t="shared" si="179"/>
        <v>Interview</v>
      </c>
      <c r="W884" t="str">
        <f t="shared" si="180"/>
        <v>Personality &amp; Communication</v>
      </c>
      <c r="X884" t="str">
        <f t="shared" si="181"/>
        <v>Work on communication and personality development</v>
      </c>
    </row>
    <row r="885" spans="1:24" x14ac:dyDescent="0.3">
      <c r="A885">
        <v>48</v>
      </c>
      <c r="B885">
        <v>1</v>
      </c>
      <c r="C885">
        <v>1</v>
      </c>
      <c r="D885">
        <v>12</v>
      </c>
      <c r="E885">
        <v>2</v>
      </c>
      <c r="F885">
        <v>2.4584946145371598</v>
      </c>
      <c r="G885">
        <v>19</v>
      </c>
      <c r="H885">
        <v>2</v>
      </c>
      <c r="I885">
        <v>88</v>
      </c>
      <c r="J885">
        <v>3</v>
      </c>
      <c r="K885">
        <v>0</v>
      </c>
      <c r="L885" t="str">
        <f t="shared" si="169"/>
        <v>C884</v>
      </c>
      <c r="M885" t="str">
        <f t="shared" si="170"/>
        <v>Female</v>
      </c>
      <c r="N885" t="str">
        <f t="shared" si="171"/>
        <v>Bachelor's Type 1</v>
      </c>
      <c r="O885" t="str">
        <f t="shared" si="172"/>
        <v>Senior Level</v>
      </c>
      <c r="P885" t="str">
        <f t="shared" si="173"/>
        <v>Low</v>
      </c>
      <c r="Q885" t="str">
        <f t="shared" si="174"/>
        <v>Beginner</v>
      </c>
      <c r="R885" t="str">
        <f t="shared" si="175"/>
        <v>Strong</v>
      </c>
      <c r="S885" t="str">
        <f t="shared" si="176"/>
        <v>Not Hired</v>
      </c>
      <c r="T885">
        <f t="shared" si="177"/>
        <v>38</v>
      </c>
      <c r="U885" t="str">
        <f t="shared" si="178"/>
        <v>Needs Improvement</v>
      </c>
      <c r="V885" t="str">
        <f t="shared" si="179"/>
        <v>Personality</v>
      </c>
      <c r="W885" t="str">
        <f t="shared" si="180"/>
        <v>Technical Skills</v>
      </c>
      <c r="X885" t="str">
        <f t="shared" si="181"/>
        <v>Strengthen technical skills and practical knowledge</v>
      </c>
    </row>
    <row r="886" spans="1:24" x14ac:dyDescent="0.3">
      <c r="A886">
        <v>50</v>
      </c>
      <c r="B886">
        <v>0</v>
      </c>
      <c r="C886">
        <v>1</v>
      </c>
      <c r="D886">
        <v>13</v>
      </c>
      <c r="E886">
        <v>5</v>
      </c>
      <c r="F886">
        <v>28.0619107216915</v>
      </c>
      <c r="G886">
        <v>74</v>
      </c>
      <c r="H886">
        <v>42</v>
      </c>
      <c r="I886">
        <v>22</v>
      </c>
      <c r="J886">
        <v>2</v>
      </c>
      <c r="K886">
        <v>0</v>
      </c>
      <c r="L886" t="str">
        <f t="shared" si="169"/>
        <v>C885</v>
      </c>
      <c r="M886" t="str">
        <f t="shared" si="170"/>
        <v>Male</v>
      </c>
      <c r="N886" t="str">
        <f t="shared" si="171"/>
        <v>Bachelor's Type 1</v>
      </c>
      <c r="O886" t="str">
        <f t="shared" si="172"/>
        <v>Senior Level</v>
      </c>
      <c r="P886" t="str">
        <f t="shared" si="173"/>
        <v>Average</v>
      </c>
      <c r="Q886" t="str">
        <f t="shared" si="174"/>
        <v>Beginner</v>
      </c>
      <c r="R886" t="str">
        <f t="shared" si="175"/>
        <v>Needs Improvement</v>
      </c>
      <c r="S886" t="str">
        <f t="shared" si="176"/>
        <v>Not Hired</v>
      </c>
      <c r="T886">
        <f t="shared" si="177"/>
        <v>55</v>
      </c>
      <c r="U886" t="str">
        <f t="shared" si="178"/>
        <v>Developing</v>
      </c>
      <c r="V886" t="str">
        <f t="shared" si="179"/>
        <v>Interview</v>
      </c>
      <c r="W886" t="str">
        <f t="shared" si="180"/>
        <v>Personality &amp; Communication</v>
      </c>
      <c r="X886" t="str">
        <f t="shared" si="181"/>
        <v>Work on communication and personality development</v>
      </c>
    </row>
    <row r="887" spans="1:24" x14ac:dyDescent="0.3">
      <c r="A887">
        <v>28</v>
      </c>
      <c r="B887">
        <v>0</v>
      </c>
      <c r="C887">
        <v>4</v>
      </c>
      <c r="D887">
        <v>13</v>
      </c>
      <c r="E887">
        <v>5</v>
      </c>
      <c r="F887">
        <v>3.6453716635332101</v>
      </c>
      <c r="G887">
        <v>11</v>
      </c>
      <c r="H887">
        <v>6</v>
      </c>
      <c r="I887">
        <v>59</v>
      </c>
      <c r="J887">
        <v>3</v>
      </c>
      <c r="K887">
        <v>0</v>
      </c>
      <c r="L887" t="str">
        <f t="shared" si="169"/>
        <v>C886</v>
      </c>
      <c r="M887" t="str">
        <f t="shared" si="170"/>
        <v>Male</v>
      </c>
      <c r="N887" t="str">
        <f t="shared" si="171"/>
        <v>PhD</v>
      </c>
      <c r="O887" t="str">
        <f t="shared" si="172"/>
        <v>Senior Level</v>
      </c>
      <c r="P887" t="str">
        <f t="shared" si="173"/>
        <v>Low</v>
      </c>
      <c r="Q887" t="str">
        <f t="shared" si="174"/>
        <v>Beginner</v>
      </c>
      <c r="R887" t="str">
        <f t="shared" si="175"/>
        <v>Good</v>
      </c>
      <c r="S887" t="str">
        <f t="shared" si="176"/>
        <v>Not Hired</v>
      </c>
      <c r="T887">
        <f t="shared" si="177"/>
        <v>35</v>
      </c>
      <c r="U887" t="str">
        <f t="shared" si="178"/>
        <v>Needs Improvement</v>
      </c>
      <c r="V887" t="str">
        <f t="shared" si="179"/>
        <v>Personality</v>
      </c>
      <c r="W887" t="str">
        <f t="shared" si="180"/>
        <v>Technical Skills</v>
      </c>
      <c r="X887" t="str">
        <f t="shared" si="181"/>
        <v>Strengthen technical skills and practical knowledge</v>
      </c>
    </row>
    <row r="888" spans="1:24" x14ac:dyDescent="0.3">
      <c r="A888">
        <v>26</v>
      </c>
      <c r="B888">
        <v>0</v>
      </c>
      <c r="C888">
        <v>2</v>
      </c>
      <c r="D888">
        <v>1</v>
      </c>
      <c r="E888">
        <v>1</v>
      </c>
      <c r="F888">
        <v>36.0572109983326</v>
      </c>
      <c r="G888">
        <v>61</v>
      </c>
      <c r="H888">
        <v>48</v>
      </c>
      <c r="I888">
        <v>11</v>
      </c>
      <c r="J888">
        <v>2</v>
      </c>
      <c r="K888">
        <v>0</v>
      </c>
      <c r="L888" t="str">
        <f t="shared" si="169"/>
        <v>C887</v>
      </c>
      <c r="M888" t="str">
        <f t="shared" si="170"/>
        <v>Male</v>
      </c>
      <c r="N888" t="str">
        <f t="shared" si="171"/>
        <v>Bachelor's Type 2</v>
      </c>
      <c r="O888" t="str">
        <f t="shared" si="172"/>
        <v>Entry Level</v>
      </c>
      <c r="P888" t="str">
        <f t="shared" si="173"/>
        <v>Average</v>
      </c>
      <c r="Q888" t="str">
        <f t="shared" si="174"/>
        <v>Beginner</v>
      </c>
      <c r="R888" t="str">
        <f t="shared" si="175"/>
        <v>Needs Improvement</v>
      </c>
      <c r="S888" t="str">
        <f t="shared" si="176"/>
        <v>Not Hired</v>
      </c>
      <c r="T888">
        <f t="shared" si="177"/>
        <v>38</v>
      </c>
      <c r="U888" t="str">
        <f t="shared" si="178"/>
        <v>Needs Improvement</v>
      </c>
      <c r="V888" t="str">
        <f t="shared" si="179"/>
        <v>Interview</v>
      </c>
      <c r="W888" t="str">
        <f t="shared" si="180"/>
        <v>Personality &amp; Communication</v>
      </c>
      <c r="X888" t="str">
        <f t="shared" si="181"/>
        <v>Work on communication and personality development</v>
      </c>
    </row>
    <row r="889" spans="1:24" x14ac:dyDescent="0.3">
      <c r="A889">
        <v>20</v>
      </c>
      <c r="B889">
        <v>0</v>
      </c>
      <c r="C889">
        <v>4</v>
      </c>
      <c r="D889">
        <v>3</v>
      </c>
      <c r="E889">
        <v>4</v>
      </c>
      <c r="F889">
        <v>3.7863992850492201</v>
      </c>
      <c r="G889">
        <v>17</v>
      </c>
      <c r="H889">
        <v>72</v>
      </c>
      <c r="I889">
        <v>12</v>
      </c>
      <c r="J889">
        <v>2</v>
      </c>
      <c r="K889">
        <v>0</v>
      </c>
      <c r="L889" t="str">
        <f t="shared" si="169"/>
        <v>C888</v>
      </c>
      <c r="M889" t="str">
        <f t="shared" si="170"/>
        <v>Male</v>
      </c>
      <c r="N889" t="str">
        <f t="shared" si="171"/>
        <v>PhD</v>
      </c>
      <c r="O889" t="str">
        <f t="shared" si="172"/>
        <v>Mid Level</v>
      </c>
      <c r="P889" t="str">
        <f t="shared" si="173"/>
        <v>Low</v>
      </c>
      <c r="Q889" t="str">
        <f t="shared" si="174"/>
        <v>Intermediate</v>
      </c>
      <c r="R889" t="str">
        <f t="shared" si="175"/>
        <v>Needs Improvement</v>
      </c>
      <c r="S889" t="str">
        <f t="shared" si="176"/>
        <v>Not Hired</v>
      </c>
      <c r="T889">
        <f t="shared" si="177"/>
        <v>37</v>
      </c>
      <c r="U889" t="str">
        <f t="shared" si="178"/>
        <v>Needs Improvement</v>
      </c>
      <c r="V889" t="str">
        <f t="shared" si="179"/>
        <v>Technical Skills</v>
      </c>
      <c r="W889" t="str">
        <f t="shared" si="180"/>
        <v>Personality &amp; Communication</v>
      </c>
      <c r="X889" t="str">
        <f t="shared" si="181"/>
        <v>Work on communication and personality development</v>
      </c>
    </row>
    <row r="890" spans="1:24" x14ac:dyDescent="0.3">
      <c r="A890">
        <v>22</v>
      </c>
      <c r="B890">
        <v>1</v>
      </c>
      <c r="C890">
        <v>2</v>
      </c>
      <c r="D890">
        <v>1</v>
      </c>
      <c r="E890">
        <v>5</v>
      </c>
      <c r="F890">
        <v>46.586392417081598</v>
      </c>
      <c r="G890">
        <v>93</v>
      </c>
      <c r="H890">
        <v>40</v>
      </c>
      <c r="I890">
        <v>99</v>
      </c>
      <c r="J890">
        <v>2</v>
      </c>
      <c r="K890">
        <v>0</v>
      </c>
      <c r="L890" t="str">
        <f t="shared" si="169"/>
        <v>C889</v>
      </c>
      <c r="M890" t="str">
        <f t="shared" si="170"/>
        <v>Female</v>
      </c>
      <c r="N890" t="str">
        <f t="shared" si="171"/>
        <v>Bachelor's Type 2</v>
      </c>
      <c r="O890" t="str">
        <f t="shared" si="172"/>
        <v>Entry Level</v>
      </c>
      <c r="P890" t="str">
        <f t="shared" si="173"/>
        <v>Strong</v>
      </c>
      <c r="Q890" t="str">
        <f t="shared" si="174"/>
        <v>Beginner</v>
      </c>
      <c r="R890" t="str">
        <f t="shared" si="175"/>
        <v>Strong</v>
      </c>
      <c r="S890" t="str">
        <f t="shared" si="176"/>
        <v>Not Hired</v>
      </c>
      <c r="T890">
        <f t="shared" si="177"/>
        <v>63</v>
      </c>
      <c r="U890" t="str">
        <f t="shared" si="178"/>
        <v>Developing</v>
      </c>
      <c r="V890" t="str">
        <f t="shared" si="179"/>
        <v>Personality</v>
      </c>
      <c r="W890" t="str">
        <f t="shared" si="180"/>
        <v>Technical Skills</v>
      </c>
      <c r="X890" t="str">
        <f t="shared" si="181"/>
        <v>Strengthen technical skills and practical knowledge</v>
      </c>
    </row>
    <row r="891" spans="1:24" x14ac:dyDescent="0.3">
      <c r="A891">
        <v>32</v>
      </c>
      <c r="B891">
        <v>1</v>
      </c>
      <c r="C891">
        <v>1</v>
      </c>
      <c r="D891">
        <v>15</v>
      </c>
      <c r="E891">
        <v>5</v>
      </c>
      <c r="F891">
        <v>36.104128344224797</v>
      </c>
      <c r="G891">
        <v>100</v>
      </c>
      <c r="H891">
        <v>76</v>
      </c>
      <c r="I891">
        <v>97</v>
      </c>
      <c r="J891">
        <v>2</v>
      </c>
      <c r="K891">
        <v>1</v>
      </c>
      <c r="L891" t="str">
        <f t="shared" si="169"/>
        <v>C890</v>
      </c>
      <c r="M891" t="str">
        <f t="shared" si="170"/>
        <v>Female</v>
      </c>
      <c r="N891" t="str">
        <f t="shared" si="171"/>
        <v>Bachelor's Type 1</v>
      </c>
      <c r="O891" t="str">
        <f t="shared" si="172"/>
        <v>Senior Level</v>
      </c>
      <c r="P891" t="str">
        <f t="shared" si="173"/>
        <v>Strong</v>
      </c>
      <c r="Q891" t="str">
        <f t="shared" si="174"/>
        <v>Advanced</v>
      </c>
      <c r="R891" t="str">
        <f t="shared" si="175"/>
        <v>Strong</v>
      </c>
      <c r="S891" t="str">
        <f t="shared" si="176"/>
        <v>Hired</v>
      </c>
      <c r="T891">
        <f t="shared" si="177"/>
        <v>90</v>
      </c>
      <c r="U891" t="str">
        <f t="shared" si="178"/>
        <v>Job Ready</v>
      </c>
      <c r="V891" t="str">
        <f t="shared" si="179"/>
        <v>Interview</v>
      </c>
      <c r="W891" t="str">
        <f t="shared" si="180"/>
        <v>Technical Skills</v>
      </c>
      <c r="X891" t="str">
        <f t="shared" si="181"/>
        <v>Strengthen technical skills and practical knowledge</v>
      </c>
    </row>
    <row r="892" spans="1:24" x14ac:dyDescent="0.3">
      <c r="A892">
        <v>47</v>
      </c>
      <c r="B892">
        <v>1</v>
      </c>
      <c r="C892">
        <v>1</v>
      </c>
      <c r="D892">
        <v>0</v>
      </c>
      <c r="E892">
        <v>4</v>
      </c>
      <c r="F892">
        <v>26.369488254257799</v>
      </c>
      <c r="G892">
        <v>62</v>
      </c>
      <c r="H892">
        <v>78</v>
      </c>
      <c r="I892">
        <v>5</v>
      </c>
      <c r="J892">
        <v>2</v>
      </c>
      <c r="K892">
        <v>0</v>
      </c>
      <c r="L892" t="str">
        <f t="shared" si="169"/>
        <v>C891</v>
      </c>
      <c r="M892" t="str">
        <f t="shared" si="170"/>
        <v>Female</v>
      </c>
      <c r="N892" t="str">
        <f t="shared" si="171"/>
        <v>Bachelor's Type 1</v>
      </c>
      <c r="O892" t="str">
        <f t="shared" si="172"/>
        <v>Entry Level</v>
      </c>
      <c r="P892" t="str">
        <f t="shared" si="173"/>
        <v>Average</v>
      </c>
      <c r="Q892" t="str">
        <f t="shared" si="174"/>
        <v>Advanced</v>
      </c>
      <c r="R892" t="str">
        <f t="shared" si="175"/>
        <v>Needs Improvement</v>
      </c>
      <c r="S892" t="str">
        <f t="shared" si="176"/>
        <v>Not Hired</v>
      </c>
      <c r="T892">
        <f t="shared" si="177"/>
        <v>46</v>
      </c>
      <c r="U892" t="str">
        <f t="shared" si="178"/>
        <v>Needs Improvement</v>
      </c>
      <c r="V892" t="str">
        <f t="shared" si="179"/>
        <v>Technical Skills</v>
      </c>
      <c r="W892" t="str">
        <f t="shared" si="180"/>
        <v>Personality &amp; Communication</v>
      </c>
      <c r="X892" t="str">
        <f t="shared" si="181"/>
        <v>Work on communication and personality development</v>
      </c>
    </row>
    <row r="893" spans="1:24" x14ac:dyDescent="0.3">
      <c r="A893">
        <v>49</v>
      </c>
      <c r="B893">
        <v>1</v>
      </c>
      <c r="C893">
        <v>2</v>
      </c>
      <c r="D893">
        <v>6</v>
      </c>
      <c r="E893">
        <v>1</v>
      </c>
      <c r="F893">
        <v>23.075196164058699</v>
      </c>
      <c r="G893">
        <v>83</v>
      </c>
      <c r="H893">
        <v>53</v>
      </c>
      <c r="I893">
        <v>62</v>
      </c>
      <c r="J893">
        <v>3</v>
      </c>
      <c r="K893">
        <v>1</v>
      </c>
      <c r="L893" t="str">
        <f t="shared" si="169"/>
        <v>C892</v>
      </c>
      <c r="M893" t="str">
        <f t="shared" si="170"/>
        <v>Female</v>
      </c>
      <c r="N893" t="str">
        <f t="shared" si="171"/>
        <v>Bachelor's Type 2</v>
      </c>
      <c r="O893" t="str">
        <f t="shared" si="172"/>
        <v>Mid Level</v>
      </c>
      <c r="P893" t="str">
        <f t="shared" si="173"/>
        <v>Strong</v>
      </c>
      <c r="Q893" t="str">
        <f t="shared" si="174"/>
        <v>Intermediate</v>
      </c>
      <c r="R893" t="str">
        <f t="shared" si="175"/>
        <v>Good</v>
      </c>
      <c r="S893" t="str">
        <f t="shared" si="176"/>
        <v>Hired</v>
      </c>
      <c r="T893">
        <f t="shared" si="177"/>
        <v>62</v>
      </c>
      <c r="U893" t="str">
        <f t="shared" si="178"/>
        <v>Developing</v>
      </c>
      <c r="V893" t="str">
        <f t="shared" si="179"/>
        <v>Interview</v>
      </c>
      <c r="W893" t="str">
        <f t="shared" si="180"/>
        <v>Technical Skills</v>
      </c>
      <c r="X893" t="str">
        <f t="shared" si="181"/>
        <v>Strengthen technical skills and practical knowledge</v>
      </c>
    </row>
    <row r="894" spans="1:24" x14ac:dyDescent="0.3">
      <c r="A894">
        <v>44</v>
      </c>
      <c r="B894">
        <v>0</v>
      </c>
      <c r="C894">
        <v>4</v>
      </c>
      <c r="D894">
        <v>10</v>
      </c>
      <c r="E894">
        <v>4</v>
      </c>
      <c r="F894">
        <v>7.5336315206631097</v>
      </c>
      <c r="G894">
        <v>24</v>
      </c>
      <c r="H894">
        <v>68</v>
      </c>
      <c r="I894">
        <v>37</v>
      </c>
      <c r="J894">
        <v>2</v>
      </c>
      <c r="K894">
        <v>0</v>
      </c>
      <c r="L894" t="str">
        <f t="shared" si="169"/>
        <v>C893</v>
      </c>
      <c r="M894" t="str">
        <f t="shared" si="170"/>
        <v>Male</v>
      </c>
      <c r="N894" t="str">
        <f t="shared" si="171"/>
        <v>PhD</v>
      </c>
      <c r="O894" t="str">
        <f t="shared" si="172"/>
        <v>Senior Level</v>
      </c>
      <c r="P894" t="str">
        <f t="shared" si="173"/>
        <v>Low</v>
      </c>
      <c r="Q894" t="str">
        <f t="shared" si="174"/>
        <v>Intermediate</v>
      </c>
      <c r="R894" t="str">
        <f t="shared" si="175"/>
        <v>Needs Improvement</v>
      </c>
      <c r="S894" t="str">
        <f t="shared" si="176"/>
        <v>Not Hired</v>
      </c>
      <c r="T894">
        <f t="shared" si="177"/>
        <v>50</v>
      </c>
      <c r="U894" t="str">
        <f t="shared" si="178"/>
        <v>Developing</v>
      </c>
      <c r="V894" t="str">
        <f t="shared" si="179"/>
        <v>Technical Skills</v>
      </c>
      <c r="W894" t="str">
        <f t="shared" si="180"/>
        <v>Interview Preparation</v>
      </c>
      <c r="X894" t="str">
        <f t="shared" si="181"/>
        <v>Improve interview preparation and communication</v>
      </c>
    </row>
    <row r="895" spans="1:24" x14ac:dyDescent="0.3">
      <c r="A895">
        <v>50</v>
      </c>
      <c r="B895">
        <v>0</v>
      </c>
      <c r="C895">
        <v>2</v>
      </c>
      <c r="D895">
        <v>10</v>
      </c>
      <c r="E895">
        <v>1</v>
      </c>
      <c r="F895">
        <v>15.5499694782331</v>
      </c>
      <c r="G895">
        <v>11</v>
      </c>
      <c r="H895">
        <v>92</v>
      </c>
      <c r="I895">
        <v>49</v>
      </c>
      <c r="J895">
        <v>3</v>
      </c>
      <c r="K895">
        <v>0</v>
      </c>
      <c r="L895" t="str">
        <f t="shared" si="169"/>
        <v>C894</v>
      </c>
      <c r="M895" t="str">
        <f t="shared" si="170"/>
        <v>Male</v>
      </c>
      <c r="N895" t="str">
        <f t="shared" si="171"/>
        <v>Bachelor's Type 2</v>
      </c>
      <c r="O895" t="str">
        <f t="shared" si="172"/>
        <v>Senior Level</v>
      </c>
      <c r="P895" t="str">
        <f t="shared" si="173"/>
        <v>Low</v>
      </c>
      <c r="Q895" t="str">
        <f t="shared" si="174"/>
        <v>Advanced</v>
      </c>
      <c r="R895" t="str">
        <f t="shared" si="175"/>
        <v>Needs Improvement</v>
      </c>
      <c r="S895" t="str">
        <f t="shared" si="176"/>
        <v>Not Hired</v>
      </c>
      <c r="T895">
        <f t="shared" si="177"/>
        <v>53</v>
      </c>
      <c r="U895" t="str">
        <f t="shared" si="178"/>
        <v>Developing</v>
      </c>
      <c r="V895" t="str">
        <f t="shared" si="179"/>
        <v>Technical Skills</v>
      </c>
      <c r="W895" t="str">
        <f t="shared" si="180"/>
        <v>Interview Preparation</v>
      </c>
      <c r="X895" t="str">
        <f t="shared" si="181"/>
        <v>Improve interview preparation and communication</v>
      </c>
    </row>
    <row r="896" spans="1:24" x14ac:dyDescent="0.3">
      <c r="A896">
        <v>47</v>
      </c>
      <c r="B896">
        <v>0</v>
      </c>
      <c r="C896">
        <v>2</v>
      </c>
      <c r="D896">
        <v>14</v>
      </c>
      <c r="E896">
        <v>2</v>
      </c>
      <c r="F896">
        <v>44.447955251044803</v>
      </c>
      <c r="G896">
        <v>20</v>
      </c>
      <c r="H896">
        <v>98</v>
      </c>
      <c r="I896">
        <v>51</v>
      </c>
      <c r="J896">
        <v>3</v>
      </c>
      <c r="K896">
        <v>0</v>
      </c>
      <c r="L896" t="str">
        <f t="shared" si="169"/>
        <v>C895</v>
      </c>
      <c r="M896" t="str">
        <f t="shared" si="170"/>
        <v>Male</v>
      </c>
      <c r="N896" t="str">
        <f t="shared" si="171"/>
        <v>Bachelor's Type 2</v>
      </c>
      <c r="O896" t="str">
        <f t="shared" si="172"/>
        <v>Senior Level</v>
      </c>
      <c r="P896" t="str">
        <f t="shared" si="173"/>
        <v>Low</v>
      </c>
      <c r="Q896" t="str">
        <f t="shared" si="174"/>
        <v>Advanced</v>
      </c>
      <c r="R896" t="str">
        <f t="shared" si="175"/>
        <v>Good</v>
      </c>
      <c r="S896" t="str">
        <f t="shared" si="176"/>
        <v>Not Hired</v>
      </c>
      <c r="T896">
        <f t="shared" si="177"/>
        <v>62</v>
      </c>
      <c r="U896" t="str">
        <f t="shared" si="178"/>
        <v>Developing</v>
      </c>
      <c r="V896" t="str">
        <f t="shared" si="179"/>
        <v>Technical Skills</v>
      </c>
      <c r="W896" t="str">
        <f t="shared" si="180"/>
        <v>Interview Preparation</v>
      </c>
      <c r="X896" t="str">
        <f t="shared" si="181"/>
        <v>Improve interview preparation and communication</v>
      </c>
    </row>
    <row r="897" spans="1:24" x14ac:dyDescent="0.3">
      <c r="A897">
        <v>36</v>
      </c>
      <c r="B897">
        <v>1</v>
      </c>
      <c r="C897">
        <v>2</v>
      </c>
      <c r="D897">
        <v>11</v>
      </c>
      <c r="E897">
        <v>1</v>
      </c>
      <c r="F897">
        <v>46.222640578124697</v>
      </c>
      <c r="G897">
        <v>24</v>
      </c>
      <c r="H897">
        <v>90</v>
      </c>
      <c r="I897">
        <v>39</v>
      </c>
      <c r="J897">
        <v>3</v>
      </c>
      <c r="K897">
        <v>0</v>
      </c>
      <c r="L897" t="str">
        <f t="shared" si="169"/>
        <v>C896</v>
      </c>
      <c r="M897" t="str">
        <f t="shared" si="170"/>
        <v>Female</v>
      </c>
      <c r="N897" t="str">
        <f t="shared" si="171"/>
        <v>Bachelor's Type 2</v>
      </c>
      <c r="O897" t="str">
        <f t="shared" si="172"/>
        <v>Senior Level</v>
      </c>
      <c r="P897" t="str">
        <f t="shared" si="173"/>
        <v>Low</v>
      </c>
      <c r="Q897" t="str">
        <f t="shared" si="174"/>
        <v>Advanced</v>
      </c>
      <c r="R897" t="str">
        <f t="shared" si="175"/>
        <v>Needs Improvement</v>
      </c>
      <c r="S897" t="str">
        <f t="shared" si="176"/>
        <v>Not Hired</v>
      </c>
      <c r="T897">
        <f t="shared" si="177"/>
        <v>56</v>
      </c>
      <c r="U897" t="str">
        <f t="shared" si="178"/>
        <v>Developing</v>
      </c>
      <c r="V897" t="str">
        <f t="shared" si="179"/>
        <v>Technical Skills</v>
      </c>
      <c r="W897" t="str">
        <f t="shared" si="180"/>
        <v>Interview Preparation</v>
      </c>
      <c r="X897" t="str">
        <f t="shared" si="181"/>
        <v>Improve interview preparation and communication</v>
      </c>
    </row>
    <row r="898" spans="1:24" x14ac:dyDescent="0.3">
      <c r="A898">
        <v>44</v>
      </c>
      <c r="B898">
        <v>0</v>
      </c>
      <c r="C898">
        <v>1</v>
      </c>
      <c r="D898">
        <v>7</v>
      </c>
      <c r="E898">
        <v>2</v>
      </c>
      <c r="F898">
        <v>1.0373854185265501</v>
      </c>
      <c r="G898">
        <v>10</v>
      </c>
      <c r="H898">
        <v>26</v>
      </c>
      <c r="I898">
        <v>7</v>
      </c>
      <c r="J898">
        <v>2</v>
      </c>
      <c r="K898">
        <v>0</v>
      </c>
      <c r="L898" t="str">
        <f t="shared" si="169"/>
        <v>C897</v>
      </c>
      <c r="M898" t="str">
        <f t="shared" si="170"/>
        <v>Male</v>
      </c>
      <c r="N898" t="str">
        <f t="shared" si="171"/>
        <v>Bachelor's Type 1</v>
      </c>
      <c r="O898" t="str">
        <f t="shared" si="172"/>
        <v>Senior Level</v>
      </c>
      <c r="P898" t="str">
        <f t="shared" si="173"/>
        <v>Low</v>
      </c>
      <c r="Q898" t="str">
        <f t="shared" si="174"/>
        <v>Beginner</v>
      </c>
      <c r="R898" t="str">
        <f t="shared" si="175"/>
        <v>Needs Improvement</v>
      </c>
      <c r="S898" t="str">
        <f t="shared" si="176"/>
        <v>Not Hired</v>
      </c>
      <c r="T898">
        <f t="shared" si="177"/>
        <v>22</v>
      </c>
      <c r="U898" t="str">
        <f t="shared" si="178"/>
        <v>Needs Improvement</v>
      </c>
      <c r="V898" t="str">
        <f t="shared" si="179"/>
        <v>Technical Skills</v>
      </c>
      <c r="W898" t="str">
        <f t="shared" si="180"/>
        <v>Personality &amp; Communication</v>
      </c>
      <c r="X898" t="str">
        <f t="shared" si="181"/>
        <v>Work on communication and personality development</v>
      </c>
    </row>
    <row r="899" spans="1:24" x14ac:dyDescent="0.3">
      <c r="A899">
        <v>43</v>
      </c>
      <c r="B899">
        <v>0</v>
      </c>
      <c r="C899">
        <v>2</v>
      </c>
      <c r="D899">
        <v>5</v>
      </c>
      <c r="E899">
        <v>2</v>
      </c>
      <c r="F899">
        <v>30.7068195738775</v>
      </c>
      <c r="G899">
        <v>63</v>
      </c>
      <c r="H899">
        <v>7</v>
      </c>
      <c r="I899">
        <v>60</v>
      </c>
      <c r="J899">
        <v>2</v>
      </c>
      <c r="K899">
        <v>0</v>
      </c>
      <c r="L899" t="str">
        <f t="shared" ref="L899:L962" si="182">"C"&amp;TEXT(ROW()-1,"000")</f>
        <v>C898</v>
      </c>
      <c r="M899" t="str">
        <f t="shared" ref="M899:M962" si="183">IF(B899=0,"Male","Female")</f>
        <v>Male</v>
      </c>
      <c r="N899" t="str">
        <f t="shared" ref="N899:N962" si="184">IF(C899=1,"Bachelor's Type 1",IF(C899=2,"Bachelor's Type 2",IF(C899=3,"Master's","PhD")))</f>
        <v>Bachelor's Type 2</v>
      </c>
      <c r="O899" t="str">
        <f t="shared" ref="O899:O962" si="185">IF(D899&lt;=2,"Entry Level",IF(D899&lt;=6,"Mid Level","Senior Level"))</f>
        <v>Mid Level</v>
      </c>
      <c r="P899" t="str">
        <f t="shared" ref="P899:P962" si="186">IF(G899&lt;50,"Low",IF(G899&lt;75,"Average","Strong"))</f>
        <v>Average</v>
      </c>
      <c r="Q899" t="str">
        <f t="shared" ref="Q899:Q962" si="187">IF(H899&lt;50,"Beginner",IF(H899&lt;75,"Intermediate","Advanced"))</f>
        <v>Beginner</v>
      </c>
      <c r="R899" t="str">
        <f t="shared" ref="R899:R962" si="188">IF(I899&lt;50,"Needs Improvement",IF(I899&lt;75,"Good","Strong"))</f>
        <v>Good</v>
      </c>
      <c r="S899" t="str">
        <f t="shared" ref="S899:S962" si="189">IF(K899=1,"Hired","Not Hired")</f>
        <v>Not Hired</v>
      </c>
      <c r="T899">
        <f t="shared" ref="T899:T962" si="190">ROUND((G899*30%)+(H899*30%)+(I899*20%)+((D899/15)*100*15%)+(IF(C899&lt;=2,50,IF(C899=3,75,100))*5%),0)</f>
        <v>41</v>
      </c>
      <c r="U899" t="str">
        <f t="shared" ref="U899:U962" si="191">IF(T899&lt;50,"Needs Improvement",IF(T899&lt;75,"Developing","Job Ready"))</f>
        <v>Needs Improvement</v>
      </c>
      <c r="V899" t="str">
        <f t="shared" ref="V899:V962" si="192">IF(AND(G899&gt;=H899,G899&gt;=I899),"Interview",IF(H899&gt;=I899,"Technical Skills","Personality"))</f>
        <v>Interview</v>
      </c>
      <c r="W899" t="str">
        <f t="shared" ref="W899:W962" si="193">IF(AND(G899&lt;=H899,G899&lt;=I899),"Interview Preparation",IF(H899&lt;=I899,"Technical Skills","Personality &amp; Communication"))</f>
        <v>Technical Skills</v>
      </c>
      <c r="X899" t="str">
        <f t="shared" ref="X899:X962" si="194">IF(W899="Interview Preparation","Improve interview preparation and communication",IF(W899="Technical Skills","Strengthen technical skills and practical knowledge","Work on communication and personality development"))</f>
        <v>Strengthen technical skills and practical knowledge</v>
      </c>
    </row>
    <row r="900" spans="1:24" x14ac:dyDescent="0.3">
      <c r="A900">
        <v>20</v>
      </c>
      <c r="B900">
        <v>1</v>
      </c>
      <c r="C900">
        <v>1</v>
      </c>
      <c r="D900">
        <v>3</v>
      </c>
      <c r="E900">
        <v>1</v>
      </c>
      <c r="F900">
        <v>36.9650304512556</v>
      </c>
      <c r="G900">
        <v>72</v>
      </c>
      <c r="H900">
        <v>31</v>
      </c>
      <c r="I900">
        <v>7</v>
      </c>
      <c r="J900">
        <v>1</v>
      </c>
      <c r="K900">
        <v>0</v>
      </c>
      <c r="L900" t="str">
        <f t="shared" si="182"/>
        <v>C899</v>
      </c>
      <c r="M900" t="str">
        <f t="shared" si="183"/>
        <v>Female</v>
      </c>
      <c r="N900" t="str">
        <f t="shared" si="184"/>
        <v>Bachelor's Type 1</v>
      </c>
      <c r="O900" t="str">
        <f t="shared" si="185"/>
        <v>Mid Level</v>
      </c>
      <c r="P900" t="str">
        <f t="shared" si="186"/>
        <v>Average</v>
      </c>
      <c r="Q900" t="str">
        <f t="shared" si="187"/>
        <v>Beginner</v>
      </c>
      <c r="R900" t="str">
        <f t="shared" si="188"/>
        <v>Needs Improvement</v>
      </c>
      <c r="S900" t="str">
        <f t="shared" si="189"/>
        <v>Not Hired</v>
      </c>
      <c r="T900">
        <f t="shared" si="190"/>
        <v>38</v>
      </c>
      <c r="U900" t="str">
        <f t="shared" si="191"/>
        <v>Needs Improvement</v>
      </c>
      <c r="V900" t="str">
        <f t="shared" si="192"/>
        <v>Interview</v>
      </c>
      <c r="W900" t="str">
        <f t="shared" si="193"/>
        <v>Personality &amp; Communication</v>
      </c>
      <c r="X900" t="str">
        <f t="shared" si="194"/>
        <v>Work on communication and personality development</v>
      </c>
    </row>
    <row r="901" spans="1:24" x14ac:dyDescent="0.3">
      <c r="A901">
        <v>25</v>
      </c>
      <c r="B901">
        <v>1</v>
      </c>
      <c r="C901">
        <v>3</v>
      </c>
      <c r="D901">
        <v>13</v>
      </c>
      <c r="E901">
        <v>3</v>
      </c>
      <c r="F901">
        <v>31.937349122880299</v>
      </c>
      <c r="G901">
        <v>49</v>
      </c>
      <c r="H901">
        <v>83</v>
      </c>
      <c r="I901">
        <v>96</v>
      </c>
      <c r="J901">
        <v>2</v>
      </c>
      <c r="K901">
        <v>1</v>
      </c>
      <c r="L901" t="str">
        <f t="shared" si="182"/>
        <v>C900</v>
      </c>
      <c r="M901" t="str">
        <f t="shared" si="183"/>
        <v>Female</v>
      </c>
      <c r="N901" t="str">
        <f t="shared" si="184"/>
        <v>Master's</v>
      </c>
      <c r="O901" t="str">
        <f t="shared" si="185"/>
        <v>Senior Level</v>
      </c>
      <c r="P901" t="str">
        <f t="shared" si="186"/>
        <v>Low</v>
      </c>
      <c r="Q901" t="str">
        <f t="shared" si="187"/>
        <v>Advanced</v>
      </c>
      <c r="R901" t="str">
        <f t="shared" si="188"/>
        <v>Strong</v>
      </c>
      <c r="S901" t="str">
        <f t="shared" si="189"/>
        <v>Hired</v>
      </c>
      <c r="T901">
        <f t="shared" si="190"/>
        <v>76</v>
      </c>
      <c r="U901" t="str">
        <f t="shared" si="191"/>
        <v>Job Ready</v>
      </c>
      <c r="V901" t="str">
        <f t="shared" si="192"/>
        <v>Personality</v>
      </c>
      <c r="W901" t="str">
        <f t="shared" si="193"/>
        <v>Interview Preparation</v>
      </c>
      <c r="X901" t="str">
        <f t="shared" si="194"/>
        <v>Improve interview preparation and communication</v>
      </c>
    </row>
    <row r="902" spans="1:24" x14ac:dyDescent="0.3">
      <c r="A902">
        <v>40</v>
      </c>
      <c r="B902">
        <v>0</v>
      </c>
      <c r="C902">
        <v>2</v>
      </c>
      <c r="D902">
        <v>5</v>
      </c>
      <c r="E902">
        <v>1</v>
      </c>
      <c r="F902">
        <v>5.0839882433176902</v>
      </c>
      <c r="G902">
        <v>61</v>
      </c>
      <c r="H902">
        <v>63</v>
      </c>
      <c r="I902">
        <v>33</v>
      </c>
      <c r="J902">
        <v>1</v>
      </c>
      <c r="K902">
        <v>0</v>
      </c>
      <c r="L902" t="str">
        <f t="shared" si="182"/>
        <v>C901</v>
      </c>
      <c r="M902" t="str">
        <f t="shared" si="183"/>
        <v>Male</v>
      </c>
      <c r="N902" t="str">
        <f t="shared" si="184"/>
        <v>Bachelor's Type 2</v>
      </c>
      <c r="O902" t="str">
        <f t="shared" si="185"/>
        <v>Mid Level</v>
      </c>
      <c r="P902" t="str">
        <f t="shared" si="186"/>
        <v>Average</v>
      </c>
      <c r="Q902" t="str">
        <f t="shared" si="187"/>
        <v>Intermediate</v>
      </c>
      <c r="R902" t="str">
        <f t="shared" si="188"/>
        <v>Needs Improvement</v>
      </c>
      <c r="S902" t="str">
        <f t="shared" si="189"/>
        <v>Not Hired</v>
      </c>
      <c r="T902">
        <f t="shared" si="190"/>
        <v>51</v>
      </c>
      <c r="U902" t="str">
        <f t="shared" si="191"/>
        <v>Developing</v>
      </c>
      <c r="V902" t="str">
        <f t="shared" si="192"/>
        <v>Technical Skills</v>
      </c>
      <c r="W902" t="str">
        <f t="shared" si="193"/>
        <v>Personality &amp; Communication</v>
      </c>
      <c r="X902" t="str">
        <f t="shared" si="194"/>
        <v>Work on communication and personality development</v>
      </c>
    </row>
    <row r="903" spans="1:24" x14ac:dyDescent="0.3">
      <c r="A903">
        <v>25</v>
      </c>
      <c r="B903">
        <v>0</v>
      </c>
      <c r="C903">
        <v>2</v>
      </c>
      <c r="D903">
        <v>2</v>
      </c>
      <c r="E903">
        <v>5</v>
      </c>
      <c r="F903">
        <v>11.886244939945099</v>
      </c>
      <c r="G903">
        <v>88</v>
      </c>
      <c r="H903">
        <v>9</v>
      </c>
      <c r="I903">
        <v>78</v>
      </c>
      <c r="J903">
        <v>1</v>
      </c>
      <c r="K903">
        <v>1</v>
      </c>
      <c r="L903" t="str">
        <f t="shared" si="182"/>
        <v>C902</v>
      </c>
      <c r="M903" t="str">
        <f t="shared" si="183"/>
        <v>Male</v>
      </c>
      <c r="N903" t="str">
        <f t="shared" si="184"/>
        <v>Bachelor's Type 2</v>
      </c>
      <c r="O903" t="str">
        <f t="shared" si="185"/>
        <v>Entry Level</v>
      </c>
      <c r="P903" t="str">
        <f t="shared" si="186"/>
        <v>Strong</v>
      </c>
      <c r="Q903" t="str">
        <f t="shared" si="187"/>
        <v>Beginner</v>
      </c>
      <c r="R903" t="str">
        <f t="shared" si="188"/>
        <v>Strong</v>
      </c>
      <c r="S903" t="str">
        <f t="shared" si="189"/>
        <v>Hired</v>
      </c>
      <c r="T903">
        <f t="shared" si="190"/>
        <v>49</v>
      </c>
      <c r="U903" t="str">
        <f t="shared" si="191"/>
        <v>Needs Improvement</v>
      </c>
      <c r="V903" t="str">
        <f t="shared" si="192"/>
        <v>Interview</v>
      </c>
      <c r="W903" t="str">
        <f t="shared" si="193"/>
        <v>Technical Skills</v>
      </c>
      <c r="X903" t="str">
        <f t="shared" si="194"/>
        <v>Strengthen technical skills and practical knowledge</v>
      </c>
    </row>
    <row r="904" spans="1:24" x14ac:dyDescent="0.3">
      <c r="A904">
        <v>45</v>
      </c>
      <c r="B904">
        <v>0</v>
      </c>
      <c r="C904">
        <v>2</v>
      </c>
      <c r="D904">
        <v>11</v>
      </c>
      <c r="E904">
        <v>5</v>
      </c>
      <c r="F904">
        <v>13.5170133690693</v>
      </c>
      <c r="G904">
        <v>98</v>
      </c>
      <c r="H904">
        <v>12</v>
      </c>
      <c r="I904">
        <v>99</v>
      </c>
      <c r="J904">
        <v>1</v>
      </c>
      <c r="K904">
        <v>1</v>
      </c>
      <c r="L904" t="str">
        <f t="shared" si="182"/>
        <v>C903</v>
      </c>
      <c r="M904" t="str">
        <f t="shared" si="183"/>
        <v>Male</v>
      </c>
      <c r="N904" t="str">
        <f t="shared" si="184"/>
        <v>Bachelor's Type 2</v>
      </c>
      <c r="O904" t="str">
        <f t="shared" si="185"/>
        <v>Senior Level</v>
      </c>
      <c r="P904" t="str">
        <f t="shared" si="186"/>
        <v>Strong</v>
      </c>
      <c r="Q904" t="str">
        <f t="shared" si="187"/>
        <v>Beginner</v>
      </c>
      <c r="R904" t="str">
        <f t="shared" si="188"/>
        <v>Strong</v>
      </c>
      <c r="S904" t="str">
        <f t="shared" si="189"/>
        <v>Hired</v>
      </c>
      <c r="T904">
        <f t="shared" si="190"/>
        <v>66</v>
      </c>
      <c r="U904" t="str">
        <f t="shared" si="191"/>
        <v>Developing</v>
      </c>
      <c r="V904" t="str">
        <f t="shared" si="192"/>
        <v>Personality</v>
      </c>
      <c r="W904" t="str">
        <f t="shared" si="193"/>
        <v>Technical Skills</v>
      </c>
      <c r="X904" t="str">
        <f t="shared" si="194"/>
        <v>Strengthen technical skills and practical knowledge</v>
      </c>
    </row>
    <row r="905" spans="1:24" x14ac:dyDescent="0.3">
      <c r="A905">
        <v>31</v>
      </c>
      <c r="B905">
        <v>0</v>
      </c>
      <c r="C905">
        <v>2</v>
      </c>
      <c r="D905">
        <v>7</v>
      </c>
      <c r="E905">
        <v>3</v>
      </c>
      <c r="F905">
        <v>42.586231565254401</v>
      </c>
      <c r="G905">
        <v>95</v>
      </c>
      <c r="H905">
        <v>62</v>
      </c>
      <c r="I905">
        <v>59</v>
      </c>
      <c r="J905">
        <v>3</v>
      </c>
      <c r="K905">
        <v>0</v>
      </c>
      <c r="L905" t="str">
        <f t="shared" si="182"/>
        <v>C904</v>
      </c>
      <c r="M905" t="str">
        <f t="shared" si="183"/>
        <v>Male</v>
      </c>
      <c r="N905" t="str">
        <f t="shared" si="184"/>
        <v>Bachelor's Type 2</v>
      </c>
      <c r="O905" t="str">
        <f t="shared" si="185"/>
        <v>Senior Level</v>
      </c>
      <c r="P905" t="str">
        <f t="shared" si="186"/>
        <v>Strong</v>
      </c>
      <c r="Q905" t="str">
        <f t="shared" si="187"/>
        <v>Intermediate</v>
      </c>
      <c r="R905" t="str">
        <f t="shared" si="188"/>
        <v>Good</v>
      </c>
      <c r="S905" t="str">
        <f t="shared" si="189"/>
        <v>Not Hired</v>
      </c>
      <c r="T905">
        <f t="shared" si="190"/>
        <v>68</v>
      </c>
      <c r="U905" t="str">
        <f t="shared" si="191"/>
        <v>Developing</v>
      </c>
      <c r="V905" t="str">
        <f t="shared" si="192"/>
        <v>Interview</v>
      </c>
      <c r="W905" t="str">
        <f t="shared" si="193"/>
        <v>Personality &amp; Communication</v>
      </c>
      <c r="X905" t="str">
        <f t="shared" si="194"/>
        <v>Work on communication and personality development</v>
      </c>
    </row>
    <row r="906" spans="1:24" x14ac:dyDescent="0.3">
      <c r="A906">
        <v>32</v>
      </c>
      <c r="B906">
        <v>0</v>
      </c>
      <c r="C906">
        <v>4</v>
      </c>
      <c r="D906">
        <v>9</v>
      </c>
      <c r="E906">
        <v>2</v>
      </c>
      <c r="F906">
        <v>24.159971815445999</v>
      </c>
      <c r="G906">
        <v>48</v>
      </c>
      <c r="H906">
        <v>92</v>
      </c>
      <c r="I906">
        <v>56</v>
      </c>
      <c r="J906">
        <v>3</v>
      </c>
      <c r="K906">
        <v>0</v>
      </c>
      <c r="L906" t="str">
        <f t="shared" si="182"/>
        <v>C905</v>
      </c>
      <c r="M906" t="str">
        <f t="shared" si="183"/>
        <v>Male</v>
      </c>
      <c r="N906" t="str">
        <f t="shared" si="184"/>
        <v>PhD</v>
      </c>
      <c r="O906" t="str">
        <f t="shared" si="185"/>
        <v>Senior Level</v>
      </c>
      <c r="P906" t="str">
        <f t="shared" si="186"/>
        <v>Low</v>
      </c>
      <c r="Q906" t="str">
        <f t="shared" si="187"/>
        <v>Advanced</v>
      </c>
      <c r="R906" t="str">
        <f t="shared" si="188"/>
        <v>Good</v>
      </c>
      <c r="S906" t="str">
        <f t="shared" si="189"/>
        <v>Not Hired</v>
      </c>
      <c r="T906">
        <f t="shared" si="190"/>
        <v>67</v>
      </c>
      <c r="U906" t="str">
        <f t="shared" si="191"/>
        <v>Developing</v>
      </c>
      <c r="V906" t="str">
        <f t="shared" si="192"/>
        <v>Technical Skills</v>
      </c>
      <c r="W906" t="str">
        <f t="shared" si="193"/>
        <v>Interview Preparation</v>
      </c>
      <c r="X906" t="str">
        <f t="shared" si="194"/>
        <v>Improve interview preparation and communication</v>
      </c>
    </row>
    <row r="907" spans="1:24" x14ac:dyDescent="0.3">
      <c r="A907">
        <v>32</v>
      </c>
      <c r="B907">
        <v>0</v>
      </c>
      <c r="C907">
        <v>2</v>
      </c>
      <c r="D907">
        <v>13</v>
      </c>
      <c r="E907">
        <v>3</v>
      </c>
      <c r="F907">
        <v>25.341410597061799</v>
      </c>
      <c r="G907">
        <v>13</v>
      </c>
      <c r="H907">
        <v>34</v>
      </c>
      <c r="I907">
        <v>98</v>
      </c>
      <c r="J907">
        <v>2</v>
      </c>
      <c r="K907">
        <v>0</v>
      </c>
      <c r="L907" t="str">
        <f t="shared" si="182"/>
        <v>C906</v>
      </c>
      <c r="M907" t="str">
        <f t="shared" si="183"/>
        <v>Male</v>
      </c>
      <c r="N907" t="str">
        <f t="shared" si="184"/>
        <v>Bachelor's Type 2</v>
      </c>
      <c r="O907" t="str">
        <f t="shared" si="185"/>
        <v>Senior Level</v>
      </c>
      <c r="P907" t="str">
        <f t="shared" si="186"/>
        <v>Low</v>
      </c>
      <c r="Q907" t="str">
        <f t="shared" si="187"/>
        <v>Beginner</v>
      </c>
      <c r="R907" t="str">
        <f t="shared" si="188"/>
        <v>Strong</v>
      </c>
      <c r="S907" t="str">
        <f t="shared" si="189"/>
        <v>Not Hired</v>
      </c>
      <c r="T907">
        <f t="shared" si="190"/>
        <v>49</v>
      </c>
      <c r="U907" t="str">
        <f t="shared" si="191"/>
        <v>Needs Improvement</v>
      </c>
      <c r="V907" t="str">
        <f t="shared" si="192"/>
        <v>Personality</v>
      </c>
      <c r="W907" t="str">
        <f t="shared" si="193"/>
        <v>Interview Preparation</v>
      </c>
      <c r="X907" t="str">
        <f t="shared" si="194"/>
        <v>Improve interview preparation and communication</v>
      </c>
    </row>
    <row r="908" spans="1:24" x14ac:dyDescent="0.3">
      <c r="A908">
        <v>48</v>
      </c>
      <c r="B908">
        <v>1</v>
      </c>
      <c r="C908">
        <v>1</v>
      </c>
      <c r="D908">
        <v>12</v>
      </c>
      <c r="E908">
        <v>5</v>
      </c>
      <c r="F908">
        <v>47.744652327725397</v>
      </c>
      <c r="G908">
        <v>0</v>
      </c>
      <c r="H908">
        <v>60</v>
      </c>
      <c r="I908">
        <v>45</v>
      </c>
      <c r="J908">
        <v>2</v>
      </c>
      <c r="K908">
        <v>0</v>
      </c>
      <c r="L908" t="str">
        <f t="shared" si="182"/>
        <v>C907</v>
      </c>
      <c r="M908" t="str">
        <f t="shared" si="183"/>
        <v>Female</v>
      </c>
      <c r="N908" t="str">
        <f t="shared" si="184"/>
        <v>Bachelor's Type 1</v>
      </c>
      <c r="O908" t="str">
        <f t="shared" si="185"/>
        <v>Senior Level</v>
      </c>
      <c r="P908" t="str">
        <f t="shared" si="186"/>
        <v>Low</v>
      </c>
      <c r="Q908" t="str">
        <f t="shared" si="187"/>
        <v>Intermediate</v>
      </c>
      <c r="R908" t="str">
        <f t="shared" si="188"/>
        <v>Needs Improvement</v>
      </c>
      <c r="S908" t="str">
        <f t="shared" si="189"/>
        <v>Not Hired</v>
      </c>
      <c r="T908">
        <f t="shared" si="190"/>
        <v>42</v>
      </c>
      <c r="U908" t="str">
        <f t="shared" si="191"/>
        <v>Needs Improvement</v>
      </c>
      <c r="V908" t="str">
        <f t="shared" si="192"/>
        <v>Technical Skills</v>
      </c>
      <c r="W908" t="str">
        <f t="shared" si="193"/>
        <v>Interview Preparation</v>
      </c>
      <c r="X908" t="str">
        <f t="shared" si="194"/>
        <v>Improve interview preparation and communication</v>
      </c>
    </row>
    <row r="909" spans="1:24" x14ac:dyDescent="0.3">
      <c r="A909">
        <v>34</v>
      </c>
      <c r="B909">
        <v>1</v>
      </c>
      <c r="C909">
        <v>2</v>
      </c>
      <c r="D909">
        <v>12</v>
      </c>
      <c r="E909">
        <v>3</v>
      </c>
      <c r="F909">
        <v>32.8542944427357</v>
      </c>
      <c r="G909">
        <v>80</v>
      </c>
      <c r="H909">
        <v>53</v>
      </c>
      <c r="I909">
        <v>21</v>
      </c>
      <c r="J909">
        <v>2</v>
      </c>
      <c r="K909">
        <v>0</v>
      </c>
      <c r="L909" t="str">
        <f t="shared" si="182"/>
        <v>C908</v>
      </c>
      <c r="M909" t="str">
        <f t="shared" si="183"/>
        <v>Female</v>
      </c>
      <c r="N909" t="str">
        <f t="shared" si="184"/>
        <v>Bachelor's Type 2</v>
      </c>
      <c r="O909" t="str">
        <f t="shared" si="185"/>
        <v>Senior Level</v>
      </c>
      <c r="P909" t="str">
        <f t="shared" si="186"/>
        <v>Strong</v>
      </c>
      <c r="Q909" t="str">
        <f t="shared" si="187"/>
        <v>Intermediate</v>
      </c>
      <c r="R909" t="str">
        <f t="shared" si="188"/>
        <v>Needs Improvement</v>
      </c>
      <c r="S909" t="str">
        <f t="shared" si="189"/>
        <v>Not Hired</v>
      </c>
      <c r="T909">
        <f t="shared" si="190"/>
        <v>59</v>
      </c>
      <c r="U909" t="str">
        <f t="shared" si="191"/>
        <v>Developing</v>
      </c>
      <c r="V909" t="str">
        <f t="shared" si="192"/>
        <v>Interview</v>
      </c>
      <c r="W909" t="str">
        <f t="shared" si="193"/>
        <v>Personality &amp; Communication</v>
      </c>
      <c r="X909" t="str">
        <f t="shared" si="194"/>
        <v>Work on communication and personality development</v>
      </c>
    </row>
    <row r="910" spans="1:24" x14ac:dyDescent="0.3">
      <c r="A910">
        <v>40</v>
      </c>
      <c r="B910">
        <v>1</v>
      </c>
      <c r="C910">
        <v>1</v>
      </c>
      <c r="D910">
        <v>1</v>
      </c>
      <c r="E910">
        <v>1</v>
      </c>
      <c r="F910">
        <v>45.933385077633098</v>
      </c>
      <c r="G910">
        <v>24</v>
      </c>
      <c r="H910">
        <v>7</v>
      </c>
      <c r="I910">
        <v>86</v>
      </c>
      <c r="J910">
        <v>2</v>
      </c>
      <c r="K910">
        <v>0</v>
      </c>
      <c r="L910" t="str">
        <f t="shared" si="182"/>
        <v>C909</v>
      </c>
      <c r="M910" t="str">
        <f t="shared" si="183"/>
        <v>Female</v>
      </c>
      <c r="N910" t="str">
        <f t="shared" si="184"/>
        <v>Bachelor's Type 1</v>
      </c>
      <c r="O910" t="str">
        <f t="shared" si="185"/>
        <v>Entry Level</v>
      </c>
      <c r="P910" t="str">
        <f t="shared" si="186"/>
        <v>Low</v>
      </c>
      <c r="Q910" t="str">
        <f t="shared" si="187"/>
        <v>Beginner</v>
      </c>
      <c r="R910" t="str">
        <f t="shared" si="188"/>
        <v>Strong</v>
      </c>
      <c r="S910" t="str">
        <f t="shared" si="189"/>
        <v>Not Hired</v>
      </c>
      <c r="T910">
        <f t="shared" si="190"/>
        <v>30</v>
      </c>
      <c r="U910" t="str">
        <f t="shared" si="191"/>
        <v>Needs Improvement</v>
      </c>
      <c r="V910" t="str">
        <f t="shared" si="192"/>
        <v>Personality</v>
      </c>
      <c r="W910" t="str">
        <f t="shared" si="193"/>
        <v>Technical Skills</v>
      </c>
      <c r="X910" t="str">
        <f t="shared" si="194"/>
        <v>Strengthen technical skills and practical knowledge</v>
      </c>
    </row>
    <row r="911" spans="1:24" x14ac:dyDescent="0.3">
      <c r="A911">
        <v>35</v>
      </c>
      <c r="B911">
        <v>0</v>
      </c>
      <c r="C911">
        <v>1</v>
      </c>
      <c r="D911">
        <v>4</v>
      </c>
      <c r="E911">
        <v>3</v>
      </c>
      <c r="F911">
        <v>23.825442767076598</v>
      </c>
      <c r="G911">
        <v>58</v>
      </c>
      <c r="H911">
        <v>28</v>
      </c>
      <c r="I911">
        <v>39</v>
      </c>
      <c r="J911">
        <v>2</v>
      </c>
      <c r="K911">
        <v>0</v>
      </c>
      <c r="L911" t="str">
        <f t="shared" si="182"/>
        <v>C910</v>
      </c>
      <c r="M911" t="str">
        <f t="shared" si="183"/>
        <v>Male</v>
      </c>
      <c r="N911" t="str">
        <f t="shared" si="184"/>
        <v>Bachelor's Type 1</v>
      </c>
      <c r="O911" t="str">
        <f t="shared" si="185"/>
        <v>Mid Level</v>
      </c>
      <c r="P911" t="str">
        <f t="shared" si="186"/>
        <v>Average</v>
      </c>
      <c r="Q911" t="str">
        <f t="shared" si="187"/>
        <v>Beginner</v>
      </c>
      <c r="R911" t="str">
        <f t="shared" si="188"/>
        <v>Needs Improvement</v>
      </c>
      <c r="S911" t="str">
        <f t="shared" si="189"/>
        <v>Not Hired</v>
      </c>
      <c r="T911">
        <f t="shared" si="190"/>
        <v>40</v>
      </c>
      <c r="U911" t="str">
        <f t="shared" si="191"/>
        <v>Needs Improvement</v>
      </c>
      <c r="V911" t="str">
        <f t="shared" si="192"/>
        <v>Interview</v>
      </c>
      <c r="W911" t="str">
        <f t="shared" si="193"/>
        <v>Technical Skills</v>
      </c>
      <c r="X911" t="str">
        <f t="shared" si="194"/>
        <v>Strengthen technical skills and practical knowledge</v>
      </c>
    </row>
    <row r="912" spans="1:24" x14ac:dyDescent="0.3">
      <c r="A912">
        <v>41</v>
      </c>
      <c r="B912">
        <v>1</v>
      </c>
      <c r="C912">
        <v>4</v>
      </c>
      <c r="D912">
        <v>0</v>
      </c>
      <c r="E912">
        <v>2</v>
      </c>
      <c r="F912">
        <v>8.4718129259147101</v>
      </c>
      <c r="G912">
        <v>71</v>
      </c>
      <c r="H912">
        <v>94</v>
      </c>
      <c r="I912">
        <v>44</v>
      </c>
      <c r="J912">
        <v>2</v>
      </c>
      <c r="K912">
        <v>0</v>
      </c>
      <c r="L912" t="str">
        <f t="shared" si="182"/>
        <v>C911</v>
      </c>
      <c r="M912" t="str">
        <f t="shared" si="183"/>
        <v>Female</v>
      </c>
      <c r="N912" t="str">
        <f t="shared" si="184"/>
        <v>PhD</v>
      </c>
      <c r="O912" t="str">
        <f t="shared" si="185"/>
        <v>Entry Level</v>
      </c>
      <c r="P912" t="str">
        <f t="shared" si="186"/>
        <v>Average</v>
      </c>
      <c r="Q912" t="str">
        <f t="shared" si="187"/>
        <v>Advanced</v>
      </c>
      <c r="R912" t="str">
        <f t="shared" si="188"/>
        <v>Needs Improvement</v>
      </c>
      <c r="S912" t="str">
        <f t="shared" si="189"/>
        <v>Not Hired</v>
      </c>
      <c r="T912">
        <f t="shared" si="190"/>
        <v>63</v>
      </c>
      <c r="U912" t="str">
        <f t="shared" si="191"/>
        <v>Developing</v>
      </c>
      <c r="V912" t="str">
        <f t="shared" si="192"/>
        <v>Technical Skills</v>
      </c>
      <c r="W912" t="str">
        <f t="shared" si="193"/>
        <v>Personality &amp; Communication</v>
      </c>
      <c r="X912" t="str">
        <f t="shared" si="194"/>
        <v>Work on communication and personality development</v>
      </c>
    </row>
    <row r="913" spans="1:24" x14ac:dyDescent="0.3">
      <c r="A913">
        <v>40</v>
      </c>
      <c r="B913">
        <v>0</v>
      </c>
      <c r="C913">
        <v>3</v>
      </c>
      <c r="D913">
        <v>5</v>
      </c>
      <c r="E913">
        <v>1</v>
      </c>
      <c r="F913">
        <v>47.496779703704199</v>
      </c>
      <c r="G913">
        <v>68</v>
      </c>
      <c r="H913">
        <v>40</v>
      </c>
      <c r="I913">
        <v>54</v>
      </c>
      <c r="J913">
        <v>2</v>
      </c>
      <c r="K913">
        <v>0</v>
      </c>
      <c r="L913" t="str">
        <f t="shared" si="182"/>
        <v>C912</v>
      </c>
      <c r="M913" t="str">
        <f t="shared" si="183"/>
        <v>Male</v>
      </c>
      <c r="N913" t="str">
        <f t="shared" si="184"/>
        <v>Master's</v>
      </c>
      <c r="O913" t="str">
        <f t="shared" si="185"/>
        <v>Mid Level</v>
      </c>
      <c r="P913" t="str">
        <f t="shared" si="186"/>
        <v>Average</v>
      </c>
      <c r="Q913" t="str">
        <f t="shared" si="187"/>
        <v>Beginner</v>
      </c>
      <c r="R913" t="str">
        <f t="shared" si="188"/>
        <v>Good</v>
      </c>
      <c r="S913" t="str">
        <f t="shared" si="189"/>
        <v>Not Hired</v>
      </c>
      <c r="T913">
        <f t="shared" si="190"/>
        <v>52</v>
      </c>
      <c r="U913" t="str">
        <f t="shared" si="191"/>
        <v>Developing</v>
      </c>
      <c r="V913" t="str">
        <f t="shared" si="192"/>
        <v>Interview</v>
      </c>
      <c r="W913" t="str">
        <f t="shared" si="193"/>
        <v>Technical Skills</v>
      </c>
      <c r="X913" t="str">
        <f t="shared" si="194"/>
        <v>Strengthen technical skills and practical knowledge</v>
      </c>
    </row>
    <row r="914" spans="1:24" x14ac:dyDescent="0.3">
      <c r="A914">
        <v>30</v>
      </c>
      <c r="B914">
        <v>0</v>
      </c>
      <c r="C914">
        <v>4</v>
      </c>
      <c r="D914">
        <v>1</v>
      </c>
      <c r="E914">
        <v>4</v>
      </c>
      <c r="F914">
        <v>23.935255783376899</v>
      </c>
      <c r="G914">
        <v>4</v>
      </c>
      <c r="H914">
        <v>29</v>
      </c>
      <c r="I914">
        <v>50</v>
      </c>
      <c r="J914">
        <v>2</v>
      </c>
      <c r="K914">
        <v>0</v>
      </c>
      <c r="L914" t="str">
        <f t="shared" si="182"/>
        <v>C913</v>
      </c>
      <c r="M914" t="str">
        <f t="shared" si="183"/>
        <v>Male</v>
      </c>
      <c r="N914" t="str">
        <f t="shared" si="184"/>
        <v>PhD</v>
      </c>
      <c r="O914" t="str">
        <f t="shared" si="185"/>
        <v>Entry Level</v>
      </c>
      <c r="P914" t="str">
        <f t="shared" si="186"/>
        <v>Low</v>
      </c>
      <c r="Q914" t="str">
        <f t="shared" si="187"/>
        <v>Beginner</v>
      </c>
      <c r="R914" t="str">
        <f t="shared" si="188"/>
        <v>Good</v>
      </c>
      <c r="S914" t="str">
        <f t="shared" si="189"/>
        <v>Not Hired</v>
      </c>
      <c r="T914">
        <f t="shared" si="190"/>
        <v>26</v>
      </c>
      <c r="U914" t="str">
        <f t="shared" si="191"/>
        <v>Needs Improvement</v>
      </c>
      <c r="V914" t="str">
        <f t="shared" si="192"/>
        <v>Personality</v>
      </c>
      <c r="W914" t="str">
        <f t="shared" si="193"/>
        <v>Interview Preparation</v>
      </c>
      <c r="X914" t="str">
        <f t="shared" si="194"/>
        <v>Improve interview preparation and communication</v>
      </c>
    </row>
    <row r="915" spans="1:24" x14ac:dyDescent="0.3">
      <c r="A915">
        <v>47</v>
      </c>
      <c r="B915">
        <v>1</v>
      </c>
      <c r="C915">
        <v>2</v>
      </c>
      <c r="D915">
        <v>3</v>
      </c>
      <c r="E915">
        <v>5</v>
      </c>
      <c r="F915">
        <v>10.081571093940999</v>
      </c>
      <c r="G915">
        <v>98</v>
      </c>
      <c r="H915">
        <v>85</v>
      </c>
      <c r="I915">
        <v>85</v>
      </c>
      <c r="J915">
        <v>2</v>
      </c>
      <c r="K915">
        <v>0</v>
      </c>
      <c r="L915" t="str">
        <f t="shared" si="182"/>
        <v>C914</v>
      </c>
      <c r="M915" t="str">
        <f t="shared" si="183"/>
        <v>Female</v>
      </c>
      <c r="N915" t="str">
        <f t="shared" si="184"/>
        <v>Bachelor's Type 2</v>
      </c>
      <c r="O915" t="str">
        <f t="shared" si="185"/>
        <v>Mid Level</v>
      </c>
      <c r="P915" t="str">
        <f t="shared" si="186"/>
        <v>Strong</v>
      </c>
      <c r="Q915" t="str">
        <f t="shared" si="187"/>
        <v>Advanced</v>
      </c>
      <c r="R915" t="str">
        <f t="shared" si="188"/>
        <v>Strong</v>
      </c>
      <c r="S915" t="str">
        <f t="shared" si="189"/>
        <v>Not Hired</v>
      </c>
      <c r="T915">
        <f t="shared" si="190"/>
        <v>77</v>
      </c>
      <c r="U915" t="str">
        <f t="shared" si="191"/>
        <v>Job Ready</v>
      </c>
      <c r="V915" t="str">
        <f t="shared" si="192"/>
        <v>Interview</v>
      </c>
      <c r="W915" t="str">
        <f t="shared" si="193"/>
        <v>Technical Skills</v>
      </c>
      <c r="X915" t="str">
        <f t="shared" si="194"/>
        <v>Strengthen technical skills and practical knowledge</v>
      </c>
    </row>
    <row r="916" spans="1:24" x14ac:dyDescent="0.3">
      <c r="A916">
        <v>24</v>
      </c>
      <c r="B916">
        <v>0</v>
      </c>
      <c r="C916">
        <v>2</v>
      </c>
      <c r="D916">
        <v>5</v>
      </c>
      <c r="E916">
        <v>5</v>
      </c>
      <c r="F916">
        <v>16.119787015196099</v>
      </c>
      <c r="G916">
        <v>18</v>
      </c>
      <c r="H916">
        <v>20</v>
      </c>
      <c r="I916">
        <v>4</v>
      </c>
      <c r="J916">
        <v>2</v>
      </c>
      <c r="K916">
        <v>0</v>
      </c>
      <c r="L916" t="str">
        <f t="shared" si="182"/>
        <v>C915</v>
      </c>
      <c r="M916" t="str">
        <f t="shared" si="183"/>
        <v>Male</v>
      </c>
      <c r="N916" t="str">
        <f t="shared" si="184"/>
        <v>Bachelor's Type 2</v>
      </c>
      <c r="O916" t="str">
        <f t="shared" si="185"/>
        <v>Mid Level</v>
      </c>
      <c r="P916" t="str">
        <f t="shared" si="186"/>
        <v>Low</v>
      </c>
      <c r="Q916" t="str">
        <f t="shared" si="187"/>
        <v>Beginner</v>
      </c>
      <c r="R916" t="str">
        <f t="shared" si="188"/>
        <v>Needs Improvement</v>
      </c>
      <c r="S916" t="str">
        <f t="shared" si="189"/>
        <v>Not Hired</v>
      </c>
      <c r="T916">
        <f t="shared" si="190"/>
        <v>20</v>
      </c>
      <c r="U916" t="str">
        <f t="shared" si="191"/>
        <v>Needs Improvement</v>
      </c>
      <c r="V916" t="str">
        <f t="shared" si="192"/>
        <v>Technical Skills</v>
      </c>
      <c r="W916" t="str">
        <f t="shared" si="193"/>
        <v>Personality &amp; Communication</v>
      </c>
      <c r="X916" t="str">
        <f t="shared" si="194"/>
        <v>Work on communication and personality development</v>
      </c>
    </row>
    <row r="917" spans="1:24" x14ac:dyDescent="0.3">
      <c r="A917">
        <v>23</v>
      </c>
      <c r="B917">
        <v>0</v>
      </c>
      <c r="C917">
        <v>1</v>
      </c>
      <c r="D917">
        <v>9</v>
      </c>
      <c r="E917">
        <v>3</v>
      </c>
      <c r="F917">
        <v>3.5401294844471098</v>
      </c>
      <c r="G917">
        <v>22</v>
      </c>
      <c r="H917">
        <v>75</v>
      </c>
      <c r="I917">
        <v>94</v>
      </c>
      <c r="J917">
        <v>3</v>
      </c>
      <c r="K917">
        <v>0</v>
      </c>
      <c r="L917" t="str">
        <f t="shared" si="182"/>
        <v>C916</v>
      </c>
      <c r="M917" t="str">
        <f t="shared" si="183"/>
        <v>Male</v>
      </c>
      <c r="N917" t="str">
        <f t="shared" si="184"/>
        <v>Bachelor's Type 1</v>
      </c>
      <c r="O917" t="str">
        <f t="shared" si="185"/>
        <v>Senior Level</v>
      </c>
      <c r="P917" t="str">
        <f t="shared" si="186"/>
        <v>Low</v>
      </c>
      <c r="Q917" t="str">
        <f t="shared" si="187"/>
        <v>Advanced</v>
      </c>
      <c r="R917" t="str">
        <f t="shared" si="188"/>
        <v>Strong</v>
      </c>
      <c r="S917" t="str">
        <f t="shared" si="189"/>
        <v>Not Hired</v>
      </c>
      <c r="T917">
        <f t="shared" si="190"/>
        <v>59</v>
      </c>
      <c r="U917" t="str">
        <f t="shared" si="191"/>
        <v>Developing</v>
      </c>
      <c r="V917" t="str">
        <f t="shared" si="192"/>
        <v>Personality</v>
      </c>
      <c r="W917" t="str">
        <f t="shared" si="193"/>
        <v>Interview Preparation</v>
      </c>
      <c r="X917" t="str">
        <f t="shared" si="194"/>
        <v>Improve interview preparation and communication</v>
      </c>
    </row>
    <row r="918" spans="1:24" x14ac:dyDescent="0.3">
      <c r="A918">
        <v>22</v>
      </c>
      <c r="B918">
        <v>1</v>
      </c>
      <c r="C918">
        <v>2</v>
      </c>
      <c r="D918">
        <v>10</v>
      </c>
      <c r="E918">
        <v>1</v>
      </c>
      <c r="F918">
        <v>24.415029572819201</v>
      </c>
      <c r="G918">
        <v>8</v>
      </c>
      <c r="H918">
        <v>10</v>
      </c>
      <c r="I918">
        <v>12</v>
      </c>
      <c r="J918">
        <v>1</v>
      </c>
      <c r="K918">
        <v>0</v>
      </c>
      <c r="L918" t="str">
        <f t="shared" si="182"/>
        <v>C917</v>
      </c>
      <c r="M918" t="str">
        <f t="shared" si="183"/>
        <v>Female</v>
      </c>
      <c r="N918" t="str">
        <f t="shared" si="184"/>
        <v>Bachelor's Type 2</v>
      </c>
      <c r="O918" t="str">
        <f t="shared" si="185"/>
        <v>Senior Level</v>
      </c>
      <c r="P918" t="str">
        <f t="shared" si="186"/>
        <v>Low</v>
      </c>
      <c r="Q918" t="str">
        <f t="shared" si="187"/>
        <v>Beginner</v>
      </c>
      <c r="R918" t="str">
        <f t="shared" si="188"/>
        <v>Needs Improvement</v>
      </c>
      <c r="S918" t="str">
        <f t="shared" si="189"/>
        <v>Not Hired</v>
      </c>
      <c r="T918">
        <f t="shared" si="190"/>
        <v>20</v>
      </c>
      <c r="U918" t="str">
        <f t="shared" si="191"/>
        <v>Needs Improvement</v>
      </c>
      <c r="V918" t="str">
        <f t="shared" si="192"/>
        <v>Personality</v>
      </c>
      <c r="W918" t="str">
        <f t="shared" si="193"/>
        <v>Interview Preparation</v>
      </c>
      <c r="X918" t="str">
        <f t="shared" si="194"/>
        <v>Improve interview preparation and communication</v>
      </c>
    </row>
    <row r="919" spans="1:24" x14ac:dyDescent="0.3">
      <c r="A919">
        <v>38</v>
      </c>
      <c r="B919">
        <v>1</v>
      </c>
      <c r="C919">
        <v>3</v>
      </c>
      <c r="D919">
        <v>7</v>
      </c>
      <c r="E919">
        <v>4</v>
      </c>
      <c r="F919">
        <v>43.656408595511799</v>
      </c>
      <c r="G919">
        <v>93</v>
      </c>
      <c r="H919">
        <v>1</v>
      </c>
      <c r="I919">
        <v>27</v>
      </c>
      <c r="J919">
        <v>2</v>
      </c>
      <c r="K919">
        <v>0</v>
      </c>
      <c r="L919" t="str">
        <f t="shared" si="182"/>
        <v>C918</v>
      </c>
      <c r="M919" t="str">
        <f t="shared" si="183"/>
        <v>Female</v>
      </c>
      <c r="N919" t="str">
        <f t="shared" si="184"/>
        <v>Master's</v>
      </c>
      <c r="O919" t="str">
        <f t="shared" si="185"/>
        <v>Senior Level</v>
      </c>
      <c r="P919" t="str">
        <f t="shared" si="186"/>
        <v>Strong</v>
      </c>
      <c r="Q919" t="str">
        <f t="shared" si="187"/>
        <v>Beginner</v>
      </c>
      <c r="R919" t="str">
        <f t="shared" si="188"/>
        <v>Needs Improvement</v>
      </c>
      <c r="S919" t="str">
        <f t="shared" si="189"/>
        <v>Not Hired</v>
      </c>
      <c r="T919">
        <f t="shared" si="190"/>
        <v>44</v>
      </c>
      <c r="U919" t="str">
        <f t="shared" si="191"/>
        <v>Needs Improvement</v>
      </c>
      <c r="V919" t="str">
        <f t="shared" si="192"/>
        <v>Interview</v>
      </c>
      <c r="W919" t="str">
        <f t="shared" si="193"/>
        <v>Technical Skills</v>
      </c>
      <c r="X919" t="str">
        <f t="shared" si="194"/>
        <v>Strengthen technical skills and practical knowledge</v>
      </c>
    </row>
    <row r="920" spans="1:24" x14ac:dyDescent="0.3">
      <c r="A920">
        <v>39</v>
      </c>
      <c r="B920">
        <v>1</v>
      </c>
      <c r="C920">
        <v>2</v>
      </c>
      <c r="D920">
        <v>11</v>
      </c>
      <c r="E920">
        <v>1</v>
      </c>
      <c r="F920">
        <v>47.679022800334401</v>
      </c>
      <c r="G920">
        <v>49</v>
      </c>
      <c r="H920">
        <v>49</v>
      </c>
      <c r="I920">
        <v>83</v>
      </c>
      <c r="J920">
        <v>2</v>
      </c>
      <c r="K920">
        <v>0</v>
      </c>
      <c r="L920" t="str">
        <f t="shared" si="182"/>
        <v>C919</v>
      </c>
      <c r="M920" t="str">
        <f t="shared" si="183"/>
        <v>Female</v>
      </c>
      <c r="N920" t="str">
        <f t="shared" si="184"/>
        <v>Bachelor's Type 2</v>
      </c>
      <c r="O920" t="str">
        <f t="shared" si="185"/>
        <v>Senior Level</v>
      </c>
      <c r="P920" t="str">
        <f t="shared" si="186"/>
        <v>Low</v>
      </c>
      <c r="Q920" t="str">
        <f t="shared" si="187"/>
        <v>Beginner</v>
      </c>
      <c r="R920" t="str">
        <f t="shared" si="188"/>
        <v>Strong</v>
      </c>
      <c r="S920" t="str">
        <f t="shared" si="189"/>
        <v>Not Hired</v>
      </c>
      <c r="T920">
        <f t="shared" si="190"/>
        <v>60</v>
      </c>
      <c r="U920" t="str">
        <f t="shared" si="191"/>
        <v>Developing</v>
      </c>
      <c r="V920" t="str">
        <f t="shared" si="192"/>
        <v>Personality</v>
      </c>
      <c r="W920" t="str">
        <f t="shared" si="193"/>
        <v>Interview Preparation</v>
      </c>
      <c r="X920" t="str">
        <f t="shared" si="194"/>
        <v>Improve interview preparation and communication</v>
      </c>
    </row>
    <row r="921" spans="1:24" x14ac:dyDescent="0.3">
      <c r="A921">
        <v>44</v>
      </c>
      <c r="B921">
        <v>0</v>
      </c>
      <c r="C921">
        <v>3</v>
      </c>
      <c r="D921">
        <v>7</v>
      </c>
      <c r="E921">
        <v>5</v>
      </c>
      <c r="F921">
        <v>47.630110375182099</v>
      </c>
      <c r="G921">
        <v>15</v>
      </c>
      <c r="H921">
        <v>40</v>
      </c>
      <c r="I921">
        <v>96</v>
      </c>
      <c r="J921">
        <v>1</v>
      </c>
      <c r="K921">
        <v>1</v>
      </c>
      <c r="L921" t="str">
        <f t="shared" si="182"/>
        <v>C920</v>
      </c>
      <c r="M921" t="str">
        <f t="shared" si="183"/>
        <v>Male</v>
      </c>
      <c r="N921" t="str">
        <f t="shared" si="184"/>
        <v>Master's</v>
      </c>
      <c r="O921" t="str">
        <f t="shared" si="185"/>
        <v>Senior Level</v>
      </c>
      <c r="P921" t="str">
        <f t="shared" si="186"/>
        <v>Low</v>
      </c>
      <c r="Q921" t="str">
        <f t="shared" si="187"/>
        <v>Beginner</v>
      </c>
      <c r="R921" t="str">
        <f t="shared" si="188"/>
        <v>Strong</v>
      </c>
      <c r="S921" t="str">
        <f t="shared" si="189"/>
        <v>Hired</v>
      </c>
      <c r="T921">
        <f t="shared" si="190"/>
        <v>46</v>
      </c>
      <c r="U921" t="str">
        <f t="shared" si="191"/>
        <v>Needs Improvement</v>
      </c>
      <c r="V921" t="str">
        <f t="shared" si="192"/>
        <v>Personality</v>
      </c>
      <c r="W921" t="str">
        <f t="shared" si="193"/>
        <v>Interview Preparation</v>
      </c>
      <c r="X921" t="str">
        <f t="shared" si="194"/>
        <v>Improve interview preparation and communication</v>
      </c>
    </row>
    <row r="922" spans="1:24" x14ac:dyDescent="0.3">
      <c r="A922">
        <v>37</v>
      </c>
      <c r="B922">
        <v>1</v>
      </c>
      <c r="C922">
        <v>3</v>
      </c>
      <c r="D922">
        <v>10</v>
      </c>
      <c r="E922">
        <v>1</v>
      </c>
      <c r="F922">
        <v>7.2615012814373303</v>
      </c>
      <c r="G922">
        <v>32</v>
      </c>
      <c r="H922">
        <v>65</v>
      </c>
      <c r="I922">
        <v>79</v>
      </c>
      <c r="J922">
        <v>2</v>
      </c>
      <c r="K922">
        <v>1</v>
      </c>
      <c r="L922" t="str">
        <f t="shared" si="182"/>
        <v>C921</v>
      </c>
      <c r="M922" t="str">
        <f t="shared" si="183"/>
        <v>Female</v>
      </c>
      <c r="N922" t="str">
        <f t="shared" si="184"/>
        <v>Master's</v>
      </c>
      <c r="O922" t="str">
        <f t="shared" si="185"/>
        <v>Senior Level</v>
      </c>
      <c r="P922" t="str">
        <f t="shared" si="186"/>
        <v>Low</v>
      </c>
      <c r="Q922" t="str">
        <f t="shared" si="187"/>
        <v>Intermediate</v>
      </c>
      <c r="R922" t="str">
        <f t="shared" si="188"/>
        <v>Strong</v>
      </c>
      <c r="S922" t="str">
        <f t="shared" si="189"/>
        <v>Hired</v>
      </c>
      <c r="T922">
        <f t="shared" si="190"/>
        <v>59</v>
      </c>
      <c r="U922" t="str">
        <f t="shared" si="191"/>
        <v>Developing</v>
      </c>
      <c r="V922" t="str">
        <f t="shared" si="192"/>
        <v>Personality</v>
      </c>
      <c r="W922" t="str">
        <f t="shared" si="193"/>
        <v>Interview Preparation</v>
      </c>
      <c r="X922" t="str">
        <f t="shared" si="194"/>
        <v>Improve interview preparation and communication</v>
      </c>
    </row>
    <row r="923" spans="1:24" x14ac:dyDescent="0.3">
      <c r="A923">
        <v>34</v>
      </c>
      <c r="B923">
        <v>1</v>
      </c>
      <c r="C923">
        <v>1</v>
      </c>
      <c r="D923">
        <v>5</v>
      </c>
      <c r="E923">
        <v>4</v>
      </c>
      <c r="F923">
        <v>20.102694125552802</v>
      </c>
      <c r="G923">
        <v>1</v>
      </c>
      <c r="H923">
        <v>97</v>
      </c>
      <c r="I923">
        <v>61</v>
      </c>
      <c r="J923">
        <v>1</v>
      </c>
      <c r="K923">
        <v>1</v>
      </c>
      <c r="L923" t="str">
        <f t="shared" si="182"/>
        <v>C922</v>
      </c>
      <c r="M923" t="str">
        <f t="shared" si="183"/>
        <v>Female</v>
      </c>
      <c r="N923" t="str">
        <f t="shared" si="184"/>
        <v>Bachelor's Type 1</v>
      </c>
      <c r="O923" t="str">
        <f t="shared" si="185"/>
        <v>Mid Level</v>
      </c>
      <c r="P923" t="str">
        <f t="shared" si="186"/>
        <v>Low</v>
      </c>
      <c r="Q923" t="str">
        <f t="shared" si="187"/>
        <v>Advanced</v>
      </c>
      <c r="R923" t="str">
        <f t="shared" si="188"/>
        <v>Good</v>
      </c>
      <c r="S923" t="str">
        <f t="shared" si="189"/>
        <v>Hired</v>
      </c>
      <c r="T923">
        <f t="shared" si="190"/>
        <v>49</v>
      </c>
      <c r="U923" t="str">
        <f t="shared" si="191"/>
        <v>Needs Improvement</v>
      </c>
      <c r="V923" t="str">
        <f t="shared" si="192"/>
        <v>Technical Skills</v>
      </c>
      <c r="W923" t="str">
        <f t="shared" si="193"/>
        <v>Interview Preparation</v>
      </c>
      <c r="X923" t="str">
        <f t="shared" si="194"/>
        <v>Improve interview preparation and communication</v>
      </c>
    </row>
    <row r="924" spans="1:24" x14ac:dyDescent="0.3">
      <c r="A924">
        <v>28</v>
      </c>
      <c r="B924">
        <v>0</v>
      </c>
      <c r="C924">
        <v>2</v>
      </c>
      <c r="D924">
        <v>3</v>
      </c>
      <c r="E924">
        <v>3</v>
      </c>
      <c r="F924">
        <v>2.4114379825353098</v>
      </c>
      <c r="G924">
        <v>13</v>
      </c>
      <c r="H924">
        <v>2</v>
      </c>
      <c r="I924">
        <v>92</v>
      </c>
      <c r="J924">
        <v>2</v>
      </c>
      <c r="K924">
        <v>0</v>
      </c>
      <c r="L924" t="str">
        <f t="shared" si="182"/>
        <v>C923</v>
      </c>
      <c r="M924" t="str">
        <f t="shared" si="183"/>
        <v>Male</v>
      </c>
      <c r="N924" t="str">
        <f t="shared" si="184"/>
        <v>Bachelor's Type 2</v>
      </c>
      <c r="O924" t="str">
        <f t="shared" si="185"/>
        <v>Mid Level</v>
      </c>
      <c r="P924" t="str">
        <f t="shared" si="186"/>
        <v>Low</v>
      </c>
      <c r="Q924" t="str">
        <f t="shared" si="187"/>
        <v>Beginner</v>
      </c>
      <c r="R924" t="str">
        <f t="shared" si="188"/>
        <v>Strong</v>
      </c>
      <c r="S924" t="str">
        <f t="shared" si="189"/>
        <v>Not Hired</v>
      </c>
      <c r="T924">
        <f t="shared" si="190"/>
        <v>28</v>
      </c>
      <c r="U924" t="str">
        <f t="shared" si="191"/>
        <v>Needs Improvement</v>
      </c>
      <c r="V924" t="str">
        <f t="shared" si="192"/>
        <v>Personality</v>
      </c>
      <c r="W924" t="str">
        <f t="shared" si="193"/>
        <v>Technical Skills</v>
      </c>
      <c r="X924" t="str">
        <f t="shared" si="194"/>
        <v>Strengthen technical skills and practical knowledge</v>
      </c>
    </row>
    <row r="925" spans="1:24" x14ac:dyDescent="0.3">
      <c r="A925">
        <v>36</v>
      </c>
      <c r="B925">
        <v>1</v>
      </c>
      <c r="C925">
        <v>2</v>
      </c>
      <c r="D925">
        <v>7</v>
      </c>
      <c r="E925">
        <v>2</v>
      </c>
      <c r="F925">
        <v>43.758267248573603</v>
      </c>
      <c r="G925">
        <v>0</v>
      </c>
      <c r="H925">
        <v>79</v>
      </c>
      <c r="I925">
        <v>86</v>
      </c>
      <c r="J925">
        <v>2</v>
      </c>
      <c r="K925">
        <v>0</v>
      </c>
      <c r="L925" t="str">
        <f t="shared" si="182"/>
        <v>C924</v>
      </c>
      <c r="M925" t="str">
        <f t="shared" si="183"/>
        <v>Female</v>
      </c>
      <c r="N925" t="str">
        <f t="shared" si="184"/>
        <v>Bachelor's Type 2</v>
      </c>
      <c r="O925" t="str">
        <f t="shared" si="185"/>
        <v>Senior Level</v>
      </c>
      <c r="P925" t="str">
        <f t="shared" si="186"/>
        <v>Low</v>
      </c>
      <c r="Q925" t="str">
        <f t="shared" si="187"/>
        <v>Advanced</v>
      </c>
      <c r="R925" t="str">
        <f t="shared" si="188"/>
        <v>Strong</v>
      </c>
      <c r="S925" t="str">
        <f t="shared" si="189"/>
        <v>Not Hired</v>
      </c>
      <c r="T925">
        <f t="shared" si="190"/>
        <v>50</v>
      </c>
      <c r="U925" t="str">
        <f t="shared" si="191"/>
        <v>Developing</v>
      </c>
      <c r="V925" t="str">
        <f t="shared" si="192"/>
        <v>Personality</v>
      </c>
      <c r="W925" t="str">
        <f t="shared" si="193"/>
        <v>Interview Preparation</v>
      </c>
      <c r="X925" t="str">
        <f t="shared" si="194"/>
        <v>Improve interview preparation and communication</v>
      </c>
    </row>
    <row r="926" spans="1:24" x14ac:dyDescent="0.3">
      <c r="A926">
        <v>33</v>
      </c>
      <c r="B926">
        <v>1</v>
      </c>
      <c r="C926">
        <v>2</v>
      </c>
      <c r="D926">
        <v>12</v>
      </c>
      <c r="E926">
        <v>1</v>
      </c>
      <c r="F926">
        <v>18.9377881010636</v>
      </c>
      <c r="G926">
        <v>89</v>
      </c>
      <c r="H926">
        <v>50</v>
      </c>
      <c r="I926">
        <v>23</v>
      </c>
      <c r="J926">
        <v>2</v>
      </c>
      <c r="K926">
        <v>0</v>
      </c>
      <c r="L926" t="str">
        <f t="shared" si="182"/>
        <v>C925</v>
      </c>
      <c r="M926" t="str">
        <f t="shared" si="183"/>
        <v>Female</v>
      </c>
      <c r="N926" t="str">
        <f t="shared" si="184"/>
        <v>Bachelor's Type 2</v>
      </c>
      <c r="O926" t="str">
        <f t="shared" si="185"/>
        <v>Senior Level</v>
      </c>
      <c r="P926" t="str">
        <f t="shared" si="186"/>
        <v>Strong</v>
      </c>
      <c r="Q926" t="str">
        <f t="shared" si="187"/>
        <v>Intermediate</v>
      </c>
      <c r="R926" t="str">
        <f t="shared" si="188"/>
        <v>Needs Improvement</v>
      </c>
      <c r="S926" t="str">
        <f t="shared" si="189"/>
        <v>Not Hired</v>
      </c>
      <c r="T926">
        <f t="shared" si="190"/>
        <v>61</v>
      </c>
      <c r="U926" t="str">
        <f t="shared" si="191"/>
        <v>Developing</v>
      </c>
      <c r="V926" t="str">
        <f t="shared" si="192"/>
        <v>Interview</v>
      </c>
      <c r="W926" t="str">
        <f t="shared" si="193"/>
        <v>Personality &amp; Communication</v>
      </c>
      <c r="X926" t="str">
        <f t="shared" si="194"/>
        <v>Work on communication and personality development</v>
      </c>
    </row>
    <row r="927" spans="1:24" x14ac:dyDescent="0.3">
      <c r="A927">
        <v>34</v>
      </c>
      <c r="B927">
        <v>1</v>
      </c>
      <c r="C927">
        <v>3</v>
      </c>
      <c r="D927">
        <v>7</v>
      </c>
      <c r="E927">
        <v>2</v>
      </c>
      <c r="F927">
        <v>32.5558513946117</v>
      </c>
      <c r="G927">
        <v>57</v>
      </c>
      <c r="H927">
        <v>67</v>
      </c>
      <c r="I927">
        <v>97</v>
      </c>
      <c r="J927">
        <v>2</v>
      </c>
      <c r="K927">
        <v>1</v>
      </c>
      <c r="L927" t="str">
        <f t="shared" si="182"/>
        <v>C926</v>
      </c>
      <c r="M927" t="str">
        <f t="shared" si="183"/>
        <v>Female</v>
      </c>
      <c r="N927" t="str">
        <f t="shared" si="184"/>
        <v>Master's</v>
      </c>
      <c r="O927" t="str">
        <f t="shared" si="185"/>
        <v>Senior Level</v>
      </c>
      <c r="P927" t="str">
        <f t="shared" si="186"/>
        <v>Average</v>
      </c>
      <c r="Q927" t="str">
        <f t="shared" si="187"/>
        <v>Intermediate</v>
      </c>
      <c r="R927" t="str">
        <f t="shared" si="188"/>
        <v>Strong</v>
      </c>
      <c r="S927" t="str">
        <f t="shared" si="189"/>
        <v>Hired</v>
      </c>
      <c r="T927">
        <f t="shared" si="190"/>
        <v>67</v>
      </c>
      <c r="U927" t="str">
        <f t="shared" si="191"/>
        <v>Developing</v>
      </c>
      <c r="V927" t="str">
        <f t="shared" si="192"/>
        <v>Personality</v>
      </c>
      <c r="W927" t="str">
        <f t="shared" si="193"/>
        <v>Interview Preparation</v>
      </c>
      <c r="X927" t="str">
        <f t="shared" si="194"/>
        <v>Improve interview preparation and communication</v>
      </c>
    </row>
    <row r="928" spans="1:24" x14ac:dyDescent="0.3">
      <c r="A928">
        <v>50</v>
      </c>
      <c r="B928">
        <v>0</v>
      </c>
      <c r="C928">
        <v>2</v>
      </c>
      <c r="D928">
        <v>9</v>
      </c>
      <c r="E928">
        <v>5</v>
      </c>
      <c r="F928">
        <v>36.744921903864402</v>
      </c>
      <c r="G928">
        <v>88</v>
      </c>
      <c r="H928">
        <v>86</v>
      </c>
      <c r="I928">
        <v>6</v>
      </c>
      <c r="J928">
        <v>1</v>
      </c>
      <c r="K928">
        <v>1</v>
      </c>
      <c r="L928" t="str">
        <f t="shared" si="182"/>
        <v>C927</v>
      </c>
      <c r="M928" t="str">
        <f t="shared" si="183"/>
        <v>Male</v>
      </c>
      <c r="N928" t="str">
        <f t="shared" si="184"/>
        <v>Bachelor's Type 2</v>
      </c>
      <c r="O928" t="str">
        <f t="shared" si="185"/>
        <v>Senior Level</v>
      </c>
      <c r="P928" t="str">
        <f t="shared" si="186"/>
        <v>Strong</v>
      </c>
      <c r="Q928" t="str">
        <f t="shared" si="187"/>
        <v>Advanced</v>
      </c>
      <c r="R928" t="str">
        <f t="shared" si="188"/>
        <v>Needs Improvement</v>
      </c>
      <c r="S928" t="str">
        <f t="shared" si="189"/>
        <v>Hired</v>
      </c>
      <c r="T928">
        <f t="shared" si="190"/>
        <v>65</v>
      </c>
      <c r="U928" t="str">
        <f t="shared" si="191"/>
        <v>Developing</v>
      </c>
      <c r="V928" t="str">
        <f t="shared" si="192"/>
        <v>Interview</v>
      </c>
      <c r="W928" t="str">
        <f t="shared" si="193"/>
        <v>Personality &amp; Communication</v>
      </c>
      <c r="X928" t="str">
        <f t="shared" si="194"/>
        <v>Work on communication and personality development</v>
      </c>
    </row>
    <row r="929" spans="1:24" x14ac:dyDescent="0.3">
      <c r="A929">
        <v>20</v>
      </c>
      <c r="B929">
        <v>0</v>
      </c>
      <c r="C929">
        <v>1</v>
      </c>
      <c r="D929">
        <v>13</v>
      </c>
      <c r="E929">
        <v>3</v>
      </c>
      <c r="F929">
        <v>22.492233487157701</v>
      </c>
      <c r="G929">
        <v>15</v>
      </c>
      <c r="H929">
        <v>83</v>
      </c>
      <c r="I929">
        <v>37</v>
      </c>
      <c r="J929">
        <v>2</v>
      </c>
      <c r="K929">
        <v>0</v>
      </c>
      <c r="L929" t="str">
        <f t="shared" si="182"/>
        <v>C928</v>
      </c>
      <c r="M929" t="str">
        <f t="shared" si="183"/>
        <v>Male</v>
      </c>
      <c r="N929" t="str">
        <f t="shared" si="184"/>
        <v>Bachelor's Type 1</v>
      </c>
      <c r="O929" t="str">
        <f t="shared" si="185"/>
        <v>Senior Level</v>
      </c>
      <c r="P929" t="str">
        <f t="shared" si="186"/>
        <v>Low</v>
      </c>
      <c r="Q929" t="str">
        <f t="shared" si="187"/>
        <v>Advanced</v>
      </c>
      <c r="R929" t="str">
        <f t="shared" si="188"/>
        <v>Needs Improvement</v>
      </c>
      <c r="S929" t="str">
        <f t="shared" si="189"/>
        <v>Not Hired</v>
      </c>
      <c r="T929">
        <f t="shared" si="190"/>
        <v>52</v>
      </c>
      <c r="U929" t="str">
        <f t="shared" si="191"/>
        <v>Developing</v>
      </c>
      <c r="V929" t="str">
        <f t="shared" si="192"/>
        <v>Technical Skills</v>
      </c>
      <c r="W929" t="str">
        <f t="shared" si="193"/>
        <v>Interview Preparation</v>
      </c>
      <c r="X929" t="str">
        <f t="shared" si="194"/>
        <v>Improve interview preparation and communication</v>
      </c>
    </row>
    <row r="930" spans="1:24" x14ac:dyDescent="0.3">
      <c r="A930">
        <v>40</v>
      </c>
      <c r="B930">
        <v>0</v>
      </c>
      <c r="C930">
        <v>2</v>
      </c>
      <c r="D930">
        <v>0</v>
      </c>
      <c r="E930">
        <v>3</v>
      </c>
      <c r="F930">
        <v>16.322116827512101</v>
      </c>
      <c r="G930">
        <v>78</v>
      </c>
      <c r="H930">
        <v>24</v>
      </c>
      <c r="I930">
        <v>36</v>
      </c>
      <c r="J930">
        <v>1</v>
      </c>
      <c r="K930">
        <v>0</v>
      </c>
      <c r="L930" t="str">
        <f t="shared" si="182"/>
        <v>C929</v>
      </c>
      <c r="M930" t="str">
        <f t="shared" si="183"/>
        <v>Male</v>
      </c>
      <c r="N930" t="str">
        <f t="shared" si="184"/>
        <v>Bachelor's Type 2</v>
      </c>
      <c r="O930" t="str">
        <f t="shared" si="185"/>
        <v>Entry Level</v>
      </c>
      <c r="P930" t="str">
        <f t="shared" si="186"/>
        <v>Strong</v>
      </c>
      <c r="Q930" t="str">
        <f t="shared" si="187"/>
        <v>Beginner</v>
      </c>
      <c r="R930" t="str">
        <f t="shared" si="188"/>
        <v>Needs Improvement</v>
      </c>
      <c r="S930" t="str">
        <f t="shared" si="189"/>
        <v>Not Hired</v>
      </c>
      <c r="T930">
        <f t="shared" si="190"/>
        <v>40</v>
      </c>
      <c r="U930" t="str">
        <f t="shared" si="191"/>
        <v>Needs Improvement</v>
      </c>
      <c r="V930" t="str">
        <f t="shared" si="192"/>
        <v>Interview</v>
      </c>
      <c r="W930" t="str">
        <f t="shared" si="193"/>
        <v>Technical Skills</v>
      </c>
      <c r="X930" t="str">
        <f t="shared" si="194"/>
        <v>Strengthen technical skills and practical knowledge</v>
      </c>
    </row>
    <row r="931" spans="1:24" x14ac:dyDescent="0.3">
      <c r="A931">
        <v>41</v>
      </c>
      <c r="B931">
        <v>0</v>
      </c>
      <c r="C931">
        <v>4</v>
      </c>
      <c r="D931">
        <v>15</v>
      </c>
      <c r="E931">
        <v>1</v>
      </c>
      <c r="F931">
        <v>49.110645505797201</v>
      </c>
      <c r="G931">
        <v>89</v>
      </c>
      <c r="H931">
        <v>29</v>
      </c>
      <c r="I931">
        <v>67</v>
      </c>
      <c r="J931">
        <v>3</v>
      </c>
      <c r="K931">
        <v>1</v>
      </c>
      <c r="L931" t="str">
        <f t="shared" si="182"/>
        <v>C930</v>
      </c>
      <c r="M931" t="str">
        <f t="shared" si="183"/>
        <v>Male</v>
      </c>
      <c r="N931" t="str">
        <f t="shared" si="184"/>
        <v>PhD</v>
      </c>
      <c r="O931" t="str">
        <f t="shared" si="185"/>
        <v>Senior Level</v>
      </c>
      <c r="P931" t="str">
        <f t="shared" si="186"/>
        <v>Strong</v>
      </c>
      <c r="Q931" t="str">
        <f t="shared" si="187"/>
        <v>Beginner</v>
      </c>
      <c r="R931" t="str">
        <f t="shared" si="188"/>
        <v>Good</v>
      </c>
      <c r="S931" t="str">
        <f t="shared" si="189"/>
        <v>Hired</v>
      </c>
      <c r="T931">
        <f t="shared" si="190"/>
        <v>69</v>
      </c>
      <c r="U931" t="str">
        <f t="shared" si="191"/>
        <v>Developing</v>
      </c>
      <c r="V931" t="str">
        <f t="shared" si="192"/>
        <v>Interview</v>
      </c>
      <c r="W931" t="str">
        <f t="shared" si="193"/>
        <v>Technical Skills</v>
      </c>
      <c r="X931" t="str">
        <f t="shared" si="194"/>
        <v>Strengthen technical skills and practical knowledge</v>
      </c>
    </row>
    <row r="932" spans="1:24" x14ac:dyDescent="0.3">
      <c r="A932">
        <v>41</v>
      </c>
      <c r="B932">
        <v>1</v>
      </c>
      <c r="C932">
        <v>1</v>
      </c>
      <c r="D932">
        <v>3</v>
      </c>
      <c r="E932">
        <v>3</v>
      </c>
      <c r="F932">
        <v>49.224411251192699</v>
      </c>
      <c r="G932">
        <v>46</v>
      </c>
      <c r="H932">
        <v>81</v>
      </c>
      <c r="I932">
        <v>97</v>
      </c>
      <c r="J932">
        <v>3</v>
      </c>
      <c r="K932">
        <v>0</v>
      </c>
      <c r="L932" t="str">
        <f t="shared" si="182"/>
        <v>C931</v>
      </c>
      <c r="M932" t="str">
        <f t="shared" si="183"/>
        <v>Female</v>
      </c>
      <c r="N932" t="str">
        <f t="shared" si="184"/>
        <v>Bachelor's Type 1</v>
      </c>
      <c r="O932" t="str">
        <f t="shared" si="185"/>
        <v>Mid Level</v>
      </c>
      <c r="P932" t="str">
        <f t="shared" si="186"/>
        <v>Low</v>
      </c>
      <c r="Q932" t="str">
        <f t="shared" si="187"/>
        <v>Advanced</v>
      </c>
      <c r="R932" t="str">
        <f t="shared" si="188"/>
        <v>Strong</v>
      </c>
      <c r="S932" t="str">
        <f t="shared" si="189"/>
        <v>Not Hired</v>
      </c>
      <c r="T932">
        <f t="shared" si="190"/>
        <v>63</v>
      </c>
      <c r="U932" t="str">
        <f t="shared" si="191"/>
        <v>Developing</v>
      </c>
      <c r="V932" t="str">
        <f t="shared" si="192"/>
        <v>Personality</v>
      </c>
      <c r="W932" t="str">
        <f t="shared" si="193"/>
        <v>Interview Preparation</v>
      </c>
      <c r="X932" t="str">
        <f t="shared" si="194"/>
        <v>Improve interview preparation and communication</v>
      </c>
    </row>
    <row r="933" spans="1:24" x14ac:dyDescent="0.3">
      <c r="A933">
        <v>22</v>
      </c>
      <c r="B933">
        <v>0</v>
      </c>
      <c r="C933">
        <v>3</v>
      </c>
      <c r="D933">
        <v>3</v>
      </c>
      <c r="E933">
        <v>1</v>
      </c>
      <c r="F933">
        <v>15.471818401501</v>
      </c>
      <c r="G933">
        <v>43</v>
      </c>
      <c r="H933">
        <v>10</v>
      </c>
      <c r="I933">
        <v>41</v>
      </c>
      <c r="J933">
        <v>2</v>
      </c>
      <c r="K933">
        <v>0</v>
      </c>
      <c r="L933" t="str">
        <f t="shared" si="182"/>
        <v>C932</v>
      </c>
      <c r="M933" t="str">
        <f t="shared" si="183"/>
        <v>Male</v>
      </c>
      <c r="N933" t="str">
        <f t="shared" si="184"/>
        <v>Master's</v>
      </c>
      <c r="O933" t="str">
        <f t="shared" si="185"/>
        <v>Mid Level</v>
      </c>
      <c r="P933" t="str">
        <f t="shared" si="186"/>
        <v>Low</v>
      </c>
      <c r="Q933" t="str">
        <f t="shared" si="187"/>
        <v>Beginner</v>
      </c>
      <c r="R933" t="str">
        <f t="shared" si="188"/>
        <v>Needs Improvement</v>
      </c>
      <c r="S933" t="str">
        <f t="shared" si="189"/>
        <v>Not Hired</v>
      </c>
      <c r="T933">
        <f t="shared" si="190"/>
        <v>31</v>
      </c>
      <c r="U933" t="str">
        <f t="shared" si="191"/>
        <v>Needs Improvement</v>
      </c>
      <c r="V933" t="str">
        <f t="shared" si="192"/>
        <v>Interview</v>
      </c>
      <c r="W933" t="str">
        <f t="shared" si="193"/>
        <v>Technical Skills</v>
      </c>
      <c r="X933" t="str">
        <f t="shared" si="194"/>
        <v>Strengthen technical skills and practical knowledge</v>
      </c>
    </row>
    <row r="934" spans="1:24" x14ac:dyDescent="0.3">
      <c r="A934">
        <v>35</v>
      </c>
      <c r="B934">
        <v>0</v>
      </c>
      <c r="C934">
        <v>2</v>
      </c>
      <c r="D934">
        <v>6</v>
      </c>
      <c r="E934">
        <v>1</v>
      </c>
      <c r="F934">
        <v>24.981254837222899</v>
      </c>
      <c r="G934">
        <v>79</v>
      </c>
      <c r="H934">
        <v>92</v>
      </c>
      <c r="I934">
        <v>85</v>
      </c>
      <c r="J934">
        <v>3</v>
      </c>
      <c r="K934">
        <v>1</v>
      </c>
      <c r="L934" t="str">
        <f t="shared" si="182"/>
        <v>C933</v>
      </c>
      <c r="M934" t="str">
        <f t="shared" si="183"/>
        <v>Male</v>
      </c>
      <c r="N934" t="str">
        <f t="shared" si="184"/>
        <v>Bachelor's Type 2</v>
      </c>
      <c r="O934" t="str">
        <f t="shared" si="185"/>
        <v>Mid Level</v>
      </c>
      <c r="P934" t="str">
        <f t="shared" si="186"/>
        <v>Strong</v>
      </c>
      <c r="Q934" t="str">
        <f t="shared" si="187"/>
        <v>Advanced</v>
      </c>
      <c r="R934" t="str">
        <f t="shared" si="188"/>
        <v>Strong</v>
      </c>
      <c r="S934" t="str">
        <f t="shared" si="189"/>
        <v>Hired</v>
      </c>
      <c r="T934">
        <f t="shared" si="190"/>
        <v>77</v>
      </c>
      <c r="U934" t="str">
        <f t="shared" si="191"/>
        <v>Job Ready</v>
      </c>
      <c r="V934" t="str">
        <f t="shared" si="192"/>
        <v>Technical Skills</v>
      </c>
      <c r="W934" t="str">
        <f t="shared" si="193"/>
        <v>Interview Preparation</v>
      </c>
      <c r="X934" t="str">
        <f t="shared" si="194"/>
        <v>Improve interview preparation and communication</v>
      </c>
    </row>
    <row r="935" spans="1:24" x14ac:dyDescent="0.3">
      <c r="A935">
        <v>42</v>
      </c>
      <c r="B935">
        <v>1</v>
      </c>
      <c r="C935">
        <v>3</v>
      </c>
      <c r="D935">
        <v>15</v>
      </c>
      <c r="E935">
        <v>2</v>
      </c>
      <c r="F935">
        <v>49.642207933001103</v>
      </c>
      <c r="G935">
        <v>13</v>
      </c>
      <c r="H935">
        <v>16</v>
      </c>
      <c r="I935">
        <v>4</v>
      </c>
      <c r="J935">
        <v>2</v>
      </c>
      <c r="K935">
        <v>0</v>
      </c>
      <c r="L935" t="str">
        <f t="shared" si="182"/>
        <v>C934</v>
      </c>
      <c r="M935" t="str">
        <f t="shared" si="183"/>
        <v>Female</v>
      </c>
      <c r="N935" t="str">
        <f t="shared" si="184"/>
        <v>Master's</v>
      </c>
      <c r="O935" t="str">
        <f t="shared" si="185"/>
        <v>Senior Level</v>
      </c>
      <c r="P935" t="str">
        <f t="shared" si="186"/>
        <v>Low</v>
      </c>
      <c r="Q935" t="str">
        <f t="shared" si="187"/>
        <v>Beginner</v>
      </c>
      <c r="R935" t="str">
        <f t="shared" si="188"/>
        <v>Needs Improvement</v>
      </c>
      <c r="S935" t="str">
        <f t="shared" si="189"/>
        <v>Not Hired</v>
      </c>
      <c r="T935">
        <f t="shared" si="190"/>
        <v>28</v>
      </c>
      <c r="U935" t="str">
        <f t="shared" si="191"/>
        <v>Needs Improvement</v>
      </c>
      <c r="V935" t="str">
        <f t="shared" si="192"/>
        <v>Technical Skills</v>
      </c>
      <c r="W935" t="str">
        <f t="shared" si="193"/>
        <v>Personality &amp; Communication</v>
      </c>
      <c r="X935" t="str">
        <f t="shared" si="194"/>
        <v>Work on communication and personality development</v>
      </c>
    </row>
    <row r="936" spans="1:24" x14ac:dyDescent="0.3">
      <c r="A936">
        <v>44</v>
      </c>
      <c r="B936">
        <v>1</v>
      </c>
      <c r="C936">
        <v>3</v>
      </c>
      <c r="D936">
        <v>13</v>
      </c>
      <c r="E936">
        <v>3</v>
      </c>
      <c r="F936">
        <v>1.24342038277516</v>
      </c>
      <c r="G936">
        <v>92</v>
      </c>
      <c r="H936">
        <v>25</v>
      </c>
      <c r="I936">
        <v>63</v>
      </c>
      <c r="J936">
        <v>3</v>
      </c>
      <c r="K936">
        <v>1</v>
      </c>
      <c r="L936" t="str">
        <f t="shared" si="182"/>
        <v>C935</v>
      </c>
      <c r="M936" t="str">
        <f t="shared" si="183"/>
        <v>Female</v>
      </c>
      <c r="N936" t="str">
        <f t="shared" si="184"/>
        <v>Master's</v>
      </c>
      <c r="O936" t="str">
        <f t="shared" si="185"/>
        <v>Senior Level</v>
      </c>
      <c r="P936" t="str">
        <f t="shared" si="186"/>
        <v>Strong</v>
      </c>
      <c r="Q936" t="str">
        <f t="shared" si="187"/>
        <v>Beginner</v>
      </c>
      <c r="R936" t="str">
        <f t="shared" si="188"/>
        <v>Good</v>
      </c>
      <c r="S936" t="str">
        <f t="shared" si="189"/>
        <v>Hired</v>
      </c>
      <c r="T936">
        <f t="shared" si="190"/>
        <v>64</v>
      </c>
      <c r="U936" t="str">
        <f t="shared" si="191"/>
        <v>Developing</v>
      </c>
      <c r="V936" t="str">
        <f t="shared" si="192"/>
        <v>Interview</v>
      </c>
      <c r="W936" t="str">
        <f t="shared" si="193"/>
        <v>Technical Skills</v>
      </c>
      <c r="X936" t="str">
        <f t="shared" si="194"/>
        <v>Strengthen technical skills and practical knowledge</v>
      </c>
    </row>
    <row r="937" spans="1:24" x14ac:dyDescent="0.3">
      <c r="A937">
        <v>30</v>
      </c>
      <c r="B937">
        <v>1</v>
      </c>
      <c r="C937">
        <v>2</v>
      </c>
      <c r="D937">
        <v>13</v>
      </c>
      <c r="E937">
        <v>1</v>
      </c>
      <c r="F937">
        <v>21.633912418957401</v>
      </c>
      <c r="G937">
        <v>23</v>
      </c>
      <c r="H937">
        <v>22</v>
      </c>
      <c r="I937">
        <v>49</v>
      </c>
      <c r="J937">
        <v>2</v>
      </c>
      <c r="K937">
        <v>0</v>
      </c>
      <c r="L937" t="str">
        <f t="shared" si="182"/>
        <v>C936</v>
      </c>
      <c r="M937" t="str">
        <f t="shared" si="183"/>
        <v>Female</v>
      </c>
      <c r="N937" t="str">
        <f t="shared" si="184"/>
        <v>Bachelor's Type 2</v>
      </c>
      <c r="O937" t="str">
        <f t="shared" si="185"/>
        <v>Senior Level</v>
      </c>
      <c r="P937" t="str">
        <f t="shared" si="186"/>
        <v>Low</v>
      </c>
      <c r="Q937" t="str">
        <f t="shared" si="187"/>
        <v>Beginner</v>
      </c>
      <c r="R937" t="str">
        <f t="shared" si="188"/>
        <v>Needs Improvement</v>
      </c>
      <c r="S937" t="str">
        <f t="shared" si="189"/>
        <v>Not Hired</v>
      </c>
      <c r="T937">
        <f t="shared" si="190"/>
        <v>39</v>
      </c>
      <c r="U937" t="str">
        <f t="shared" si="191"/>
        <v>Needs Improvement</v>
      </c>
      <c r="V937" t="str">
        <f t="shared" si="192"/>
        <v>Personality</v>
      </c>
      <c r="W937" t="str">
        <f t="shared" si="193"/>
        <v>Technical Skills</v>
      </c>
      <c r="X937" t="str">
        <f t="shared" si="194"/>
        <v>Strengthen technical skills and practical knowledge</v>
      </c>
    </row>
    <row r="938" spans="1:24" x14ac:dyDescent="0.3">
      <c r="A938">
        <v>31</v>
      </c>
      <c r="B938">
        <v>0</v>
      </c>
      <c r="C938">
        <v>2</v>
      </c>
      <c r="D938">
        <v>10</v>
      </c>
      <c r="E938">
        <v>2</v>
      </c>
      <c r="F938">
        <v>6.0228774840484203</v>
      </c>
      <c r="G938">
        <v>54</v>
      </c>
      <c r="H938">
        <v>55</v>
      </c>
      <c r="I938">
        <v>86</v>
      </c>
      <c r="J938">
        <v>1</v>
      </c>
      <c r="K938">
        <v>1</v>
      </c>
      <c r="L938" t="str">
        <f t="shared" si="182"/>
        <v>C937</v>
      </c>
      <c r="M938" t="str">
        <f t="shared" si="183"/>
        <v>Male</v>
      </c>
      <c r="N938" t="str">
        <f t="shared" si="184"/>
        <v>Bachelor's Type 2</v>
      </c>
      <c r="O938" t="str">
        <f t="shared" si="185"/>
        <v>Senior Level</v>
      </c>
      <c r="P938" t="str">
        <f t="shared" si="186"/>
        <v>Average</v>
      </c>
      <c r="Q938" t="str">
        <f t="shared" si="187"/>
        <v>Intermediate</v>
      </c>
      <c r="R938" t="str">
        <f t="shared" si="188"/>
        <v>Strong</v>
      </c>
      <c r="S938" t="str">
        <f t="shared" si="189"/>
        <v>Hired</v>
      </c>
      <c r="T938">
        <f t="shared" si="190"/>
        <v>62</v>
      </c>
      <c r="U938" t="str">
        <f t="shared" si="191"/>
        <v>Developing</v>
      </c>
      <c r="V938" t="str">
        <f t="shared" si="192"/>
        <v>Personality</v>
      </c>
      <c r="W938" t="str">
        <f t="shared" si="193"/>
        <v>Interview Preparation</v>
      </c>
      <c r="X938" t="str">
        <f t="shared" si="194"/>
        <v>Improve interview preparation and communication</v>
      </c>
    </row>
    <row r="939" spans="1:24" x14ac:dyDescent="0.3">
      <c r="A939">
        <v>29</v>
      </c>
      <c r="B939">
        <v>0</v>
      </c>
      <c r="C939">
        <v>3</v>
      </c>
      <c r="D939">
        <v>6</v>
      </c>
      <c r="E939">
        <v>4</v>
      </c>
      <c r="F939">
        <v>26.457898278130099</v>
      </c>
      <c r="G939">
        <v>14</v>
      </c>
      <c r="H939">
        <v>51</v>
      </c>
      <c r="I939">
        <v>14</v>
      </c>
      <c r="J939">
        <v>3</v>
      </c>
      <c r="K939">
        <v>0</v>
      </c>
      <c r="L939" t="str">
        <f t="shared" si="182"/>
        <v>C938</v>
      </c>
      <c r="M939" t="str">
        <f t="shared" si="183"/>
        <v>Male</v>
      </c>
      <c r="N939" t="str">
        <f t="shared" si="184"/>
        <v>Master's</v>
      </c>
      <c r="O939" t="str">
        <f t="shared" si="185"/>
        <v>Mid Level</v>
      </c>
      <c r="P939" t="str">
        <f t="shared" si="186"/>
        <v>Low</v>
      </c>
      <c r="Q939" t="str">
        <f t="shared" si="187"/>
        <v>Intermediate</v>
      </c>
      <c r="R939" t="str">
        <f t="shared" si="188"/>
        <v>Needs Improvement</v>
      </c>
      <c r="S939" t="str">
        <f t="shared" si="189"/>
        <v>Not Hired</v>
      </c>
      <c r="T939">
        <f t="shared" si="190"/>
        <v>32</v>
      </c>
      <c r="U939" t="str">
        <f t="shared" si="191"/>
        <v>Needs Improvement</v>
      </c>
      <c r="V939" t="str">
        <f t="shared" si="192"/>
        <v>Technical Skills</v>
      </c>
      <c r="W939" t="str">
        <f t="shared" si="193"/>
        <v>Interview Preparation</v>
      </c>
      <c r="X939" t="str">
        <f t="shared" si="194"/>
        <v>Improve interview preparation and communication</v>
      </c>
    </row>
    <row r="940" spans="1:24" x14ac:dyDescent="0.3">
      <c r="A940">
        <v>35</v>
      </c>
      <c r="B940">
        <v>0</v>
      </c>
      <c r="C940">
        <v>2</v>
      </c>
      <c r="D940">
        <v>15</v>
      </c>
      <c r="E940">
        <v>2</v>
      </c>
      <c r="F940">
        <v>2.2334977270243499</v>
      </c>
      <c r="G940">
        <v>82</v>
      </c>
      <c r="H940">
        <v>47</v>
      </c>
      <c r="I940">
        <v>94</v>
      </c>
      <c r="J940">
        <v>1</v>
      </c>
      <c r="K940">
        <v>1</v>
      </c>
      <c r="L940" t="str">
        <f t="shared" si="182"/>
        <v>C939</v>
      </c>
      <c r="M940" t="str">
        <f t="shared" si="183"/>
        <v>Male</v>
      </c>
      <c r="N940" t="str">
        <f t="shared" si="184"/>
        <v>Bachelor's Type 2</v>
      </c>
      <c r="O940" t="str">
        <f t="shared" si="185"/>
        <v>Senior Level</v>
      </c>
      <c r="P940" t="str">
        <f t="shared" si="186"/>
        <v>Strong</v>
      </c>
      <c r="Q940" t="str">
        <f t="shared" si="187"/>
        <v>Beginner</v>
      </c>
      <c r="R940" t="str">
        <f t="shared" si="188"/>
        <v>Strong</v>
      </c>
      <c r="S940" t="str">
        <f t="shared" si="189"/>
        <v>Hired</v>
      </c>
      <c r="T940">
        <f t="shared" si="190"/>
        <v>75</v>
      </c>
      <c r="U940" t="str">
        <f t="shared" si="191"/>
        <v>Job Ready</v>
      </c>
      <c r="V940" t="str">
        <f t="shared" si="192"/>
        <v>Personality</v>
      </c>
      <c r="W940" t="str">
        <f t="shared" si="193"/>
        <v>Technical Skills</v>
      </c>
      <c r="X940" t="str">
        <f t="shared" si="194"/>
        <v>Strengthen technical skills and practical knowledge</v>
      </c>
    </row>
    <row r="941" spans="1:24" x14ac:dyDescent="0.3">
      <c r="A941">
        <v>27</v>
      </c>
      <c r="B941">
        <v>1</v>
      </c>
      <c r="C941">
        <v>3</v>
      </c>
      <c r="D941">
        <v>12</v>
      </c>
      <c r="E941">
        <v>2</v>
      </c>
      <c r="F941">
        <v>21.344921569531301</v>
      </c>
      <c r="G941">
        <v>71</v>
      </c>
      <c r="H941">
        <v>19</v>
      </c>
      <c r="I941">
        <v>72</v>
      </c>
      <c r="J941">
        <v>1</v>
      </c>
      <c r="K941">
        <v>1</v>
      </c>
      <c r="L941" t="str">
        <f t="shared" si="182"/>
        <v>C940</v>
      </c>
      <c r="M941" t="str">
        <f t="shared" si="183"/>
        <v>Female</v>
      </c>
      <c r="N941" t="str">
        <f t="shared" si="184"/>
        <v>Master's</v>
      </c>
      <c r="O941" t="str">
        <f t="shared" si="185"/>
        <v>Senior Level</v>
      </c>
      <c r="P941" t="str">
        <f t="shared" si="186"/>
        <v>Average</v>
      </c>
      <c r="Q941" t="str">
        <f t="shared" si="187"/>
        <v>Beginner</v>
      </c>
      <c r="R941" t="str">
        <f t="shared" si="188"/>
        <v>Good</v>
      </c>
      <c r="S941" t="str">
        <f t="shared" si="189"/>
        <v>Hired</v>
      </c>
      <c r="T941">
        <f t="shared" si="190"/>
        <v>57</v>
      </c>
      <c r="U941" t="str">
        <f t="shared" si="191"/>
        <v>Developing</v>
      </c>
      <c r="V941" t="str">
        <f t="shared" si="192"/>
        <v>Personality</v>
      </c>
      <c r="W941" t="str">
        <f t="shared" si="193"/>
        <v>Technical Skills</v>
      </c>
      <c r="X941" t="str">
        <f t="shared" si="194"/>
        <v>Strengthen technical skills and practical knowledge</v>
      </c>
    </row>
    <row r="942" spans="1:24" x14ac:dyDescent="0.3">
      <c r="A942">
        <v>25</v>
      </c>
      <c r="B942">
        <v>1</v>
      </c>
      <c r="C942">
        <v>1</v>
      </c>
      <c r="D942">
        <v>10</v>
      </c>
      <c r="E942">
        <v>1</v>
      </c>
      <c r="F942">
        <v>12.034953739266699</v>
      </c>
      <c r="G942">
        <v>33</v>
      </c>
      <c r="H942">
        <v>1</v>
      </c>
      <c r="I942">
        <v>52</v>
      </c>
      <c r="J942">
        <v>1</v>
      </c>
      <c r="K942">
        <v>0</v>
      </c>
      <c r="L942" t="str">
        <f t="shared" si="182"/>
        <v>C941</v>
      </c>
      <c r="M942" t="str">
        <f t="shared" si="183"/>
        <v>Female</v>
      </c>
      <c r="N942" t="str">
        <f t="shared" si="184"/>
        <v>Bachelor's Type 1</v>
      </c>
      <c r="O942" t="str">
        <f t="shared" si="185"/>
        <v>Senior Level</v>
      </c>
      <c r="P942" t="str">
        <f t="shared" si="186"/>
        <v>Low</v>
      </c>
      <c r="Q942" t="str">
        <f t="shared" si="187"/>
        <v>Beginner</v>
      </c>
      <c r="R942" t="str">
        <f t="shared" si="188"/>
        <v>Good</v>
      </c>
      <c r="S942" t="str">
        <f t="shared" si="189"/>
        <v>Not Hired</v>
      </c>
      <c r="T942">
        <f t="shared" si="190"/>
        <v>33</v>
      </c>
      <c r="U942" t="str">
        <f t="shared" si="191"/>
        <v>Needs Improvement</v>
      </c>
      <c r="V942" t="str">
        <f t="shared" si="192"/>
        <v>Personality</v>
      </c>
      <c r="W942" t="str">
        <f t="shared" si="193"/>
        <v>Technical Skills</v>
      </c>
      <c r="X942" t="str">
        <f t="shared" si="194"/>
        <v>Strengthen technical skills and practical knowledge</v>
      </c>
    </row>
    <row r="943" spans="1:24" x14ac:dyDescent="0.3">
      <c r="A943">
        <v>31</v>
      </c>
      <c r="B943">
        <v>0</v>
      </c>
      <c r="C943">
        <v>3</v>
      </c>
      <c r="D943">
        <v>14</v>
      </c>
      <c r="E943">
        <v>5</v>
      </c>
      <c r="F943">
        <v>27.665418122937002</v>
      </c>
      <c r="G943">
        <v>1</v>
      </c>
      <c r="H943">
        <v>87</v>
      </c>
      <c r="I943">
        <v>24</v>
      </c>
      <c r="J943">
        <v>2</v>
      </c>
      <c r="K943">
        <v>0</v>
      </c>
      <c r="L943" t="str">
        <f t="shared" si="182"/>
        <v>C942</v>
      </c>
      <c r="M943" t="str">
        <f t="shared" si="183"/>
        <v>Male</v>
      </c>
      <c r="N943" t="str">
        <f t="shared" si="184"/>
        <v>Master's</v>
      </c>
      <c r="O943" t="str">
        <f t="shared" si="185"/>
        <v>Senior Level</v>
      </c>
      <c r="P943" t="str">
        <f t="shared" si="186"/>
        <v>Low</v>
      </c>
      <c r="Q943" t="str">
        <f t="shared" si="187"/>
        <v>Advanced</v>
      </c>
      <c r="R943" t="str">
        <f t="shared" si="188"/>
        <v>Needs Improvement</v>
      </c>
      <c r="S943" t="str">
        <f t="shared" si="189"/>
        <v>Not Hired</v>
      </c>
      <c r="T943">
        <f t="shared" si="190"/>
        <v>49</v>
      </c>
      <c r="U943" t="str">
        <f t="shared" si="191"/>
        <v>Needs Improvement</v>
      </c>
      <c r="V943" t="str">
        <f t="shared" si="192"/>
        <v>Technical Skills</v>
      </c>
      <c r="W943" t="str">
        <f t="shared" si="193"/>
        <v>Interview Preparation</v>
      </c>
      <c r="X943" t="str">
        <f t="shared" si="194"/>
        <v>Improve interview preparation and communication</v>
      </c>
    </row>
    <row r="944" spans="1:24" x14ac:dyDescent="0.3">
      <c r="A944">
        <v>43</v>
      </c>
      <c r="B944">
        <v>1</v>
      </c>
      <c r="C944">
        <v>3</v>
      </c>
      <c r="D944">
        <v>7</v>
      </c>
      <c r="E944">
        <v>5</v>
      </c>
      <c r="F944">
        <v>50.799682455034898</v>
      </c>
      <c r="G944">
        <v>26</v>
      </c>
      <c r="H944">
        <v>30</v>
      </c>
      <c r="I944">
        <v>88</v>
      </c>
      <c r="J944">
        <v>2</v>
      </c>
      <c r="K944">
        <v>0</v>
      </c>
      <c r="L944" t="str">
        <f t="shared" si="182"/>
        <v>C943</v>
      </c>
      <c r="M944" t="str">
        <f t="shared" si="183"/>
        <v>Female</v>
      </c>
      <c r="N944" t="str">
        <f t="shared" si="184"/>
        <v>Master's</v>
      </c>
      <c r="O944" t="str">
        <f t="shared" si="185"/>
        <v>Senior Level</v>
      </c>
      <c r="P944" t="str">
        <f t="shared" si="186"/>
        <v>Low</v>
      </c>
      <c r="Q944" t="str">
        <f t="shared" si="187"/>
        <v>Beginner</v>
      </c>
      <c r="R944" t="str">
        <f t="shared" si="188"/>
        <v>Strong</v>
      </c>
      <c r="S944" t="str">
        <f t="shared" si="189"/>
        <v>Not Hired</v>
      </c>
      <c r="T944">
        <f t="shared" si="190"/>
        <v>45</v>
      </c>
      <c r="U944" t="str">
        <f t="shared" si="191"/>
        <v>Needs Improvement</v>
      </c>
      <c r="V944" t="str">
        <f t="shared" si="192"/>
        <v>Personality</v>
      </c>
      <c r="W944" t="str">
        <f t="shared" si="193"/>
        <v>Interview Preparation</v>
      </c>
      <c r="X944" t="str">
        <f t="shared" si="194"/>
        <v>Improve interview preparation and communication</v>
      </c>
    </row>
    <row r="945" spans="1:24" x14ac:dyDescent="0.3">
      <c r="A945">
        <v>47</v>
      </c>
      <c r="B945">
        <v>1</v>
      </c>
      <c r="C945">
        <v>4</v>
      </c>
      <c r="D945">
        <v>15</v>
      </c>
      <c r="E945">
        <v>5</v>
      </c>
      <c r="F945">
        <v>41.026805256337298</v>
      </c>
      <c r="G945">
        <v>73</v>
      </c>
      <c r="H945">
        <v>26</v>
      </c>
      <c r="I945">
        <v>84</v>
      </c>
      <c r="J945">
        <v>2</v>
      </c>
      <c r="K945">
        <v>1</v>
      </c>
      <c r="L945" t="str">
        <f t="shared" si="182"/>
        <v>C944</v>
      </c>
      <c r="M945" t="str">
        <f t="shared" si="183"/>
        <v>Female</v>
      </c>
      <c r="N945" t="str">
        <f t="shared" si="184"/>
        <v>PhD</v>
      </c>
      <c r="O945" t="str">
        <f t="shared" si="185"/>
        <v>Senior Level</v>
      </c>
      <c r="P945" t="str">
        <f t="shared" si="186"/>
        <v>Average</v>
      </c>
      <c r="Q945" t="str">
        <f t="shared" si="187"/>
        <v>Beginner</v>
      </c>
      <c r="R945" t="str">
        <f t="shared" si="188"/>
        <v>Strong</v>
      </c>
      <c r="S945" t="str">
        <f t="shared" si="189"/>
        <v>Hired</v>
      </c>
      <c r="T945">
        <f t="shared" si="190"/>
        <v>67</v>
      </c>
      <c r="U945" t="str">
        <f t="shared" si="191"/>
        <v>Developing</v>
      </c>
      <c r="V945" t="str">
        <f t="shared" si="192"/>
        <v>Personality</v>
      </c>
      <c r="W945" t="str">
        <f t="shared" si="193"/>
        <v>Technical Skills</v>
      </c>
      <c r="X945" t="str">
        <f t="shared" si="194"/>
        <v>Strengthen technical skills and practical knowledge</v>
      </c>
    </row>
    <row r="946" spans="1:24" x14ac:dyDescent="0.3">
      <c r="A946">
        <v>40</v>
      </c>
      <c r="B946">
        <v>1</v>
      </c>
      <c r="C946">
        <v>1</v>
      </c>
      <c r="D946">
        <v>10</v>
      </c>
      <c r="E946">
        <v>2</v>
      </c>
      <c r="F946">
        <v>43.282104581220999</v>
      </c>
      <c r="G946">
        <v>98</v>
      </c>
      <c r="H946">
        <v>1</v>
      </c>
      <c r="I946">
        <v>8</v>
      </c>
      <c r="J946">
        <v>3</v>
      </c>
      <c r="K946">
        <v>0</v>
      </c>
      <c r="L946" t="str">
        <f t="shared" si="182"/>
        <v>C945</v>
      </c>
      <c r="M946" t="str">
        <f t="shared" si="183"/>
        <v>Female</v>
      </c>
      <c r="N946" t="str">
        <f t="shared" si="184"/>
        <v>Bachelor's Type 1</v>
      </c>
      <c r="O946" t="str">
        <f t="shared" si="185"/>
        <v>Senior Level</v>
      </c>
      <c r="P946" t="str">
        <f t="shared" si="186"/>
        <v>Strong</v>
      </c>
      <c r="Q946" t="str">
        <f t="shared" si="187"/>
        <v>Beginner</v>
      </c>
      <c r="R946" t="str">
        <f t="shared" si="188"/>
        <v>Needs Improvement</v>
      </c>
      <c r="S946" t="str">
        <f t="shared" si="189"/>
        <v>Not Hired</v>
      </c>
      <c r="T946">
        <f t="shared" si="190"/>
        <v>44</v>
      </c>
      <c r="U946" t="str">
        <f t="shared" si="191"/>
        <v>Needs Improvement</v>
      </c>
      <c r="V946" t="str">
        <f t="shared" si="192"/>
        <v>Interview</v>
      </c>
      <c r="W946" t="str">
        <f t="shared" si="193"/>
        <v>Technical Skills</v>
      </c>
      <c r="X946" t="str">
        <f t="shared" si="194"/>
        <v>Strengthen technical skills and practical knowledge</v>
      </c>
    </row>
    <row r="947" spans="1:24" x14ac:dyDescent="0.3">
      <c r="A947">
        <v>27</v>
      </c>
      <c r="B947">
        <v>0</v>
      </c>
      <c r="C947">
        <v>2</v>
      </c>
      <c r="D947">
        <v>4</v>
      </c>
      <c r="E947">
        <v>1</v>
      </c>
      <c r="F947">
        <v>32.763249367954003</v>
      </c>
      <c r="G947">
        <v>86</v>
      </c>
      <c r="H947">
        <v>77</v>
      </c>
      <c r="I947">
        <v>37</v>
      </c>
      <c r="J947">
        <v>1</v>
      </c>
      <c r="K947">
        <v>1</v>
      </c>
      <c r="L947" t="str">
        <f t="shared" si="182"/>
        <v>C946</v>
      </c>
      <c r="M947" t="str">
        <f t="shared" si="183"/>
        <v>Male</v>
      </c>
      <c r="N947" t="str">
        <f t="shared" si="184"/>
        <v>Bachelor's Type 2</v>
      </c>
      <c r="O947" t="str">
        <f t="shared" si="185"/>
        <v>Mid Level</v>
      </c>
      <c r="P947" t="str">
        <f t="shared" si="186"/>
        <v>Strong</v>
      </c>
      <c r="Q947" t="str">
        <f t="shared" si="187"/>
        <v>Advanced</v>
      </c>
      <c r="R947" t="str">
        <f t="shared" si="188"/>
        <v>Needs Improvement</v>
      </c>
      <c r="S947" t="str">
        <f t="shared" si="189"/>
        <v>Hired</v>
      </c>
      <c r="T947">
        <f t="shared" si="190"/>
        <v>63</v>
      </c>
      <c r="U947" t="str">
        <f t="shared" si="191"/>
        <v>Developing</v>
      </c>
      <c r="V947" t="str">
        <f t="shared" si="192"/>
        <v>Interview</v>
      </c>
      <c r="W947" t="str">
        <f t="shared" si="193"/>
        <v>Personality &amp; Communication</v>
      </c>
      <c r="X947" t="str">
        <f t="shared" si="194"/>
        <v>Work on communication and personality development</v>
      </c>
    </row>
    <row r="948" spans="1:24" x14ac:dyDescent="0.3">
      <c r="A948">
        <v>45</v>
      </c>
      <c r="B948">
        <v>1</v>
      </c>
      <c r="C948">
        <v>2</v>
      </c>
      <c r="D948">
        <v>6</v>
      </c>
      <c r="E948">
        <v>3</v>
      </c>
      <c r="F948">
        <v>3.07799241361292</v>
      </c>
      <c r="G948">
        <v>71</v>
      </c>
      <c r="H948">
        <v>3</v>
      </c>
      <c r="I948">
        <v>21</v>
      </c>
      <c r="J948">
        <v>3</v>
      </c>
      <c r="K948">
        <v>0</v>
      </c>
      <c r="L948" t="str">
        <f t="shared" si="182"/>
        <v>C947</v>
      </c>
      <c r="M948" t="str">
        <f t="shared" si="183"/>
        <v>Female</v>
      </c>
      <c r="N948" t="str">
        <f t="shared" si="184"/>
        <v>Bachelor's Type 2</v>
      </c>
      <c r="O948" t="str">
        <f t="shared" si="185"/>
        <v>Mid Level</v>
      </c>
      <c r="P948" t="str">
        <f t="shared" si="186"/>
        <v>Average</v>
      </c>
      <c r="Q948" t="str">
        <f t="shared" si="187"/>
        <v>Beginner</v>
      </c>
      <c r="R948" t="str">
        <f t="shared" si="188"/>
        <v>Needs Improvement</v>
      </c>
      <c r="S948" t="str">
        <f t="shared" si="189"/>
        <v>Not Hired</v>
      </c>
      <c r="T948">
        <f t="shared" si="190"/>
        <v>35</v>
      </c>
      <c r="U948" t="str">
        <f t="shared" si="191"/>
        <v>Needs Improvement</v>
      </c>
      <c r="V948" t="str">
        <f t="shared" si="192"/>
        <v>Interview</v>
      </c>
      <c r="W948" t="str">
        <f t="shared" si="193"/>
        <v>Technical Skills</v>
      </c>
      <c r="X948" t="str">
        <f t="shared" si="194"/>
        <v>Strengthen technical skills and practical knowledge</v>
      </c>
    </row>
    <row r="949" spans="1:24" x14ac:dyDescent="0.3">
      <c r="A949">
        <v>47</v>
      </c>
      <c r="B949">
        <v>1</v>
      </c>
      <c r="C949">
        <v>2</v>
      </c>
      <c r="D949">
        <v>7</v>
      </c>
      <c r="E949">
        <v>2</v>
      </c>
      <c r="F949">
        <v>11.339883802207201</v>
      </c>
      <c r="G949">
        <v>91</v>
      </c>
      <c r="H949">
        <v>12</v>
      </c>
      <c r="I949">
        <v>86</v>
      </c>
      <c r="J949">
        <v>3</v>
      </c>
      <c r="K949">
        <v>0</v>
      </c>
      <c r="L949" t="str">
        <f t="shared" si="182"/>
        <v>C948</v>
      </c>
      <c r="M949" t="str">
        <f t="shared" si="183"/>
        <v>Female</v>
      </c>
      <c r="N949" t="str">
        <f t="shared" si="184"/>
        <v>Bachelor's Type 2</v>
      </c>
      <c r="O949" t="str">
        <f t="shared" si="185"/>
        <v>Senior Level</v>
      </c>
      <c r="P949" t="str">
        <f t="shared" si="186"/>
        <v>Strong</v>
      </c>
      <c r="Q949" t="str">
        <f t="shared" si="187"/>
        <v>Beginner</v>
      </c>
      <c r="R949" t="str">
        <f t="shared" si="188"/>
        <v>Strong</v>
      </c>
      <c r="S949" t="str">
        <f t="shared" si="189"/>
        <v>Not Hired</v>
      </c>
      <c r="T949">
        <f t="shared" si="190"/>
        <v>58</v>
      </c>
      <c r="U949" t="str">
        <f t="shared" si="191"/>
        <v>Developing</v>
      </c>
      <c r="V949" t="str">
        <f t="shared" si="192"/>
        <v>Interview</v>
      </c>
      <c r="W949" t="str">
        <f t="shared" si="193"/>
        <v>Technical Skills</v>
      </c>
      <c r="X949" t="str">
        <f t="shared" si="194"/>
        <v>Strengthen technical skills and practical knowledge</v>
      </c>
    </row>
    <row r="950" spans="1:24" x14ac:dyDescent="0.3">
      <c r="A950">
        <v>23</v>
      </c>
      <c r="B950">
        <v>0</v>
      </c>
      <c r="C950">
        <v>2</v>
      </c>
      <c r="D950">
        <v>15</v>
      </c>
      <c r="E950">
        <v>2</v>
      </c>
      <c r="F950">
        <v>47.253227822352699</v>
      </c>
      <c r="G950">
        <v>22</v>
      </c>
      <c r="H950">
        <v>99</v>
      </c>
      <c r="I950">
        <v>48</v>
      </c>
      <c r="J950">
        <v>1</v>
      </c>
      <c r="K950">
        <v>1</v>
      </c>
      <c r="L950" t="str">
        <f t="shared" si="182"/>
        <v>C949</v>
      </c>
      <c r="M950" t="str">
        <f t="shared" si="183"/>
        <v>Male</v>
      </c>
      <c r="N950" t="str">
        <f t="shared" si="184"/>
        <v>Bachelor's Type 2</v>
      </c>
      <c r="O950" t="str">
        <f t="shared" si="185"/>
        <v>Senior Level</v>
      </c>
      <c r="P950" t="str">
        <f t="shared" si="186"/>
        <v>Low</v>
      </c>
      <c r="Q950" t="str">
        <f t="shared" si="187"/>
        <v>Advanced</v>
      </c>
      <c r="R950" t="str">
        <f t="shared" si="188"/>
        <v>Needs Improvement</v>
      </c>
      <c r="S950" t="str">
        <f t="shared" si="189"/>
        <v>Hired</v>
      </c>
      <c r="T950">
        <f t="shared" si="190"/>
        <v>63</v>
      </c>
      <c r="U950" t="str">
        <f t="shared" si="191"/>
        <v>Developing</v>
      </c>
      <c r="V950" t="str">
        <f t="shared" si="192"/>
        <v>Technical Skills</v>
      </c>
      <c r="W950" t="str">
        <f t="shared" si="193"/>
        <v>Interview Preparation</v>
      </c>
      <c r="X950" t="str">
        <f t="shared" si="194"/>
        <v>Improve interview preparation and communication</v>
      </c>
    </row>
    <row r="951" spans="1:24" x14ac:dyDescent="0.3">
      <c r="A951">
        <v>45</v>
      </c>
      <c r="B951">
        <v>0</v>
      </c>
      <c r="C951">
        <v>1</v>
      </c>
      <c r="D951">
        <v>14</v>
      </c>
      <c r="E951">
        <v>1</v>
      </c>
      <c r="F951">
        <v>19.3056558964375</v>
      </c>
      <c r="G951">
        <v>67</v>
      </c>
      <c r="H951">
        <v>34</v>
      </c>
      <c r="I951">
        <v>67</v>
      </c>
      <c r="J951">
        <v>2</v>
      </c>
      <c r="K951">
        <v>0</v>
      </c>
      <c r="L951" t="str">
        <f t="shared" si="182"/>
        <v>C950</v>
      </c>
      <c r="M951" t="str">
        <f t="shared" si="183"/>
        <v>Male</v>
      </c>
      <c r="N951" t="str">
        <f t="shared" si="184"/>
        <v>Bachelor's Type 1</v>
      </c>
      <c r="O951" t="str">
        <f t="shared" si="185"/>
        <v>Senior Level</v>
      </c>
      <c r="P951" t="str">
        <f t="shared" si="186"/>
        <v>Average</v>
      </c>
      <c r="Q951" t="str">
        <f t="shared" si="187"/>
        <v>Beginner</v>
      </c>
      <c r="R951" t="str">
        <f t="shared" si="188"/>
        <v>Good</v>
      </c>
      <c r="S951" t="str">
        <f t="shared" si="189"/>
        <v>Not Hired</v>
      </c>
      <c r="T951">
        <f t="shared" si="190"/>
        <v>60</v>
      </c>
      <c r="U951" t="str">
        <f t="shared" si="191"/>
        <v>Developing</v>
      </c>
      <c r="V951" t="str">
        <f t="shared" si="192"/>
        <v>Interview</v>
      </c>
      <c r="W951" t="str">
        <f t="shared" si="193"/>
        <v>Technical Skills</v>
      </c>
      <c r="X951" t="str">
        <f t="shared" si="194"/>
        <v>Strengthen technical skills and practical knowledge</v>
      </c>
    </row>
    <row r="952" spans="1:24" x14ac:dyDescent="0.3">
      <c r="A952">
        <v>27</v>
      </c>
      <c r="B952">
        <v>1</v>
      </c>
      <c r="C952">
        <v>3</v>
      </c>
      <c r="D952">
        <v>8</v>
      </c>
      <c r="E952">
        <v>4</v>
      </c>
      <c r="F952">
        <v>6.1818363240397698</v>
      </c>
      <c r="G952">
        <v>13</v>
      </c>
      <c r="H952">
        <v>71</v>
      </c>
      <c r="I952">
        <v>92</v>
      </c>
      <c r="J952">
        <v>3</v>
      </c>
      <c r="K952">
        <v>1</v>
      </c>
      <c r="L952" t="str">
        <f t="shared" si="182"/>
        <v>C951</v>
      </c>
      <c r="M952" t="str">
        <f t="shared" si="183"/>
        <v>Female</v>
      </c>
      <c r="N952" t="str">
        <f t="shared" si="184"/>
        <v>Master's</v>
      </c>
      <c r="O952" t="str">
        <f t="shared" si="185"/>
        <v>Senior Level</v>
      </c>
      <c r="P952" t="str">
        <f t="shared" si="186"/>
        <v>Low</v>
      </c>
      <c r="Q952" t="str">
        <f t="shared" si="187"/>
        <v>Intermediate</v>
      </c>
      <c r="R952" t="str">
        <f t="shared" si="188"/>
        <v>Strong</v>
      </c>
      <c r="S952" t="str">
        <f t="shared" si="189"/>
        <v>Hired</v>
      </c>
      <c r="T952">
        <f t="shared" si="190"/>
        <v>55</v>
      </c>
      <c r="U952" t="str">
        <f t="shared" si="191"/>
        <v>Developing</v>
      </c>
      <c r="V952" t="str">
        <f t="shared" si="192"/>
        <v>Personality</v>
      </c>
      <c r="W952" t="str">
        <f t="shared" si="193"/>
        <v>Interview Preparation</v>
      </c>
      <c r="X952" t="str">
        <f t="shared" si="194"/>
        <v>Improve interview preparation and communication</v>
      </c>
    </row>
    <row r="953" spans="1:24" x14ac:dyDescent="0.3">
      <c r="A953">
        <v>45</v>
      </c>
      <c r="B953">
        <v>1</v>
      </c>
      <c r="C953">
        <v>2</v>
      </c>
      <c r="D953">
        <v>2</v>
      </c>
      <c r="E953">
        <v>2</v>
      </c>
      <c r="F953">
        <v>36.120268293310097</v>
      </c>
      <c r="G953">
        <v>62</v>
      </c>
      <c r="H953">
        <v>65</v>
      </c>
      <c r="I953">
        <v>14</v>
      </c>
      <c r="J953">
        <v>2</v>
      </c>
      <c r="K953">
        <v>0</v>
      </c>
      <c r="L953" t="str">
        <f t="shared" si="182"/>
        <v>C952</v>
      </c>
      <c r="M953" t="str">
        <f t="shared" si="183"/>
        <v>Female</v>
      </c>
      <c r="N953" t="str">
        <f t="shared" si="184"/>
        <v>Bachelor's Type 2</v>
      </c>
      <c r="O953" t="str">
        <f t="shared" si="185"/>
        <v>Entry Level</v>
      </c>
      <c r="P953" t="str">
        <f t="shared" si="186"/>
        <v>Average</v>
      </c>
      <c r="Q953" t="str">
        <f t="shared" si="187"/>
        <v>Intermediate</v>
      </c>
      <c r="R953" t="str">
        <f t="shared" si="188"/>
        <v>Needs Improvement</v>
      </c>
      <c r="S953" t="str">
        <f t="shared" si="189"/>
        <v>Not Hired</v>
      </c>
      <c r="T953">
        <f t="shared" si="190"/>
        <v>45</v>
      </c>
      <c r="U953" t="str">
        <f t="shared" si="191"/>
        <v>Needs Improvement</v>
      </c>
      <c r="V953" t="str">
        <f t="shared" si="192"/>
        <v>Technical Skills</v>
      </c>
      <c r="W953" t="str">
        <f t="shared" si="193"/>
        <v>Personality &amp; Communication</v>
      </c>
      <c r="X953" t="str">
        <f t="shared" si="194"/>
        <v>Work on communication and personality development</v>
      </c>
    </row>
    <row r="954" spans="1:24" x14ac:dyDescent="0.3">
      <c r="A954">
        <v>47</v>
      </c>
      <c r="B954">
        <v>0</v>
      </c>
      <c r="C954">
        <v>1</v>
      </c>
      <c r="D954">
        <v>2</v>
      </c>
      <c r="E954">
        <v>4</v>
      </c>
      <c r="F954">
        <v>15.9728861967127</v>
      </c>
      <c r="G954">
        <v>92</v>
      </c>
      <c r="H954">
        <v>5</v>
      </c>
      <c r="I954">
        <v>64</v>
      </c>
      <c r="J954">
        <v>2</v>
      </c>
      <c r="K954">
        <v>0</v>
      </c>
      <c r="L954" t="str">
        <f t="shared" si="182"/>
        <v>C953</v>
      </c>
      <c r="M954" t="str">
        <f t="shared" si="183"/>
        <v>Male</v>
      </c>
      <c r="N954" t="str">
        <f t="shared" si="184"/>
        <v>Bachelor's Type 1</v>
      </c>
      <c r="O954" t="str">
        <f t="shared" si="185"/>
        <v>Entry Level</v>
      </c>
      <c r="P954" t="str">
        <f t="shared" si="186"/>
        <v>Strong</v>
      </c>
      <c r="Q954" t="str">
        <f t="shared" si="187"/>
        <v>Beginner</v>
      </c>
      <c r="R954" t="str">
        <f t="shared" si="188"/>
        <v>Good</v>
      </c>
      <c r="S954" t="str">
        <f t="shared" si="189"/>
        <v>Not Hired</v>
      </c>
      <c r="T954">
        <f t="shared" si="190"/>
        <v>46</v>
      </c>
      <c r="U954" t="str">
        <f t="shared" si="191"/>
        <v>Needs Improvement</v>
      </c>
      <c r="V954" t="str">
        <f t="shared" si="192"/>
        <v>Interview</v>
      </c>
      <c r="W954" t="str">
        <f t="shared" si="193"/>
        <v>Technical Skills</v>
      </c>
      <c r="X954" t="str">
        <f t="shared" si="194"/>
        <v>Strengthen technical skills and practical knowledge</v>
      </c>
    </row>
    <row r="955" spans="1:24" x14ac:dyDescent="0.3">
      <c r="A955">
        <v>37</v>
      </c>
      <c r="B955">
        <v>0</v>
      </c>
      <c r="C955">
        <v>2</v>
      </c>
      <c r="D955">
        <v>3</v>
      </c>
      <c r="E955">
        <v>4</v>
      </c>
      <c r="F955">
        <v>14.4428456452085</v>
      </c>
      <c r="G955">
        <v>64</v>
      </c>
      <c r="H955">
        <v>30</v>
      </c>
      <c r="I955">
        <v>53</v>
      </c>
      <c r="J955">
        <v>2</v>
      </c>
      <c r="K955">
        <v>0</v>
      </c>
      <c r="L955" t="str">
        <f t="shared" si="182"/>
        <v>C954</v>
      </c>
      <c r="M955" t="str">
        <f t="shared" si="183"/>
        <v>Male</v>
      </c>
      <c r="N955" t="str">
        <f t="shared" si="184"/>
        <v>Bachelor's Type 2</v>
      </c>
      <c r="O955" t="str">
        <f t="shared" si="185"/>
        <v>Mid Level</v>
      </c>
      <c r="P955" t="str">
        <f t="shared" si="186"/>
        <v>Average</v>
      </c>
      <c r="Q955" t="str">
        <f t="shared" si="187"/>
        <v>Beginner</v>
      </c>
      <c r="R955" t="str">
        <f t="shared" si="188"/>
        <v>Good</v>
      </c>
      <c r="S955" t="str">
        <f t="shared" si="189"/>
        <v>Not Hired</v>
      </c>
      <c r="T955">
        <f t="shared" si="190"/>
        <v>44</v>
      </c>
      <c r="U955" t="str">
        <f t="shared" si="191"/>
        <v>Needs Improvement</v>
      </c>
      <c r="V955" t="str">
        <f t="shared" si="192"/>
        <v>Interview</v>
      </c>
      <c r="W955" t="str">
        <f t="shared" si="193"/>
        <v>Technical Skills</v>
      </c>
      <c r="X955" t="str">
        <f t="shared" si="194"/>
        <v>Strengthen technical skills and practical knowledge</v>
      </c>
    </row>
    <row r="956" spans="1:24" x14ac:dyDescent="0.3">
      <c r="A956">
        <v>47</v>
      </c>
      <c r="B956">
        <v>1</v>
      </c>
      <c r="C956">
        <v>2</v>
      </c>
      <c r="D956">
        <v>4</v>
      </c>
      <c r="E956">
        <v>5</v>
      </c>
      <c r="F956">
        <v>50.898872777912999</v>
      </c>
      <c r="G956">
        <v>67</v>
      </c>
      <c r="H956">
        <v>9</v>
      </c>
      <c r="I956">
        <v>29</v>
      </c>
      <c r="J956">
        <v>2</v>
      </c>
      <c r="K956">
        <v>0</v>
      </c>
      <c r="L956" t="str">
        <f t="shared" si="182"/>
        <v>C955</v>
      </c>
      <c r="M956" t="str">
        <f t="shared" si="183"/>
        <v>Female</v>
      </c>
      <c r="N956" t="str">
        <f t="shared" si="184"/>
        <v>Bachelor's Type 2</v>
      </c>
      <c r="O956" t="str">
        <f t="shared" si="185"/>
        <v>Mid Level</v>
      </c>
      <c r="P956" t="str">
        <f t="shared" si="186"/>
        <v>Average</v>
      </c>
      <c r="Q956" t="str">
        <f t="shared" si="187"/>
        <v>Beginner</v>
      </c>
      <c r="R956" t="str">
        <f t="shared" si="188"/>
        <v>Needs Improvement</v>
      </c>
      <c r="S956" t="str">
        <f t="shared" si="189"/>
        <v>Not Hired</v>
      </c>
      <c r="T956">
        <f t="shared" si="190"/>
        <v>35</v>
      </c>
      <c r="U956" t="str">
        <f t="shared" si="191"/>
        <v>Needs Improvement</v>
      </c>
      <c r="V956" t="str">
        <f t="shared" si="192"/>
        <v>Interview</v>
      </c>
      <c r="W956" t="str">
        <f t="shared" si="193"/>
        <v>Technical Skills</v>
      </c>
      <c r="X956" t="str">
        <f t="shared" si="194"/>
        <v>Strengthen technical skills and practical knowledge</v>
      </c>
    </row>
    <row r="957" spans="1:24" x14ac:dyDescent="0.3">
      <c r="A957">
        <v>47</v>
      </c>
      <c r="B957">
        <v>1</v>
      </c>
      <c r="C957">
        <v>1</v>
      </c>
      <c r="D957">
        <v>9</v>
      </c>
      <c r="E957">
        <v>1</v>
      </c>
      <c r="F957">
        <v>43.906946251332698</v>
      </c>
      <c r="G957">
        <v>62</v>
      </c>
      <c r="H957">
        <v>20</v>
      </c>
      <c r="I957">
        <v>92</v>
      </c>
      <c r="J957">
        <v>1</v>
      </c>
      <c r="K957">
        <v>1</v>
      </c>
      <c r="L957" t="str">
        <f t="shared" si="182"/>
        <v>C956</v>
      </c>
      <c r="M957" t="str">
        <f t="shared" si="183"/>
        <v>Female</v>
      </c>
      <c r="N957" t="str">
        <f t="shared" si="184"/>
        <v>Bachelor's Type 1</v>
      </c>
      <c r="O957" t="str">
        <f t="shared" si="185"/>
        <v>Senior Level</v>
      </c>
      <c r="P957" t="str">
        <f t="shared" si="186"/>
        <v>Average</v>
      </c>
      <c r="Q957" t="str">
        <f t="shared" si="187"/>
        <v>Beginner</v>
      </c>
      <c r="R957" t="str">
        <f t="shared" si="188"/>
        <v>Strong</v>
      </c>
      <c r="S957" t="str">
        <f t="shared" si="189"/>
        <v>Hired</v>
      </c>
      <c r="T957">
        <f t="shared" si="190"/>
        <v>55</v>
      </c>
      <c r="U957" t="str">
        <f t="shared" si="191"/>
        <v>Developing</v>
      </c>
      <c r="V957" t="str">
        <f t="shared" si="192"/>
        <v>Personality</v>
      </c>
      <c r="W957" t="str">
        <f t="shared" si="193"/>
        <v>Technical Skills</v>
      </c>
      <c r="X957" t="str">
        <f t="shared" si="194"/>
        <v>Strengthen technical skills and practical knowledge</v>
      </c>
    </row>
    <row r="958" spans="1:24" x14ac:dyDescent="0.3">
      <c r="A958">
        <v>24</v>
      </c>
      <c r="B958">
        <v>1</v>
      </c>
      <c r="C958">
        <v>4</v>
      </c>
      <c r="D958">
        <v>0</v>
      </c>
      <c r="E958">
        <v>4</v>
      </c>
      <c r="F958">
        <v>21.396890918392</v>
      </c>
      <c r="G958">
        <v>95</v>
      </c>
      <c r="H958">
        <v>73</v>
      </c>
      <c r="I958">
        <v>19</v>
      </c>
      <c r="J958">
        <v>2</v>
      </c>
      <c r="K958">
        <v>0</v>
      </c>
      <c r="L958" t="str">
        <f t="shared" si="182"/>
        <v>C957</v>
      </c>
      <c r="M958" t="str">
        <f t="shared" si="183"/>
        <v>Female</v>
      </c>
      <c r="N958" t="str">
        <f t="shared" si="184"/>
        <v>PhD</v>
      </c>
      <c r="O958" t="str">
        <f t="shared" si="185"/>
        <v>Entry Level</v>
      </c>
      <c r="P958" t="str">
        <f t="shared" si="186"/>
        <v>Strong</v>
      </c>
      <c r="Q958" t="str">
        <f t="shared" si="187"/>
        <v>Intermediate</v>
      </c>
      <c r="R958" t="str">
        <f t="shared" si="188"/>
        <v>Needs Improvement</v>
      </c>
      <c r="S958" t="str">
        <f t="shared" si="189"/>
        <v>Not Hired</v>
      </c>
      <c r="T958">
        <f t="shared" si="190"/>
        <v>59</v>
      </c>
      <c r="U958" t="str">
        <f t="shared" si="191"/>
        <v>Developing</v>
      </c>
      <c r="V958" t="str">
        <f t="shared" si="192"/>
        <v>Interview</v>
      </c>
      <c r="W958" t="str">
        <f t="shared" si="193"/>
        <v>Personality &amp; Communication</v>
      </c>
      <c r="X958" t="str">
        <f t="shared" si="194"/>
        <v>Work on communication and personality development</v>
      </c>
    </row>
    <row r="959" spans="1:24" x14ac:dyDescent="0.3">
      <c r="A959">
        <v>28</v>
      </c>
      <c r="B959">
        <v>1</v>
      </c>
      <c r="C959">
        <v>4</v>
      </c>
      <c r="D959">
        <v>14</v>
      </c>
      <c r="E959">
        <v>1</v>
      </c>
      <c r="F959">
        <v>50.013060390824897</v>
      </c>
      <c r="G959">
        <v>96</v>
      </c>
      <c r="H959">
        <v>22</v>
      </c>
      <c r="I959">
        <v>32</v>
      </c>
      <c r="J959">
        <v>1</v>
      </c>
      <c r="K959">
        <v>1</v>
      </c>
      <c r="L959" t="str">
        <f t="shared" si="182"/>
        <v>C958</v>
      </c>
      <c r="M959" t="str">
        <f t="shared" si="183"/>
        <v>Female</v>
      </c>
      <c r="N959" t="str">
        <f t="shared" si="184"/>
        <v>PhD</v>
      </c>
      <c r="O959" t="str">
        <f t="shared" si="185"/>
        <v>Senior Level</v>
      </c>
      <c r="P959" t="str">
        <f t="shared" si="186"/>
        <v>Strong</v>
      </c>
      <c r="Q959" t="str">
        <f t="shared" si="187"/>
        <v>Beginner</v>
      </c>
      <c r="R959" t="str">
        <f t="shared" si="188"/>
        <v>Needs Improvement</v>
      </c>
      <c r="S959" t="str">
        <f t="shared" si="189"/>
        <v>Hired</v>
      </c>
      <c r="T959">
        <f t="shared" si="190"/>
        <v>61</v>
      </c>
      <c r="U959" t="str">
        <f t="shared" si="191"/>
        <v>Developing</v>
      </c>
      <c r="V959" t="str">
        <f t="shared" si="192"/>
        <v>Interview</v>
      </c>
      <c r="W959" t="str">
        <f t="shared" si="193"/>
        <v>Technical Skills</v>
      </c>
      <c r="X959" t="str">
        <f t="shared" si="194"/>
        <v>Strengthen technical skills and practical knowledge</v>
      </c>
    </row>
    <row r="960" spans="1:24" x14ac:dyDescent="0.3">
      <c r="A960">
        <v>23</v>
      </c>
      <c r="B960">
        <v>0</v>
      </c>
      <c r="C960">
        <v>2</v>
      </c>
      <c r="D960">
        <v>14</v>
      </c>
      <c r="E960">
        <v>5</v>
      </c>
      <c r="F960">
        <v>33.5056611709606</v>
      </c>
      <c r="G960">
        <v>89</v>
      </c>
      <c r="H960">
        <v>2</v>
      </c>
      <c r="I960">
        <v>99</v>
      </c>
      <c r="J960">
        <v>2</v>
      </c>
      <c r="K960">
        <v>0</v>
      </c>
      <c r="L960" t="str">
        <f t="shared" si="182"/>
        <v>C959</v>
      </c>
      <c r="M960" t="str">
        <f t="shared" si="183"/>
        <v>Male</v>
      </c>
      <c r="N960" t="str">
        <f t="shared" si="184"/>
        <v>Bachelor's Type 2</v>
      </c>
      <c r="O960" t="str">
        <f t="shared" si="185"/>
        <v>Senior Level</v>
      </c>
      <c r="P960" t="str">
        <f t="shared" si="186"/>
        <v>Strong</v>
      </c>
      <c r="Q960" t="str">
        <f t="shared" si="187"/>
        <v>Beginner</v>
      </c>
      <c r="R960" t="str">
        <f t="shared" si="188"/>
        <v>Strong</v>
      </c>
      <c r="S960" t="str">
        <f t="shared" si="189"/>
        <v>Not Hired</v>
      </c>
      <c r="T960">
        <f t="shared" si="190"/>
        <v>64</v>
      </c>
      <c r="U960" t="str">
        <f t="shared" si="191"/>
        <v>Developing</v>
      </c>
      <c r="V960" t="str">
        <f t="shared" si="192"/>
        <v>Personality</v>
      </c>
      <c r="W960" t="str">
        <f t="shared" si="193"/>
        <v>Technical Skills</v>
      </c>
      <c r="X960" t="str">
        <f t="shared" si="194"/>
        <v>Strengthen technical skills and practical knowledge</v>
      </c>
    </row>
    <row r="961" spans="1:24" x14ac:dyDescent="0.3">
      <c r="A961">
        <v>46</v>
      </c>
      <c r="B961">
        <v>1</v>
      </c>
      <c r="C961">
        <v>1</v>
      </c>
      <c r="D961">
        <v>6</v>
      </c>
      <c r="E961">
        <v>1</v>
      </c>
      <c r="F961">
        <v>38.101122593988002</v>
      </c>
      <c r="G961">
        <v>80</v>
      </c>
      <c r="H961">
        <v>31</v>
      </c>
      <c r="I961">
        <v>85</v>
      </c>
      <c r="J961">
        <v>3</v>
      </c>
      <c r="K961">
        <v>0</v>
      </c>
      <c r="L961" t="str">
        <f t="shared" si="182"/>
        <v>C960</v>
      </c>
      <c r="M961" t="str">
        <f t="shared" si="183"/>
        <v>Female</v>
      </c>
      <c r="N961" t="str">
        <f t="shared" si="184"/>
        <v>Bachelor's Type 1</v>
      </c>
      <c r="O961" t="str">
        <f t="shared" si="185"/>
        <v>Mid Level</v>
      </c>
      <c r="P961" t="str">
        <f t="shared" si="186"/>
        <v>Strong</v>
      </c>
      <c r="Q961" t="str">
        <f t="shared" si="187"/>
        <v>Beginner</v>
      </c>
      <c r="R961" t="str">
        <f t="shared" si="188"/>
        <v>Strong</v>
      </c>
      <c r="S961" t="str">
        <f t="shared" si="189"/>
        <v>Not Hired</v>
      </c>
      <c r="T961">
        <f t="shared" si="190"/>
        <v>59</v>
      </c>
      <c r="U961" t="str">
        <f t="shared" si="191"/>
        <v>Developing</v>
      </c>
      <c r="V961" t="str">
        <f t="shared" si="192"/>
        <v>Personality</v>
      </c>
      <c r="W961" t="str">
        <f t="shared" si="193"/>
        <v>Technical Skills</v>
      </c>
      <c r="X961" t="str">
        <f t="shared" si="194"/>
        <v>Strengthen technical skills and practical knowledge</v>
      </c>
    </row>
    <row r="962" spans="1:24" x14ac:dyDescent="0.3">
      <c r="A962">
        <v>41</v>
      </c>
      <c r="B962">
        <v>1</v>
      </c>
      <c r="C962">
        <v>3</v>
      </c>
      <c r="D962">
        <v>8</v>
      </c>
      <c r="E962">
        <v>2</v>
      </c>
      <c r="F962">
        <v>2.5756521541105699</v>
      </c>
      <c r="G962">
        <v>86</v>
      </c>
      <c r="H962">
        <v>19</v>
      </c>
      <c r="I962">
        <v>76</v>
      </c>
      <c r="J962">
        <v>2</v>
      </c>
      <c r="K962">
        <v>1</v>
      </c>
      <c r="L962" t="str">
        <f t="shared" si="182"/>
        <v>C961</v>
      </c>
      <c r="M962" t="str">
        <f t="shared" si="183"/>
        <v>Female</v>
      </c>
      <c r="N962" t="str">
        <f t="shared" si="184"/>
        <v>Master's</v>
      </c>
      <c r="O962" t="str">
        <f t="shared" si="185"/>
        <v>Senior Level</v>
      </c>
      <c r="P962" t="str">
        <f t="shared" si="186"/>
        <v>Strong</v>
      </c>
      <c r="Q962" t="str">
        <f t="shared" si="187"/>
        <v>Beginner</v>
      </c>
      <c r="R962" t="str">
        <f t="shared" si="188"/>
        <v>Strong</v>
      </c>
      <c r="S962" t="str">
        <f t="shared" si="189"/>
        <v>Hired</v>
      </c>
      <c r="T962">
        <f t="shared" si="190"/>
        <v>58</v>
      </c>
      <c r="U962" t="str">
        <f t="shared" si="191"/>
        <v>Developing</v>
      </c>
      <c r="V962" t="str">
        <f t="shared" si="192"/>
        <v>Interview</v>
      </c>
      <c r="W962" t="str">
        <f t="shared" si="193"/>
        <v>Technical Skills</v>
      </c>
      <c r="X962" t="str">
        <f t="shared" si="194"/>
        <v>Strengthen technical skills and practical knowledge</v>
      </c>
    </row>
    <row r="963" spans="1:24" x14ac:dyDescent="0.3">
      <c r="A963">
        <v>50</v>
      </c>
      <c r="B963">
        <v>0</v>
      </c>
      <c r="C963">
        <v>2</v>
      </c>
      <c r="D963">
        <v>7</v>
      </c>
      <c r="E963">
        <v>4</v>
      </c>
      <c r="F963">
        <v>7.0802629674028497</v>
      </c>
      <c r="G963">
        <v>63</v>
      </c>
      <c r="H963">
        <v>73</v>
      </c>
      <c r="I963">
        <v>6</v>
      </c>
      <c r="J963">
        <v>3</v>
      </c>
      <c r="K963">
        <v>0</v>
      </c>
      <c r="L963" t="str">
        <f t="shared" ref="L963:L1026" si="195">"C"&amp;TEXT(ROW()-1,"000")</f>
        <v>C962</v>
      </c>
      <c r="M963" t="str">
        <f t="shared" ref="M963:M1026" si="196">IF(B963=0,"Male","Female")</f>
        <v>Male</v>
      </c>
      <c r="N963" t="str">
        <f t="shared" ref="N963:N1026" si="197">IF(C963=1,"Bachelor's Type 1",IF(C963=2,"Bachelor's Type 2",IF(C963=3,"Master's","PhD")))</f>
        <v>Bachelor's Type 2</v>
      </c>
      <c r="O963" t="str">
        <f t="shared" ref="O963:O1026" si="198">IF(D963&lt;=2,"Entry Level",IF(D963&lt;=6,"Mid Level","Senior Level"))</f>
        <v>Senior Level</v>
      </c>
      <c r="P963" t="str">
        <f t="shared" ref="P963:P1026" si="199">IF(G963&lt;50,"Low",IF(G963&lt;75,"Average","Strong"))</f>
        <v>Average</v>
      </c>
      <c r="Q963" t="str">
        <f t="shared" ref="Q963:Q1026" si="200">IF(H963&lt;50,"Beginner",IF(H963&lt;75,"Intermediate","Advanced"))</f>
        <v>Intermediate</v>
      </c>
      <c r="R963" t="str">
        <f t="shared" ref="R963:R1026" si="201">IF(I963&lt;50,"Needs Improvement",IF(I963&lt;75,"Good","Strong"))</f>
        <v>Needs Improvement</v>
      </c>
      <c r="S963" t="str">
        <f t="shared" ref="S963:S1026" si="202">IF(K963=1,"Hired","Not Hired")</f>
        <v>Not Hired</v>
      </c>
      <c r="T963">
        <f t="shared" ref="T963:T1026" si="203">ROUND((G963*30%)+(H963*30%)+(I963*20%)+((D963/15)*100*15%)+(IF(C963&lt;=2,50,IF(C963=3,75,100))*5%),0)</f>
        <v>52</v>
      </c>
      <c r="U963" t="str">
        <f t="shared" ref="U963:U1026" si="204">IF(T963&lt;50,"Needs Improvement",IF(T963&lt;75,"Developing","Job Ready"))</f>
        <v>Developing</v>
      </c>
      <c r="V963" t="str">
        <f t="shared" ref="V963:V1026" si="205">IF(AND(G963&gt;=H963,G963&gt;=I963),"Interview",IF(H963&gt;=I963,"Technical Skills","Personality"))</f>
        <v>Technical Skills</v>
      </c>
      <c r="W963" t="str">
        <f t="shared" ref="W963:W1026" si="206">IF(AND(G963&lt;=H963,G963&lt;=I963),"Interview Preparation",IF(H963&lt;=I963,"Technical Skills","Personality &amp; Communication"))</f>
        <v>Personality &amp; Communication</v>
      </c>
      <c r="X963" t="str">
        <f t="shared" ref="X963:X1026" si="207">IF(W963="Interview Preparation","Improve interview preparation and communication",IF(W963="Technical Skills","Strengthen technical skills and practical knowledge","Work on communication and personality development"))</f>
        <v>Work on communication and personality development</v>
      </c>
    </row>
    <row r="964" spans="1:24" x14ac:dyDescent="0.3">
      <c r="A964">
        <v>36</v>
      </c>
      <c r="B964">
        <v>1</v>
      </c>
      <c r="C964">
        <v>2</v>
      </c>
      <c r="D964">
        <v>14</v>
      </c>
      <c r="E964">
        <v>1</v>
      </c>
      <c r="F964">
        <v>32.654256324811897</v>
      </c>
      <c r="G964">
        <v>31</v>
      </c>
      <c r="H964">
        <v>28</v>
      </c>
      <c r="I964">
        <v>7</v>
      </c>
      <c r="J964">
        <v>2</v>
      </c>
      <c r="K964">
        <v>0</v>
      </c>
      <c r="L964" t="str">
        <f t="shared" si="195"/>
        <v>C963</v>
      </c>
      <c r="M964" t="str">
        <f t="shared" si="196"/>
        <v>Female</v>
      </c>
      <c r="N964" t="str">
        <f t="shared" si="197"/>
        <v>Bachelor's Type 2</v>
      </c>
      <c r="O964" t="str">
        <f t="shared" si="198"/>
        <v>Senior Level</v>
      </c>
      <c r="P964" t="str">
        <f t="shared" si="199"/>
        <v>Low</v>
      </c>
      <c r="Q964" t="str">
        <f t="shared" si="200"/>
        <v>Beginner</v>
      </c>
      <c r="R964" t="str">
        <f t="shared" si="201"/>
        <v>Needs Improvement</v>
      </c>
      <c r="S964" t="str">
        <f t="shared" si="202"/>
        <v>Not Hired</v>
      </c>
      <c r="T964">
        <f t="shared" si="203"/>
        <v>36</v>
      </c>
      <c r="U964" t="str">
        <f t="shared" si="204"/>
        <v>Needs Improvement</v>
      </c>
      <c r="V964" t="str">
        <f t="shared" si="205"/>
        <v>Interview</v>
      </c>
      <c r="W964" t="str">
        <f t="shared" si="206"/>
        <v>Personality &amp; Communication</v>
      </c>
      <c r="X964" t="str">
        <f t="shared" si="207"/>
        <v>Work on communication and personality development</v>
      </c>
    </row>
    <row r="965" spans="1:24" x14ac:dyDescent="0.3">
      <c r="A965">
        <v>28</v>
      </c>
      <c r="B965">
        <v>0</v>
      </c>
      <c r="C965">
        <v>2</v>
      </c>
      <c r="D965">
        <v>14</v>
      </c>
      <c r="E965">
        <v>3</v>
      </c>
      <c r="F965">
        <v>45.951199132474102</v>
      </c>
      <c r="G965">
        <v>78</v>
      </c>
      <c r="H965">
        <v>51</v>
      </c>
      <c r="I965">
        <v>27</v>
      </c>
      <c r="J965">
        <v>2</v>
      </c>
      <c r="K965">
        <v>0</v>
      </c>
      <c r="L965" t="str">
        <f t="shared" si="195"/>
        <v>C964</v>
      </c>
      <c r="M965" t="str">
        <f t="shared" si="196"/>
        <v>Male</v>
      </c>
      <c r="N965" t="str">
        <f t="shared" si="197"/>
        <v>Bachelor's Type 2</v>
      </c>
      <c r="O965" t="str">
        <f t="shared" si="198"/>
        <v>Senior Level</v>
      </c>
      <c r="P965" t="str">
        <f t="shared" si="199"/>
        <v>Strong</v>
      </c>
      <c r="Q965" t="str">
        <f t="shared" si="200"/>
        <v>Intermediate</v>
      </c>
      <c r="R965" t="str">
        <f t="shared" si="201"/>
        <v>Needs Improvement</v>
      </c>
      <c r="S965" t="str">
        <f t="shared" si="202"/>
        <v>Not Hired</v>
      </c>
      <c r="T965">
        <f t="shared" si="203"/>
        <v>61</v>
      </c>
      <c r="U965" t="str">
        <f t="shared" si="204"/>
        <v>Developing</v>
      </c>
      <c r="V965" t="str">
        <f t="shared" si="205"/>
        <v>Interview</v>
      </c>
      <c r="W965" t="str">
        <f t="shared" si="206"/>
        <v>Personality &amp; Communication</v>
      </c>
      <c r="X965" t="str">
        <f t="shared" si="207"/>
        <v>Work on communication and personality development</v>
      </c>
    </row>
    <row r="966" spans="1:24" x14ac:dyDescent="0.3">
      <c r="A966">
        <v>20</v>
      </c>
      <c r="B966">
        <v>1</v>
      </c>
      <c r="C966">
        <v>2</v>
      </c>
      <c r="D966">
        <v>4</v>
      </c>
      <c r="E966">
        <v>1</v>
      </c>
      <c r="F966">
        <v>32.187186304379701</v>
      </c>
      <c r="G966">
        <v>12</v>
      </c>
      <c r="H966">
        <v>45</v>
      </c>
      <c r="I966">
        <v>44</v>
      </c>
      <c r="J966">
        <v>2</v>
      </c>
      <c r="K966">
        <v>0</v>
      </c>
      <c r="L966" t="str">
        <f t="shared" si="195"/>
        <v>C965</v>
      </c>
      <c r="M966" t="str">
        <f t="shared" si="196"/>
        <v>Female</v>
      </c>
      <c r="N966" t="str">
        <f t="shared" si="197"/>
        <v>Bachelor's Type 2</v>
      </c>
      <c r="O966" t="str">
        <f t="shared" si="198"/>
        <v>Mid Level</v>
      </c>
      <c r="P966" t="str">
        <f t="shared" si="199"/>
        <v>Low</v>
      </c>
      <c r="Q966" t="str">
        <f t="shared" si="200"/>
        <v>Beginner</v>
      </c>
      <c r="R966" t="str">
        <f t="shared" si="201"/>
        <v>Needs Improvement</v>
      </c>
      <c r="S966" t="str">
        <f t="shared" si="202"/>
        <v>Not Hired</v>
      </c>
      <c r="T966">
        <f t="shared" si="203"/>
        <v>32</v>
      </c>
      <c r="U966" t="str">
        <f t="shared" si="204"/>
        <v>Needs Improvement</v>
      </c>
      <c r="V966" t="str">
        <f t="shared" si="205"/>
        <v>Technical Skills</v>
      </c>
      <c r="W966" t="str">
        <f t="shared" si="206"/>
        <v>Interview Preparation</v>
      </c>
      <c r="X966" t="str">
        <f t="shared" si="207"/>
        <v>Improve interview preparation and communication</v>
      </c>
    </row>
    <row r="967" spans="1:24" x14ac:dyDescent="0.3">
      <c r="A967">
        <v>40</v>
      </c>
      <c r="B967">
        <v>1</v>
      </c>
      <c r="C967">
        <v>2</v>
      </c>
      <c r="D967">
        <v>13</v>
      </c>
      <c r="E967">
        <v>4</v>
      </c>
      <c r="F967">
        <v>7.7012447159495796</v>
      </c>
      <c r="G967">
        <v>65</v>
      </c>
      <c r="H967">
        <v>33</v>
      </c>
      <c r="I967">
        <v>72</v>
      </c>
      <c r="J967">
        <v>3</v>
      </c>
      <c r="K967">
        <v>0</v>
      </c>
      <c r="L967" t="str">
        <f t="shared" si="195"/>
        <v>C966</v>
      </c>
      <c r="M967" t="str">
        <f t="shared" si="196"/>
        <v>Female</v>
      </c>
      <c r="N967" t="str">
        <f t="shared" si="197"/>
        <v>Bachelor's Type 2</v>
      </c>
      <c r="O967" t="str">
        <f t="shared" si="198"/>
        <v>Senior Level</v>
      </c>
      <c r="P967" t="str">
        <f t="shared" si="199"/>
        <v>Average</v>
      </c>
      <c r="Q967" t="str">
        <f t="shared" si="200"/>
        <v>Beginner</v>
      </c>
      <c r="R967" t="str">
        <f t="shared" si="201"/>
        <v>Good</v>
      </c>
      <c r="S967" t="str">
        <f t="shared" si="202"/>
        <v>Not Hired</v>
      </c>
      <c r="T967">
        <f t="shared" si="203"/>
        <v>59</v>
      </c>
      <c r="U967" t="str">
        <f t="shared" si="204"/>
        <v>Developing</v>
      </c>
      <c r="V967" t="str">
        <f t="shared" si="205"/>
        <v>Personality</v>
      </c>
      <c r="W967" t="str">
        <f t="shared" si="206"/>
        <v>Technical Skills</v>
      </c>
      <c r="X967" t="str">
        <f t="shared" si="207"/>
        <v>Strengthen technical skills and practical knowledge</v>
      </c>
    </row>
    <row r="968" spans="1:24" x14ac:dyDescent="0.3">
      <c r="A968">
        <v>39</v>
      </c>
      <c r="B968">
        <v>0</v>
      </c>
      <c r="C968">
        <v>2</v>
      </c>
      <c r="D968">
        <v>13</v>
      </c>
      <c r="E968">
        <v>5</v>
      </c>
      <c r="F968">
        <v>6.7880023123162303</v>
      </c>
      <c r="G968">
        <v>18</v>
      </c>
      <c r="H968">
        <v>100</v>
      </c>
      <c r="I968">
        <v>88</v>
      </c>
      <c r="J968">
        <v>2</v>
      </c>
      <c r="K968">
        <v>0</v>
      </c>
      <c r="L968" t="str">
        <f t="shared" si="195"/>
        <v>C967</v>
      </c>
      <c r="M968" t="str">
        <f t="shared" si="196"/>
        <v>Male</v>
      </c>
      <c r="N968" t="str">
        <f t="shared" si="197"/>
        <v>Bachelor's Type 2</v>
      </c>
      <c r="O968" t="str">
        <f t="shared" si="198"/>
        <v>Senior Level</v>
      </c>
      <c r="P968" t="str">
        <f t="shared" si="199"/>
        <v>Low</v>
      </c>
      <c r="Q968" t="str">
        <f t="shared" si="200"/>
        <v>Advanced</v>
      </c>
      <c r="R968" t="str">
        <f t="shared" si="201"/>
        <v>Strong</v>
      </c>
      <c r="S968" t="str">
        <f t="shared" si="202"/>
        <v>Not Hired</v>
      </c>
      <c r="T968">
        <f t="shared" si="203"/>
        <v>69</v>
      </c>
      <c r="U968" t="str">
        <f t="shared" si="204"/>
        <v>Developing</v>
      </c>
      <c r="V968" t="str">
        <f t="shared" si="205"/>
        <v>Technical Skills</v>
      </c>
      <c r="W968" t="str">
        <f t="shared" si="206"/>
        <v>Interview Preparation</v>
      </c>
      <c r="X968" t="str">
        <f t="shared" si="207"/>
        <v>Improve interview preparation and communication</v>
      </c>
    </row>
    <row r="969" spans="1:24" x14ac:dyDescent="0.3">
      <c r="A969">
        <v>32</v>
      </c>
      <c r="B969">
        <v>0</v>
      </c>
      <c r="C969">
        <v>2</v>
      </c>
      <c r="D969">
        <v>3</v>
      </c>
      <c r="E969">
        <v>5</v>
      </c>
      <c r="F969">
        <v>43.209294791204002</v>
      </c>
      <c r="G969">
        <v>23</v>
      </c>
      <c r="H969">
        <v>83</v>
      </c>
      <c r="I969">
        <v>79</v>
      </c>
      <c r="J969">
        <v>1</v>
      </c>
      <c r="K969">
        <v>1</v>
      </c>
      <c r="L969" t="str">
        <f t="shared" si="195"/>
        <v>C968</v>
      </c>
      <c r="M969" t="str">
        <f t="shared" si="196"/>
        <v>Male</v>
      </c>
      <c r="N969" t="str">
        <f t="shared" si="197"/>
        <v>Bachelor's Type 2</v>
      </c>
      <c r="O969" t="str">
        <f t="shared" si="198"/>
        <v>Mid Level</v>
      </c>
      <c r="P969" t="str">
        <f t="shared" si="199"/>
        <v>Low</v>
      </c>
      <c r="Q969" t="str">
        <f t="shared" si="200"/>
        <v>Advanced</v>
      </c>
      <c r="R969" t="str">
        <f t="shared" si="201"/>
        <v>Strong</v>
      </c>
      <c r="S969" t="str">
        <f t="shared" si="202"/>
        <v>Hired</v>
      </c>
      <c r="T969">
        <f t="shared" si="203"/>
        <v>53</v>
      </c>
      <c r="U969" t="str">
        <f t="shared" si="204"/>
        <v>Developing</v>
      </c>
      <c r="V969" t="str">
        <f t="shared" si="205"/>
        <v>Technical Skills</v>
      </c>
      <c r="W969" t="str">
        <f t="shared" si="206"/>
        <v>Interview Preparation</v>
      </c>
      <c r="X969" t="str">
        <f t="shared" si="207"/>
        <v>Improve interview preparation and communication</v>
      </c>
    </row>
    <row r="970" spans="1:24" x14ac:dyDescent="0.3">
      <c r="A970">
        <v>47</v>
      </c>
      <c r="B970">
        <v>1</v>
      </c>
      <c r="C970">
        <v>4</v>
      </c>
      <c r="D970">
        <v>11</v>
      </c>
      <c r="E970">
        <v>4</v>
      </c>
      <c r="F970">
        <v>7.9651169353957103</v>
      </c>
      <c r="G970">
        <v>87</v>
      </c>
      <c r="H970">
        <v>60</v>
      </c>
      <c r="I970">
        <v>73</v>
      </c>
      <c r="J970">
        <v>3</v>
      </c>
      <c r="K970">
        <v>1</v>
      </c>
      <c r="L970" t="str">
        <f t="shared" si="195"/>
        <v>C969</v>
      </c>
      <c r="M970" t="str">
        <f t="shared" si="196"/>
        <v>Female</v>
      </c>
      <c r="N970" t="str">
        <f t="shared" si="197"/>
        <v>PhD</v>
      </c>
      <c r="O970" t="str">
        <f t="shared" si="198"/>
        <v>Senior Level</v>
      </c>
      <c r="P970" t="str">
        <f t="shared" si="199"/>
        <v>Strong</v>
      </c>
      <c r="Q970" t="str">
        <f t="shared" si="200"/>
        <v>Intermediate</v>
      </c>
      <c r="R970" t="str">
        <f t="shared" si="201"/>
        <v>Good</v>
      </c>
      <c r="S970" t="str">
        <f t="shared" si="202"/>
        <v>Hired</v>
      </c>
      <c r="T970">
        <f t="shared" si="203"/>
        <v>75</v>
      </c>
      <c r="U970" t="str">
        <f t="shared" si="204"/>
        <v>Job Ready</v>
      </c>
      <c r="V970" t="str">
        <f t="shared" si="205"/>
        <v>Interview</v>
      </c>
      <c r="W970" t="str">
        <f t="shared" si="206"/>
        <v>Technical Skills</v>
      </c>
      <c r="X970" t="str">
        <f t="shared" si="207"/>
        <v>Strengthen technical skills and practical knowledge</v>
      </c>
    </row>
    <row r="971" spans="1:24" x14ac:dyDescent="0.3">
      <c r="A971">
        <v>35</v>
      </c>
      <c r="B971">
        <v>1</v>
      </c>
      <c r="C971">
        <v>2</v>
      </c>
      <c r="D971">
        <v>6</v>
      </c>
      <c r="E971">
        <v>2</v>
      </c>
      <c r="F971">
        <v>27.011598025201199</v>
      </c>
      <c r="G971">
        <v>10</v>
      </c>
      <c r="H971">
        <v>71</v>
      </c>
      <c r="I971">
        <v>10</v>
      </c>
      <c r="J971">
        <v>2</v>
      </c>
      <c r="K971">
        <v>0</v>
      </c>
      <c r="L971" t="str">
        <f t="shared" si="195"/>
        <v>C970</v>
      </c>
      <c r="M971" t="str">
        <f t="shared" si="196"/>
        <v>Female</v>
      </c>
      <c r="N971" t="str">
        <f t="shared" si="197"/>
        <v>Bachelor's Type 2</v>
      </c>
      <c r="O971" t="str">
        <f t="shared" si="198"/>
        <v>Mid Level</v>
      </c>
      <c r="P971" t="str">
        <f t="shared" si="199"/>
        <v>Low</v>
      </c>
      <c r="Q971" t="str">
        <f t="shared" si="200"/>
        <v>Intermediate</v>
      </c>
      <c r="R971" t="str">
        <f t="shared" si="201"/>
        <v>Needs Improvement</v>
      </c>
      <c r="S971" t="str">
        <f t="shared" si="202"/>
        <v>Not Hired</v>
      </c>
      <c r="T971">
        <f t="shared" si="203"/>
        <v>35</v>
      </c>
      <c r="U971" t="str">
        <f t="shared" si="204"/>
        <v>Needs Improvement</v>
      </c>
      <c r="V971" t="str">
        <f t="shared" si="205"/>
        <v>Technical Skills</v>
      </c>
      <c r="W971" t="str">
        <f t="shared" si="206"/>
        <v>Interview Preparation</v>
      </c>
      <c r="X971" t="str">
        <f t="shared" si="207"/>
        <v>Improve interview preparation and communication</v>
      </c>
    </row>
    <row r="972" spans="1:24" x14ac:dyDescent="0.3">
      <c r="A972">
        <v>48</v>
      </c>
      <c r="B972">
        <v>1</v>
      </c>
      <c r="C972">
        <v>3</v>
      </c>
      <c r="D972">
        <v>4</v>
      </c>
      <c r="E972">
        <v>2</v>
      </c>
      <c r="F972">
        <v>2.8556659981151098</v>
      </c>
      <c r="G972">
        <v>58</v>
      </c>
      <c r="H972">
        <v>70</v>
      </c>
      <c r="I972">
        <v>30</v>
      </c>
      <c r="J972">
        <v>1</v>
      </c>
      <c r="K972">
        <v>1</v>
      </c>
      <c r="L972" t="str">
        <f t="shared" si="195"/>
        <v>C971</v>
      </c>
      <c r="M972" t="str">
        <f t="shared" si="196"/>
        <v>Female</v>
      </c>
      <c r="N972" t="str">
        <f t="shared" si="197"/>
        <v>Master's</v>
      </c>
      <c r="O972" t="str">
        <f t="shared" si="198"/>
        <v>Mid Level</v>
      </c>
      <c r="P972" t="str">
        <f t="shared" si="199"/>
        <v>Average</v>
      </c>
      <c r="Q972" t="str">
        <f t="shared" si="200"/>
        <v>Intermediate</v>
      </c>
      <c r="R972" t="str">
        <f t="shared" si="201"/>
        <v>Needs Improvement</v>
      </c>
      <c r="S972" t="str">
        <f t="shared" si="202"/>
        <v>Hired</v>
      </c>
      <c r="T972">
        <f t="shared" si="203"/>
        <v>52</v>
      </c>
      <c r="U972" t="str">
        <f t="shared" si="204"/>
        <v>Developing</v>
      </c>
      <c r="V972" t="str">
        <f t="shared" si="205"/>
        <v>Technical Skills</v>
      </c>
      <c r="W972" t="str">
        <f t="shared" si="206"/>
        <v>Personality &amp; Communication</v>
      </c>
      <c r="X972" t="str">
        <f t="shared" si="207"/>
        <v>Work on communication and personality development</v>
      </c>
    </row>
    <row r="973" spans="1:24" x14ac:dyDescent="0.3">
      <c r="A973">
        <v>32</v>
      </c>
      <c r="B973">
        <v>0</v>
      </c>
      <c r="C973">
        <v>3</v>
      </c>
      <c r="D973">
        <v>6</v>
      </c>
      <c r="E973">
        <v>5</v>
      </c>
      <c r="F973">
        <v>5.0334883695588601</v>
      </c>
      <c r="G973">
        <v>85</v>
      </c>
      <c r="H973">
        <v>69</v>
      </c>
      <c r="I973">
        <v>11</v>
      </c>
      <c r="J973">
        <v>2</v>
      </c>
      <c r="K973">
        <v>1</v>
      </c>
      <c r="L973" t="str">
        <f t="shared" si="195"/>
        <v>C972</v>
      </c>
      <c r="M973" t="str">
        <f t="shared" si="196"/>
        <v>Male</v>
      </c>
      <c r="N973" t="str">
        <f t="shared" si="197"/>
        <v>Master's</v>
      </c>
      <c r="O973" t="str">
        <f t="shared" si="198"/>
        <v>Mid Level</v>
      </c>
      <c r="P973" t="str">
        <f t="shared" si="199"/>
        <v>Strong</v>
      </c>
      <c r="Q973" t="str">
        <f t="shared" si="200"/>
        <v>Intermediate</v>
      </c>
      <c r="R973" t="str">
        <f t="shared" si="201"/>
        <v>Needs Improvement</v>
      </c>
      <c r="S973" t="str">
        <f t="shared" si="202"/>
        <v>Hired</v>
      </c>
      <c r="T973">
        <f t="shared" si="203"/>
        <v>58</v>
      </c>
      <c r="U973" t="str">
        <f t="shared" si="204"/>
        <v>Developing</v>
      </c>
      <c r="V973" t="str">
        <f t="shared" si="205"/>
        <v>Interview</v>
      </c>
      <c r="W973" t="str">
        <f t="shared" si="206"/>
        <v>Personality &amp; Communication</v>
      </c>
      <c r="X973" t="str">
        <f t="shared" si="207"/>
        <v>Work on communication and personality development</v>
      </c>
    </row>
    <row r="974" spans="1:24" x14ac:dyDescent="0.3">
      <c r="A974">
        <v>33</v>
      </c>
      <c r="B974">
        <v>1</v>
      </c>
      <c r="C974">
        <v>2</v>
      </c>
      <c r="D974">
        <v>11</v>
      </c>
      <c r="E974">
        <v>5</v>
      </c>
      <c r="F974">
        <v>34.617413382143198</v>
      </c>
      <c r="G974">
        <v>14</v>
      </c>
      <c r="H974">
        <v>10</v>
      </c>
      <c r="I974">
        <v>94</v>
      </c>
      <c r="J974">
        <v>3</v>
      </c>
      <c r="K974">
        <v>0</v>
      </c>
      <c r="L974" t="str">
        <f t="shared" si="195"/>
        <v>C973</v>
      </c>
      <c r="M974" t="str">
        <f t="shared" si="196"/>
        <v>Female</v>
      </c>
      <c r="N974" t="str">
        <f t="shared" si="197"/>
        <v>Bachelor's Type 2</v>
      </c>
      <c r="O974" t="str">
        <f t="shared" si="198"/>
        <v>Senior Level</v>
      </c>
      <c r="P974" t="str">
        <f t="shared" si="199"/>
        <v>Low</v>
      </c>
      <c r="Q974" t="str">
        <f t="shared" si="200"/>
        <v>Beginner</v>
      </c>
      <c r="R974" t="str">
        <f t="shared" si="201"/>
        <v>Strong</v>
      </c>
      <c r="S974" t="str">
        <f t="shared" si="202"/>
        <v>Not Hired</v>
      </c>
      <c r="T974">
        <f t="shared" si="203"/>
        <v>40</v>
      </c>
      <c r="U974" t="str">
        <f t="shared" si="204"/>
        <v>Needs Improvement</v>
      </c>
      <c r="V974" t="str">
        <f t="shared" si="205"/>
        <v>Personality</v>
      </c>
      <c r="W974" t="str">
        <f t="shared" si="206"/>
        <v>Technical Skills</v>
      </c>
      <c r="X974" t="str">
        <f t="shared" si="207"/>
        <v>Strengthen technical skills and practical knowledge</v>
      </c>
    </row>
    <row r="975" spans="1:24" x14ac:dyDescent="0.3">
      <c r="A975">
        <v>22</v>
      </c>
      <c r="B975">
        <v>0</v>
      </c>
      <c r="C975">
        <v>2</v>
      </c>
      <c r="D975">
        <v>0</v>
      </c>
      <c r="E975">
        <v>4</v>
      </c>
      <c r="F975">
        <v>35.4590705213758</v>
      </c>
      <c r="G975">
        <v>9</v>
      </c>
      <c r="H975">
        <v>81</v>
      </c>
      <c r="I975">
        <v>77</v>
      </c>
      <c r="J975">
        <v>2</v>
      </c>
      <c r="K975">
        <v>0</v>
      </c>
      <c r="L975" t="str">
        <f t="shared" si="195"/>
        <v>C974</v>
      </c>
      <c r="M975" t="str">
        <f t="shared" si="196"/>
        <v>Male</v>
      </c>
      <c r="N975" t="str">
        <f t="shared" si="197"/>
        <v>Bachelor's Type 2</v>
      </c>
      <c r="O975" t="str">
        <f t="shared" si="198"/>
        <v>Entry Level</v>
      </c>
      <c r="P975" t="str">
        <f t="shared" si="199"/>
        <v>Low</v>
      </c>
      <c r="Q975" t="str">
        <f t="shared" si="200"/>
        <v>Advanced</v>
      </c>
      <c r="R975" t="str">
        <f t="shared" si="201"/>
        <v>Strong</v>
      </c>
      <c r="S975" t="str">
        <f t="shared" si="202"/>
        <v>Not Hired</v>
      </c>
      <c r="T975">
        <f t="shared" si="203"/>
        <v>45</v>
      </c>
      <c r="U975" t="str">
        <f t="shared" si="204"/>
        <v>Needs Improvement</v>
      </c>
      <c r="V975" t="str">
        <f t="shared" si="205"/>
        <v>Technical Skills</v>
      </c>
      <c r="W975" t="str">
        <f t="shared" si="206"/>
        <v>Interview Preparation</v>
      </c>
      <c r="X975" t="str">
        <f t="shared" si="207"/>
        <v>Improve interview preparation and communication</v>
      </c>
    </row>
    <row r="976" spans="1:24" x14ac:dyDescent="0.3">
      <c r="A976">
        <v>48</v>
      </c>
      <c r="B976">
        <v>0</v>
      </c>
      <c r="C976">
        <v>2</v>
      </c>
      <c r="D976">
        <v>0</v>
      </c>
      <c r="E976">
        <v>2</v>
      </c>
      <c r="F976">
        <v>18.073470330422101</v>
      </c>
      <c r="G976">
        <v>40</v>
      </c>
      <c r="H976">
        <v>92</v>
      </c>
      <c r="I976">
        <v>50</v>
      </c>
      <c r="J976">
        <v>2</v>
      </c>
      <c r="K976">
        <v>0</v>
      </c>
      <c r="L976" t="str">
        <f t="shared" si="195"/>
        <v>C975</v>
      </c>
      <c r="M976" t="str">
        <f t="shared" si="196"/>
        <v>Male</v>
      </c>
      <c r="N976" t="str">
        <f t="shared" si="197"/>
        <v>Bachelor's Type 2</v>
      </c>
      <c r="O976" t="str">
        <f t="shared" si="198"/>
        <v>Entry Level</v>
      </c>
      <c r="P976" t="str">
        <f t="shared" si="199"/>
        <v>Low</v>
      </c>
      <c r="Q976" t="str">
        <f t="shared" si="200"/>
        <v>Advanced</v>
      </c>
      <c r="R976" t="str">
        <f t="shared" si="201"/>
        <v>Good</v>
      </c>
      <c r="S976" t="str">
        <f t="shared" si="202"/>
        <v>Not Hired</v>
      </c>
      <c r="T976">
        <f t="shared" si="203"/>
        <v>52</v>
      </c>
      <c r="U976" t="str">
        <f t="shared" si="204"/>
        <v>Developing</v>
      </c>
      <c r="V976" t="str">
        <f t="shared" si="205"/>
        <v>Technical Skills</v>
      </c>
      <c r="W976" t="str">
        <f t="shared" si="206"/>
        <v>Interview Preparation</v>
      </c>
      <c r="X976" t="str">
        <f t="shared" si="207"/>
        <v>Improve interview preparation and communication</v>
      </c>
    </row>
    <row r="977" spans="1:24" x14ac:dyDescent="0.3">
      <c r="A977">
        <v>25</v>
      </c>
      <c r="B977">
        <v>1</v>
      </c>
      <c r="C977">
        <v>2</v>
      </c>
      <c r="D977">
        <v>15</v>
      </c>
      <c r="E977">
        <v>5</v>
      </c>
      <c r="F977">
        <v>11.7804882621522</v>
      </c>
      <c r="G977">
        <v>26</v>
      </c>
      <c r="H977">
        <v>88</v>
      </c>
      <c r="I977">
        <v>43</v>
      </c>
      <c r="J977">
        <v>3</v>
      </c>
      <c r="K977">
        <v>0</v>
      </c>
      <c r="L977" t="str">
        <f t="shared" si="195"/>
        <v>C976</v>
      </c>
      <c r="M977" t="str">
        <f t="shared" si="196"/>
        <v>Female</v>
      </c>
      <c r="N977" t="str">
        <f t="shared" si="197"/>
        <v>Bachelor's Type 2</v>
      </c>
      <c r="O977" t="str">
        <f t="shared" si="198"/>
        <v>Senior Level</v>
      </c>
      <c r="P977" t="str">
        <f t="shared" si="199"/>
        <v>Low</v>
      </c>
      <c r="Q977" t="str">
        <f t="shared" si="200"/>
        <v>Advanced</v>
      </c>
      <c r="R977" t="str">
        <f t="shared" si="201"/>
        <v>Needs Improvement</v>
      </c>
      <c r="S977" t="str">
        <f t="shared" si="202"/>
        <v>Not Hired</v>
      </c>
      <c r="T977">
        <f t="shared" si="203"/>
        <v>60</v>
      </c>
      <c r="U977" t="str">
        <f t="shared" si="204"/>
        <v>Developing</v>
      </c>
      <c r="V977" t="str">
        <f t="shared" si="205"/>
        <v>Technical Skills</v>
      </c>
      <c r="W977" t="str">
        <f t="shared" si="206"/>
        <v>Interview Preparation</v>
      </c>
      <c r="X977" t="str">
        <f t="shared" si="207"/>
        <v>Improve interview preparation and communication</v>
      </c>
    </row>
    <row r="978" spans="1:24" x14ac:dyDescent="0.3">
      <c r="A978">
        <v>37</v>
      </c>
      <c r="B978">
        <v>0</v>
      </c>
      <c r="C978">
        <v>3</v>
      </c>
      <c r="D978">
        <v>9</v>
      </c>
      <c r="E978">
        <v>2</v>
      </c>
      <c r="F978">
        <v>41.685513537865397</v>
      </c>
      <c r="G978">
        <v>59</v>
      </c>
      <c r="H978">
        <v>62</v>
      </c>
      <c r="I978">
        <v>95</v>
      </c>
      <c r="J978">
        <v>2</v>
      </c>
      <c r="K978">
        <v>1</v>
      </c>
      <c r="L978" t="str">
        <f t="shared" si="195"/>
        <v>C977</v>
      </c>
      <c r="M978" t="str">
        <f t="shared" si="196"/>
        <v>Male</v>
      </c>
      <c r="N978" t="str">
        <f t="shared" si="197"/>
        <v>Master's</v>
      </c>
      <c r="O978" t="str">
        <f t="shared" si="198"/>
        <v>Senior Level</v>
      </c>
      <c r="P978" t="str">
        <f t="shared" si="199"/>
        <v>Average</v>
      </c>
      <c r="Q978" t="str">
        <f t="shared" si="200"/>
        <v>Intermediate</v>
      </c>
      <c r="R978" t="str">
        <f t="shared" si="201"/>
        <v>Strong</v>
      </c>
      <c r="S978" t="str">
        <f t="shared" si="202"/>
        <v>Hired</v>
      </c>
      <c r="T978">
        <f t="shared" si="203"/>
        <v>68</v>
      </c>
      <c r="U978" t="str">
        <f t="shared" si="204"/>
        <v>Developing</v>
      </c>
      <c r="V978" t="str">
        <f t="shared" si="205"/>
        <v>Personality</v>
      </c>
      <c r="W978" t="str">
        <f t="shared" si="206"/>
        <v>Interview Preparation</v>
      </c>
      <c r="X978" t="str">
        <f t="shared" si="207"/>
        <v>Improve interview preparation and communication</v>
      </c>
    </row>
    <row r="979" spans="1:24" x14ac:dyDescent="0.3">
      <c r="A979">
        <v>38</v>
      </c>
      <c r="B979">
        <v>1</v>
      </c>
      <c r="C979">
        <v>2</v>
      </c>
      <c r="D979">
        <v>13</v>
      </c>
      <c r="E979">
        <v>5</v>
      </c>
      <c r="F979">
        <v>11.855161473494499</v>
      </c>
      <c r="G979">
        <v>72</v>
      </c>
      <c r="H979">
        <v>20</v>
      </c>
      <c r="I979">
        <v>49</v>
      </c>
      <c r="J979">
        <v>2</v>
      </c>
      <c r="K979">
        <v>0</v>
      </c>
      <c r="L979" t="str">
        <f t="shared" si="195"/>
        <v>C978</v>
      </c>
      <c r="M979" t="str">
        <f t="shared" si="196"/>
        <v>Female</v>
      </c>
      <c r="N979" t="str">
        <f t="shared" si="197"/>
        <v>Bachelor's Type 2</v>
      </c>
      <c r="O979" t="str">
        <f t="shared" si="198"/>
        <v>Senior Level</v>
      </c>
      <c r="P979" t="str">
        <f t="shared" si="199"/>
        <v>Average</v>
      </c>
      <c r="Q979" t="str">
        <f t="shared" si="200"/>
        <v>Beginner</v>
      </c>
      <c r="R979" t="str">
        <f t="shared" si="201"/>
        <v>Needs Improvement</v>
      </c>
      <c r="S979" t="str">
        <f t="shared" si="202"/>
        <v>Not Hired</v>
      </c>
      <c r="T979">
        <f t="shared" si="203"/>
        <v>53</v>
      </c>
      <c r="U979" t="str">
        <f t="shared" si="204"/>
        <v>Developing</v>
      </c>
      <c r="V979" t="str">
        <f t="shared" si="205"/>
        <v>Interview</v>
      </c>
      <c r="W979" t="str">
        <f t="shared" si="206"/>
        <v>Technical Skills</v>
      </c>
      <c r="X979" t="str">
        <f t="shared" si="207"/>
        <v>Strengthen technical skills and practical knowledge</v>
      </c>
    </row>
    <row r="980" spans="1:24" x14ac:dyDescent="0.3">
      <c r="A980">
        <v>24</v>
      </c>
      <c r="B980">
        <v>1</v>
      </c>
      <c r="C980">
        <v>4</v>
      </c>
      <c r="D980">
        <v>12</v>
      </c>
      <c r="E980">
        <v>1</v>
      </c>
      <c r="F980">
        <v>28.101353483318899</v>
      </c>
      <c r="G980">
        <v>51</v>
      </c>
      <c r="H980">
        <v>2</v>
      </c>
      <c r="I980">
        <v>16</v>
      </c>
      <c r="J980">
        <v>1</v>
      </c>
      <c r="K980">
        <v>1</v>
      </c>
      <c r="L980" t="str">
        <f t="shared" si="195"/>
        <v>C979</v>
      </c>
      <c r="M980" t="str">
        <f t="shared" si="196"/>
        <v>Female</v>
      </c>
      <c r="N980" t="str">
        <f t="shared" si="197"/>
        <v>PhD</v>
      </c>
      <c r="O980" t="str">
        <f t="shared" si="198"/>
        <v>Senior Level</v>
      </c>
      <c r="P980" t="str">
        <f t="shared" si="199"/>
        <v>Average</v>
      </c>
      <c r="Q980" t="str">
        <f t="shared" si="200"/>
        <v>Beginner</v>
      </c>
      <c r="R980" t="str">
        <f t="shared" si="201"/>
        <v>Needs Improvement</v>
      </c>
      <c r="S980" t="str">
        <f t="shared" si="202"/>
        <v>Hired</v>
      </c>
      <c r="T980">
        <f t="shared" si="203"/>
        <v>36</v>
      </c>
      <c r="U980" t="str">
        <f t="shared" si="204"/>
        <v>Needs Improvement</v>
      </c>
      <c r="V980" t="str">
        <f t="shared" si="205"/>
        <v>Interview</v>
      </c>
      <c r="W980" t="str">
        <f t="shared" si="206"/>
        <v>Technical Skills</v>
      </c>
      <c r="X980" t="str">
        <f t="shared" si="207"/>
        <v>Strengthen technical skills and practical knowledge</v>
      </c>
    </row>
    <row r="981" spans="1:24" x14ac:dyDescent="0.3">
      <c r="A981">
        <v>34</v>
      </c>
      <c r="B981">
        <v>1</v>
      </c>
      <c r="C981">
        <v>1</v>
      </c>
      <c r="D981">
        <v>2</v>
      </c>
      <c r="E981">
        <v>3</v>
      </c>
      <c r="F981">
        <v>49.410442043145203</v>
      </c>
      <c r="G981">
        <v>27</v>
      </c>
      <c r="H981">
        <v>81</v>
      </c>
      <c r="I981">
        <v>34</v>
      </c>
      <c r="J981">
        <v>1</v>
      </c>
      <c r="K981">
        <v>0</v>
      </c>
      <c r="L981" t="str">
        <f t="shared" si="195"/>
        <v>C980</v>
      </c>
      <c r="M981" t="str">
        <f t="shared" si="196"/>
        <v>Female</v>
      </c>
      <c r="N981" t="str">
        <f t="shared" si="197"/>
        <v>Bachelor's Type 1</v>
      </c>
      <c r="O981" t="str">
        <f t="shared" si="198"/>
        <v>Entry Level</v>
      </c>
      <c r="P981" t="str">
        <f t="shared" si="199"/>
        <v>Low</v>
      </c>
      <c r="Q981" t="str">
        <f t="shared" si="200"/>
        <v>Advanced</v>
      </c>
      <c r="R981" t="str">
        <f t="shared" si="201"/>
        <v>Needs Improvement</v>
      </c>
      <c r="S981" t="str">
        <f t="shared" si="202"/>
        <v>Not Hired</v>
      </c>
      <c r="T981">
        <f t="shared" si="203"/>
        <v>44</v>
      </c>
      <c r="U981" t="str">
        <f t="shared" si="204"/>
        <v>Needs Improvement</v>
      </c>
      <c r="V981" t="str">
        <f t="shared" si="205"/>
        <v>Technical Skills</v>
      </c>
      <c r="W981" t="str">
        <f t="shared" si="206"/>
        <v>Interview Preparation</v>
      </c>
      <c r="X981" t="str">
        <f t="shared" si="207"/>
        <v>Improve interview preparation and communication</v>
      </c>
    </row>
    <row r="982" spans="1:24" x14ac:dyDescent="0.3">
      <c r="A982">
        <v>44</v>
      </c>
      <c r="B982">
        <v>1</v>
      </c>
      <c r="C982">
        <v>1</v>
      </c>
      <c r="D982">
        <v>13</v>
      </c>
      <c r="E982">
        <v>1</v>
      </c>
      <c r="F982">
        <v>8.3926218931191894</v>
      </c>
      <c r="G982">
        <v>64</v>
      </c>
      <c r="H982">
        <v>87</v>
      </c>
      <c r="I982">
        <v>0</v>
      </c>
      <c r="J982">
        <v>2</v>
      </c>
      <c r="K982">
        <v>0</v>
      </c>
      <c r="L982" t="str">
        <f t="shared" si="195"/>
        <v>C981</v>
      </c>
      <c r="M982" t="str">
        <f t="shared" si="196"/>
        <v>Female</v>
      </c>
      <c r="N982" t="str">
        <f t="shared" si="197"/>
        <v>Bachelor's Type 1</v>
      </c>
      <c r="O982" t="str">
        <f t="shared" si="198"/>
        <v>Senior Level</v>
      </c>
      <c r="P982" t="str">
        <f t="shared" si="199"/>
        <v>Average</v>
      </c>
      <c r="Q982" t="str">
        <f t="shared" si="200"/>
        <v>Advanced</v>
      </c>
      <c r="R982" t="str">
        <f t="shared" si="201"/>
        <v>Needs Improvement</v>
      </c>
      <c r="S982" t="str">
        <f t="shared" si="202"/>
        <v>Not Hired</v>
      </c>
      <c r="T982">
        <f t="shared" si="203"/>
        <v>61</v>
      </c>
      <c r="U982" t="str">
        <f t="shared" si="204"/>
        <v>Developing</v>
      </c>
      <c r="V982" t="str">
        <f t="shared" si="205"/>
        <v>Technical Skills</v>
      </c>
      <c r="W982" t="str">
        <f t="shared" si="206"/>
        <v>Personality &amp; Communication</v>
      </c>
      <c r="X982" t="str">
        <f t="shared" si="207"/>
        <v>Work on communication and personality development</v>
      </c>
    </row>
    <row r="983" spans="1:24" x14ac:dyDescent="0.3">
      <c r="A983">
        <v>21</v>
      </c>
      <c r="B983">
        <v>1</v>
      </c>
      <c r="C983">
        <v>2</v>
      </c>
      <c r="D983">
        <v>10</v>
      </c>
      <c r="E983">
        <v>5</v>
      </c>
      <c r="F983">
        <v>48.0438133747354</v>
      </c>
      <c r="G983">
        <v>16</v>
      </c>
      <c r="H983">
        <v>9</v>
      </c>
      <c r="I983">
        <v>28</v>
      </c>
      <c r="J983">
        <v>3</v>
      </c>
      <c r="K983">
        <v>0</v>
      </c>
      <c r="L983" t="str">
        <f t="shared" si="195"/>
        <v>C982</v>
      </c>
      <c r="M983" t="str">
        <f t="shared" si="196"/>
        <v>Female</v>
      </c>
      <c r="N983" t="str">
        <f t="shared" si="197"/>
        <v>Bachelor's Type 2</v>
      </c>
      <c r="O983" t="str">
        <f t="shared" si="198"/>
        <v>Senior Level</v>
      </c>
      <c r="P983" t="str">
        <f t="shared" si="199"/>
        <v>Low</v>
      </c>
      <c r="Q983" t="str">
        <f t="shared" si="200"/>
        <v>Beginner</v>
      </c>
      <c r="R983" t="str">
        <f t="shared" si="201"/>
        <v>Needs Improvement</v>
      </c>
      <c r="S983" t="str">
        <f t="shared" si="202"/>
        <v>Not Hired</v>
      </c>
      <c r="T983">
        <f t="shared" si="203"/>
        <v>26</v>
      </c>
      <c r="U983" t="str">
        <f t="shared" si="204"/>
        <v>Needs Improvement</v>
      </c>
      <c r="V983" t="str">
        <f t="shared" si="205"/>
        <v>Personality</v>
      </c>
      <c r="W983" t="str">
        <f t="shared" si="206"/>
        <v>Technical Skills</v>
      </c>
      <c r="X983" t="str">
        <f t="shared" si="207"/>
        <v>Strengthen technical skills and practical knowledge</v>
      </c>
    </row>
    <row r="984" spans="1:24" x14ac:dyDescent="0.3">
      <c r="A984">
        <v>29</v>
      </c>
      <c r="B984">
        <v>0</v>
      </c>
      <c r="C984">
        <v>2</v>
      </c>
      <c r="D984">
        <v>1</v>
      </c>
      <c r="E984">
        <v>3</v>
      </c>
      <c r="F984">
        <v>10.144652653433401</v>
      </c>
      <c r="G984">
        <v>94</v>
      </c>
      <c r="H984">
        <v>26</v>
      </c>
      <c r="I984">
        <v>50</v>
      </c>
      <c r="J984">
        <v>1</v>
      </c>
      <c r="K984">
        <v>0</v>
      </c>
      <c r="L984" t="str">
        <f t="shared" si="195"/>
        <v>C983</v>
      </c>
      <c r="M984" t="str">
        <f t="shared" si="196"/>
        <v>Male</v>
      </c>
      <c r="N984" t="str">
        <f t="shared" si="197"/>
        <v>Bachelor's Type 2</v>
      </c>
      <c r="O984" t="str">
        <f t="shared" si="198"/>
        <v>Entry Level</v>
      </c>
      <c r="P984" t="str">
        <f t="shared" si="199"/>
        <v>Strong</v>
      </c>
      <c r="Q984" t="str">
        <f t="shared" si="200"/>
        <v>Beginner</v>
      </c>
      <c r="R984" t="str">
        <f t="shared" si="201"/>
        <v>Good</v>
      </c>
      <c r="S984" t="str">
        <f t="shared" si="202"/>
        <v>Not Hired</v>
      </c>
      <c r="T984">
        <f t="shared" si="203"/>
        <v>50</v>
      </c>
      <c r="U984" t="str">
        <f t="shared" si="204"/>
        <v>Developing</v>
      </c>
      <c r="V984" t="str">
        <f t="shared" si="205"/>
        <v>Interview</v>
      </c>
      <c r="W984" t="str">
        <f t="shared" si="206"/>
        <v>Technical Skills</v>
      </c>
      <c r="X984" t="str">
        <f t="shared" si="207"/>
        <v>Strengthen technical skills and practical knowledge</v>
      </c>
    </row>
    <row r="985" spans="1:24" x14ac:dyDescent="0.3">
      <c r="A985">
        <v>43</v>
      </c>
      <c r="B985">
        <v>0</v>
      </c>
      <c r="C985">
        <v>2</v>
      </c>
      <c r="D985">
        <v>1</v>
      </c>
      <c r="E985">
        <v>3</v>
      </c>
      <c r="F985">
        <v>29.372160401161398</v>
      </c>
      <c r="G985">
        <v>43</v>
      </c>
      <c r="H985">
        <v>11</v>
      </c>
      <c r="I985">
        <v>63</v>
      </c>
      <c r="J985">
        <v>2</v>
      </c>
      <c r="K985">
        <v>0</v>
      </c>
      <c r="L985" t="str">
        <f t="shared" si="195"/>
        <v>C984</v>
      </c>
      <c r="M985" t="str">
        <f t="shared" si="196"/>
        <v>Male</v>
      </c>
      <c r="N985" t="str">
        <f t="shared" si="197"/>
        <v>Bachelor's Type 2</v>
      </c>
      <c r="O985" t="str">
        <f t="shared" si="198"/>
        <v>Entry Level</v>
      </c>
      <c r="P985" t="str">
        <f t="shared" si="199"/>
        <v>Low</v>
      </c>
      <c r="Q985" t="str">
        <f t="shared" si="200"/>
        <v>Beginner</v>
      </c>
      <c r="R985" t="str">
        <f t="shared" si="201"/>
        <v>Good</v>
      </c>
      <c r="S985" t="str">
        <f t="shared" si="202"/>
        <v>Not Hired</v>
      </c>
      <c r="T985">
        <f t="shared" si="203"/>
        <v>32</v>
      </c>
      <c r="U985" t="str">
        <f t="shared" si="204"/>
        <v>Needs Improvement</v>
      </c>
      <c r="V985" t="str">
        <f t="shared" si="205"/>
        <v>Personality</v>
      </c>
      <c r="W985" t="str">
        <f t="shared" si="206"/>
        <v>Technical Skills</v>
      </c>
      <c r="X985" t="str">
        <f t="shared" si="207"/>
        <v>Strengthen technical skills and practical knowledge</v>
      </c>
    </row>
    <row r="986" spans="1:24" x14ac:dyDescent="0.3">
      <c r="A986">
        <v>49</v>
      </c>
      <c r="B986">
        <v>1</v>
      </c>
      <c r="C986">
        <v>2</v>
      </c>
      <c r="D986">
        <v>6</v>
      </c>
      <c r="E986">
        <v>5</v>
      </c>
      <c r="F986">
        <v>19.850385597937201</v>
      </c>
      <c r="G986">
        <v>9</v>
      </c>
      <c r="H986">
        <v>6</v>
      </c>
      <c r="I986">
        <v>3</v>
      </c>
      <c r="J986">
        <v>1</v>
      </c>
      <c r="K986">
        <v>0</v>
      </c>
      <c r="L986" t="str">
        <f t="shared" si="195"/>
        <v>C985</v>
      </c>
      <c r="M986" t="str">
        <f t="shared" si="196"/>
        <v>Female</v>
      </c>
      <c r="N986" t="str">
        <f t="shared" si="197"/>
        <v>Bachelor's Type 2</v>
      </c>
      <c r="O986" t="str">
        <f t="shared" si="198"/>
        <v>Mid Level</v>
      </c>
      <c r="P986" t="str">
        <f t="shared" si="199"/>
        <v>Low</v>
      </c>
      <c r="Q986" t="str">
        <f t="shared" si="200"/>
        <v>Beginner</v>
      </c>
      <c r="R986" t="str">
        <f t="shared" si="201"/>
        <v>Needs Improvement</v>
      </c>
      <c r="S986" t="str">
        <f t="shared" si="202"/>
        <v>Not Hired</v>
      </c>
      <c r="T986">
        <f t="shared" si="203"/>
        <v>14</v>
      </c>
      <c r="U986" t="str">
        <f t="shared" si="204"/>
        <v>Needs Improvement</v>
      </c>
      <c r="V986" t="str">
        <f t="shared" si="205"/>
        <v>Interview</v>
      </c>
      <c r="W986" t="str">
        <f t="shared" si="206"/>
        <v>Personality &amp; Communication</v>
      </c>
      <c r="X986" t="str">
        <f t="shared" si="207"/>
        <v>Work on communication and personality development</v>
      </c>
    </row>
    <row r="987" spans="1:24" x14ac:dyDescent="0.3">
      <c r="A987">
        <v>37</v>
      </c>
      <c r="B987">
        <v>1</v>
      </c>
      <c r="C987">
        <v>2</v>
      </c>
      <c r="D987">
        <v>11</v>
      </c>
      <c r="E987">
        <v>5</v>
      </c>
      <c r="F987">
        <v>49.246430075091297</v>
      </c>
      <c r="G987">
        <v>62</v>
      </c>
      <c r="H987">
        <v>16</v>
      </c>
      <c r="I987">
        <v>86</v>
      </c>
      <c r="J987">
        <v>2</v>
      </c>
      <c r="K987">
        <v>0</v>
      </c>
      <c r="L987" t="str">
        <f t="shared" si="195"/>
        <v>C986</v>
      </c>
      <c r="M987" t="str">
        <f t="shared" si="196"/>
        <v>Female</v>
      </c>
      <c r="N987" t="str">
        <f t="shared" si="197"/>
        <v>Bachelor's Type 2</v>
      </c>
      <c r="O987" t="str">
        <f t="shared" si="198"/>
        <v>Senior Level</v>
      </c>
      <c r="P987" t="str">
        <f t="shared" si="199"/>
        <v>Average</v>
      </c>
      <c r="Q987" t="str">
        <f t="shared" si="200"/>
        <v>Beginner</v>
      </c>
      <c r="R987" t="str">
        <f t="shared" si="201"/>
        <v>Strong</v>
      </c>
      <c r="S987" t="str">
        <f t="shared" si="202"/>
        <v>Not Hired</v>
      </c>
      <c r="T987">
        <f t="shared" si="203"/>
        <v>54</v>
      </c>
      <c r="U987" t="str">
        <f t="shared" si="204"/>
        <v>Developing</v>
      </c>
      <c r="V987" t="str">
        <f t="shared" si="205"/>
        <v>Personality</v>
      </c>
      <c r="W987" t="str">
        <f t="shared" si="206"/>
        <v>Technical Skills</v>
      </c>
      <c r="X987" t="str">
        <f t="shared" si="207"/>
        <v>Strengthen technical skills and practical knowledge</v>
      </c>
    </row>
    <row r="988" spans="1:24" x14ac:dyDescent="0.3">
      <c r="A988">
        <v>46</v>
      </c>
      <c r="B988">
        <v>0</v>
      </c>
      <c r="C988">
        <v>1</v>
      </c>
      <c r="D988">
        <v>9</v>
      </c>
      <c r="E988">
        <v>2</v>
      </c>
      <c r="F988">
        <v>14.677101450096799</v>
      </c>
      <c r="G988">
        <v>100</v>
      </c>
      <c r="H988">
        <v>64</v>
      </c>
      <c r="I988">
        <v>27</v>
      </c>
      <c r="J988">
        <v>1</v>
      </c>
      <c r="K988">
        <v>1</v>
      </c>
      <c r="L988" t="str">
        <f t="shared" si="195"/>
        <v>C987</v>
      </c>
      <c r="M988" t="str">
        <f t="shared" si="196"/>
        <v>Male</v>
      </c>
      <c r="N988" t="str">
        <f t="shared" si="197"/>
        <v>Bachelor's Type 1</v>
      </c>
      <c r="O988" t="str">
        <f t="shared" si="198"/>
        <v>Senior Level</v>
      </c>
      <c r="P988" t="str">
        <f t="shared" si="199"/>
        <v>Strong</v>
      </c>
      <c r="Q988" t="str">
        <f t="shared" si="200"/>
        <v>Intermediate</v>
      </c>
      <c r="R988" t="str">
        <f t="shared" si="201"/>
        <v>Needs Improvement</v>
      </c>
      <c r="S988" t="str">
        <f t="shared" si="202"/>
        <v>Hired</v>
      </c>
      <c r="T988">
        <f t="shared" si="203"/>
        <v>66</v>
      </c>
      <c r="U988" t="str">
        <f t="shared" si="204"/>
        <v>Developing</v>
      </c>
      <c r="V988" t="str">
        <f t="shared" si="205"/>
        <v>Interview</v>
      </c>
      <c r="W988" t="str">
        <f t="shared" si="206"/>
        <v>Personality &amp; Communication</v>
      </c>
      <c r="X988" t="str">
        <f t="shared" si="207"/>
        <v>Work on communication and personality development</v>
      </c>
    </row>
    <row r="989" spans="1:24" x14ac:dyDescent="0.3">
      <c r="A989">
        <v>32</v>
      </c>
      <c r="B989">
        <v>0</v>
      </c>
      <c r="C989">
        <v>4</v>
      </c>
      <c r="D989">
        <v>1</v>
      </c>
      <c r="E989">
        <v>5</v>
      </c>
      <c r="F989">
        <v>20.982900104287602</v>
      </c>
      <c r="G989">
        <v>92</v>
      </c>
      <c r="H989">
        <v>63</v>
      </c>
      <c r="I989">
        <v>15</v>
      </c>
      <c r="J989">
        <v>1</v>
      </c>
      <c r="K989">
        <v>1</v>
      </c>
      <c r="L989" t="str">
        <f t="shared" si="195"/>
        <v>C988</v>
      </c>
      <c r="M989" t="str">
        <f t="shared" si="196"/>
        <v>Male</v>
      </c>
      <c r="N989" t="str">
        <f t="shared" si="197"/>
        <v>PhD</v>
      </c>
      <c r="O989" t="str">
        <f t="shared" si="198"/>
        <v>Entry Level</v>
      </c>
      <c r="P989" t="str">
        <f t="shared" si="199"/>
        <v>Strong</v>
      </c>
      <c r="Q989" t="str">
        <f t="shared" si="200"/>
        <v>Intermediate</v>
      </c>
      <c r="R989" t="str">
        <f t="shared" si="201"/>
        <v>Needs Improvement</v>
      </c>
      <c r="S989" t="str">
        <f t="shared" si="202"/>
        <v>Hired</v>
      </c>
      <c r="T989">
        <f t="shared" si="203"/>
        <v>56</v>
      </c>
      <c r="U989" t="str">
        <f t="shared" si="204"/>
        <v>Developing</v>
      </c>
      <c r="V989" t="str">
        <f t="shared" si="205"/>
        <v>Interview</v>
      </c>
      <c r="W989" t="str">
        <f t="shared" si="206"/>
        <v>Personality &amp; Communication</v>
      </c>
      <c r="X989" t="str">
        <f t="shared" si="207"/>
        <v>Work on communication and personality development</v>
      </c>
    </row>
    <row r="990" spans="1:24" x14ac:dyDescent="0.3">
      <c r="A990">
        <v>24</v>
      </c>
      <c r="B990">
        <v>0</v>
      </c>
      <c r="C990">
        <v>2</v>
      </c>
      <c r="D990">
        <v>10</v>
      </c>
      <c r="E990">
        <v>4</v>
      </c>
      <c r="F990">
        <v>50.143005892771001</v>
      </c>
      <c r="G990">
        <v>81</v>
      </c>
      <c r="H990">
        <v>25</v>
      </c>
      <c r="I990">
        <v>62</v>
      </c>
      <c r="J990">
        <v>1</v>
      </c>
      <c r="K990">
        <v>1</v>
      </c>
      <c r="L990" t="str">
        <f t="shared" si="195"/>
        <v>C989</v>
      </c>
      <c r="M990" t="str">
        <f t="shared" si="196"/>
        <v>Male</v>
      </c>
      <c r="N990" t="str">
        <f t="shared" si="197"/>
        <v>Bachelor's Type 2</v>
      </c>
      <c r="O990" t="str">
        <f t="shared" si="198"/>
        <v>Senior Level</v>
      </c>
      <c r="P990" t="str">
        <f t="shared" si="199"/>
        <v>Strong</v>
      </c>
      <c r="Q990" t="str">
        <f t="shared" si="200"/>
        <v>Beginner</v>
      </c>
      <c r="R990" t="str">
        <f t="shared" si="201"/>
        <v>Good</v>
      </c>
      <c r="S990" t="str">
        <f t="shared" si="202"/>
        <v>Hired</v>
      </c>
      <c r="T990">
        <f t="shared" si="203"/>
        <v>57</v>
      </c>
      <c r="U990" t="str">
        <f t="shared" si="204"/>
        <v>Developing</v>
      </c>
      <c r="V990" t="str">
        <f t="shared" si="205"/>
        <v>Interview</v>
      </c>
      <c r="W990" t="str">
        <f t="shared" si="206"/>
        <v>Technical Skills</v>
      </c>
      <c r="X990" t="str">
        <f t="shared" si="207"/>
        <v>Strengthen technical skills and practical knowledge</v>
      </c>
    </row>
    <row r="991" spans="1:24" x14ac:dyDescent="0.3">
      <c r="A991">
        <v>42</v>
      </c>
      <c r="B991">
        <v>0</v>
      </c>
      <c r="C991">
        <v>3</v>
      </c>
      <c r="D991">
        <v>3</v>
      </c>
      <c r="E991">
        <v>5</v>
      </c>
      <c r="F991">
        <v>27.823519559423602</v>
      </c>
      <c r="G991">
        <v>46</v>
      </c>
      <c r="H991">
        <v>14</v>
      </c>
      <c r="I991">
        <v>75</v>
      </c>
      <c r="J991">
        <v>2</v>
      </c>
      <c r="K991">
        <v>0</v>
      </c>
      <c r="L991" t="str">
        <f t="shared" si="195"/>
        <v>C990</v>
      </c>
      <c r="M991" t="str">
        <f t="shared" si="196"/>
        <v>Male</v>
      </c>
      <c r="N991" t="str">
        <f t="shared" si="197"/>
        <v>Master's</v>
      </c>
      <c r="O991" t="str">
        <f t="shared" si="198"/>
        <v>Mid Level</v>
      </c>
      <c r="P991" t="str">
        <f t="shared" si="199"/>
        <v>Low</v>
      </c>
      <c r="Q991" t="str">
        <f t="shared" si="200"/>
        <v>Beginner</v>
      </c>
      <c r="R991" t="str">
        <f t="shared" si="201"/>
        <v>Strong</v>
      </c>
      <c r="S991" t="str">
        <f t="shared" si="202"/>
        <v>Not Hired</v>
      </c>
      <c r="T991">
        <f t="shared" si="203"/>
        <v>40</v>
      </c>
      <c r="U991" t="str">
        <f t="shared" si="204"/>
        <v>Needs Improvement</v>
      </c>
      <c r="V991" t="str">
        <f t="shared" si="205"/>
        <v>Personality</v>
      </c>
      <c r="W991" t="str">
        <f t="shared" si="206"/>
        <v>Technical Skills</v>
      </c>
      <c r="X991" t="str">
        <f t="shared" si="207"/>
        <v>Strengthen technical skills and practical knowledge</v>
      </c>
    </row>
    <row r="992" spans="1:24" x14ac:dyDescent="0.3">
      <c r="A992">
        <v>43</v>
      </c>
      <c r="B992">
        <v>1</v>
      </c>
      <c r="C992">
        <v>3</v>
      </c>
      <c r="D992">
        <v>1</v>
      </c>
      <c r="E992">
        <v>4</v>
      </c>
      <c r="F992">
        <v>26.1315057810626</v>
      </c>
      <c r="G992">
        <v>37</v>
      </c>
      <c r="H992">
        <v>32</v>
      </c>
      <c r="I992">
        <v>52</v>
      </c>
      <c r="J992">
        <v>2</v>
      </c>
      <c r="K992">
        <v>0</v>
      </c>
      <c r="L992" t="str">
        <f t="shared" si="195"/>
        <v>C991</v>
      </c>
      <c r="M992" t="str">
        <f t="shared" si="196"/>
        <v>Female</v>
      </c>
      <c r="N992" t="str">
        <f t="shared" si="197"/>
        <v>Master's</v>
      </c>
      <c r="O992" t="str">
        <f t="shared" si="198"/>
        <v>Entry Level</v>
      </c>
      <c r="P992" t="str">
        <f t="shared" si="199"/>
        <v>Low</v>
      </c>
      <c r="Q992" t="str">
        <f t="shared" si="200"/>
        <v>Beginner</v>
      </c>
      <c r="R992" t="str">
        <f t="shared" si="201"/>
        <v>Good</v>
      </c>
      <c r="S992" t="str">
        <f t="shared" si="202"/>
        <v>Not Hired</v>
      </c>
      <c r="T992">
        <f t="shared" si="203"/>
        <v>36</v>
      </c>
      <c r="U992" t="str">
        <f t="shared" si="204"/>
        <v>Needs Improvement</v>
      </c>
      <c r="V992" t="str">
        <f t="shared" si="205"/>
        <v>Personality</v>
      </c>
      <c r="W992" t="str">
        <f t="shared" si="206"/>
        <v>Technical Skills</v>
      </c>
      <c r="X992" t="str">
        <f t="shared" si="207"/>
        <v>Strengthen technical skills and practical knowledge</v>
      </c>
    </row>
    <row r="993" spans="1:24" x14ac:dyDescent="0.3">
      <c r="A993">
        <v>20</v>
      </c>
      <c r="B993">
        <v>1</v>
      </c>
      <c r="C993">
        <v>4</v>
      </c>
      <c r="D993">
        <v>5</v>
      </c>
      <c r="E993">
        <v>5</v>
      </c>
      <c r="F993">
        <v>13.8889244101995</v>
      </c>
      <c r="G993">
        <v>69</v>
      </c>
      <c r="H993">
        <v>61</v>
      </c>
      <c r="I993">
        <v>84</v>
      </c>
      <c r="J993">
        <v>1</v>
      </c>
      <c r="K993">
        <v>1</v>
      </c>
      <c r="L993" t="str">
        <f t="shared" si="195"/>
        <v>C992</v>
      </c>
      <c r="M993" t="str">
        <f t="shared" si="196"/>
        <v>Female</v>
      </c>
      <c r="N993" t="str">
        <f t="shared" si="197"/>
        <v>PhD</v>
      </c>
      <c r="O993" t="str">
        <f t="shared" si="198"/>
        <v>Mid Level</v>
      </c>
      <c r="P993" t="str">
        <f t="shared" si="199"/>
        <v>Average</v>
      </c>
      <c r="Q993" t="str">
        <f t="shared" si="200"/>
        <v>Intermediate</v>
      </c>
      <c r="R993" t="str">
        <f t="shared" si="201"/>
        <v>Strong</v>
      </c>
      <c r="S993" t="str">
        <f t="shared" si="202"/>
        <v>Hired</v>
      </c>
      <c r="T993">
        <f t="shared" si="203"/>
        <v>66</v>
      </c>
      <c r="U993" t="str">
        <f t="shared" si="204"/>
        <v>Developing</v>
      </c>
      <c r="V993" t="str">
        <f t="shared" si="205"/>
        <v>Personality</v>
      </c>
      <c r="W993" t="str">
        <f t="shared" si="206"/>
        <v>Technical Skills</v>
      </c>
      <c r="X993" t="str">
        <f t="shared" si="207"/>
        <v>Strengthen technical skills and practical knowledge</v>
      </c>
    </row>
    <row r="994" spans="1:24" x14ac:dyDescent="0.3">
      <c r="A994">
        <v>41</v>
      </c>
      <c r="B994">
        <v>0</v>
      </c>
      <c r="C994">
        <v>1</v>
      </c>
      <c r="D994">
        <v>7</v>
      </c>
      <c r="E994">
        <v>2</v>
      </c>
      <c r="F994">
        <v>36.068178015522001</v>
      </c>
      <c r="G994">
        <v>75</v>
      </c>
      <c r="H994">
        <v>100</v>
      </c>
      <c r="I994">
        <v>16</v>
      </c>
      <c r="J994">
        <v>3</v>
      </c>
      <c r="K994">
        <v>0</v>
      </c>
      <c r="L994" t="str">
        <f t="shared" si="195"/>
        <v>C993</v>
      </c>
      <c r="M994" t="str">
        <f t="shared" si="196"/>
        <v>Male</v>
      </c>
      <c r="N994" t="str">
        <f t="shared" si="197"/>
        <v>Bachelor's Type 1</v>
      </c>
      <c r="O994" t="str">
        <f t="shared" si="198"/>
        <v>Senior Level</v>
      </c>
      <c r="P994" t="str">
        <f t="shared" si="199"/>
        <v>Strong</v>
      </c>
      <c r="Q994" t="str">
        <f t="shared" si="200"/>
        <v>Advanced</v>
      </c>
      <c r="R994" t="str">
        <f t="shared" si="201"/>
        <v>Needs Improvement</v>
      </c>
      <c r="S994" t="str">
        <f t="shared" si="202"/>
        <v>Not Hired</v>
      </c>
      <c r="T994">
        <f t="shared" si="203"/>
        <v>65</v>
      </c>
      <c r="U994" t="str">
        <f t="shared" si="204"/>
        <v>Developing</v>
      </c>
      <c r="V994" t="str">
        <f t="shared" si="205"/>
        <v>Technical Skills</v>
      </c>
      <c r="W994" t="str">
        <f t="shared" si="206"/>
        <v>Personality &amp; Communication</v>
      </c>
      <c r="X994" t="str">
        <f t="shared" si="207"/>
        <v>Work on communication and personality development</v>
      </c>
    </row>
    <row r="995" spans="1:24" x14ac:dyDescent="0.3">
      <c r="A995">
        <v>20</v>
      </c>
      <c r="B995">
        <v>1</v>
      </c>
      <c r="C995">
        <v>3</v>
      </c>
      <c r="D995">
        <v>9</v>
      </c>
      <c r="E995">
        <v>4</v>
      </c>
      <c r="F995">
        <v>1.7186475888888799</v>
      </c>
      <c r="G995">
        <v>52</v>
      </c>
      <c r="H995">
        <v>46</v>
      </c>
      <c r="I995">
        <v>39</v>
      </c>
      <c r="J995">
        <v>1</v>
      </c>
      <c r="K995">
        <v>1</v>
      </c>
      <c r="L995" t="str">
        <f t="shared" si="195"/>
        <v>C994</v>
      </c>
      <c r="M995" t="str">
        <f t="shared" si="196"/>
        <v>Female</v>
      </c>
      <c r="N995" t="str">
        <f t="shared" si="197"/>
        <v>Master's</v>
      </c>
      <c r="O995" t="str">
        <f t="shared" si="198"/>
        <v>Senior Level</v>
      </c>
      <c r="P995" t="str">
        <f t="shared" si="199"/>
        <v>Average</v>
      </c>
      <c r="Q995" t="str">
        <f t="shared" si="200"/>
        <v>Beginner</v>
      </c>
      <c r="R995" t="str">
        <f t="shared" si="201"/>
        <v>Needs Improvement</v>
      </c>
      <c r="S995" t="str">
        <f t="shared" si="202"/>
        <v>Hired</v>
      </c>
      <c r="T995">
        <f t="shared" si="203"/>
        <v>50</v>
      </c>
      <c r="U995" t="str">
        <f t="shared" si="204"/>
        <v>Developing</v>
      </c>
      <c r="V995" t="str">
        <f t="shared" si="205"/>
        <v>Interview</v>
      </c>
      <c r="W995" t="str">
        <f t="shared" si="206"/>
        <v>Personality &amp; Communication</v>
      </c>
      <c r="X995" t="str">
        <f t="shared" si="207"/>
        <v>Work on communication and personality development</v>
      </c>
    </row>
    <row r="996" spans="1:24" x14ac:dyDescent="0.3">
      <c r="A996">
        <v>37</v>
      </c>
      <c r="B996">
        <v>0</v>
      </c>
      <c r="C996">
        <v>2</v>
      </c>
      <c r="D996">
        <v>15</v>
      </c>
      <c r="E996">
        <v>1</v>
      </c>
      <c r="F996">
        <v>3.4756314851146701</v>
      </c>
      <c r="G996">
        <v>77</v>
      </c>
      <c r="H996">
        <v>94</v>
      </c>
      <c r="I996">
        <v>12</v>
      </c>
      <c r="J996">
        <v>2</v>
      </c>
      <c r="K996">
        <v>0</v>
      </c>
      <c r="L996" t="str">
        <f t="shared" si="195"/>
        <v>C995</v>
      </c>
      <c r="M996" t="str">
        <f t="shared" si="196"/>
        <v>Male</v>
      </c>
      <c r="N996" t="str">
        <f t="shared" si="197"/>
        <v>Bachelor's Type 2</v>
      </c>
      <c r="O996" t="str">
        <f t="shared" si="198"/>
        <v>Senior Level</v>
      </c>
      <c r="P996" t="str">
        <f t="shared" si="199"/>
        <v>Strong</v>
      </c>
      <c r="Q996" t="str">
        <f t="shared" si="200"/>
        <v>Advanced</v>
      </c>
      <c r="R996" t="str">
        <f t="shared" si="201"/>
        <v>Needs Improvement</v>
      </c>
      <c r="S996" t="str">
        <f t="shared" si="202"/>
        <v>Not Hired</v>
      </c>
      <c r="T996">
        <f t="shared" si="203"/>
        <v>71</v>
      </c>
      <c r="U996" t="str">
        <f t="shared" si="204"/>
        <v>Developing</v>
      </c>
      <c r="V996" t="str">
        <f t="shared" si="205"/>
        <v>Technical Skills</v>
      </c>
      <c r="W996" t="str">
        <f t="shared" si="206"/>
        <v>Personality &amp; Communication</v>
      </c>
      <c r="X996" t="str">
        <f t="shared" si="207"/>
        <v>Work on communication and personality development</v>
      </c>
    </row>
    <row r="997" spans="1:24" x14ac:dyDescent="0.3">
      <c r="A997">
        <v>34</v>
      </c>
      <c r="B997">
        <v>1</v>
      </c>
      <c r="C997">
        <v>2</v>
      </c>
      <c r="D997">
        <v>3</v>
      </c>
      <c r="E997">
        <v>4</v>
      </c>
      <c r="F997">
        <v>30.967929356790101</v>
      </c>
      <c r="G997">
        <v>43</v>
      </c>
      <c r="H997">
        <v>34</v>
      </c>
      <c r="I997">
        <v>51</v>
      </c>
      <c r="J997">
        <v>3</v>
      </c>
      <c r="K997">
        <v>0</v>
      </c>
      <c r="L997" t="str">
        <f t="shared" si="195"/>
        <v>C996</v>
      </c>
      <c r="M997" t="str">
        <f t="shared" si="196"/>
        <v>Female</v>
      </c>
      <c r="N997" t="str">
        <f t="shared" si="197"/>
        <v>Bachelor's Type 2</v>
      </c>
      <c r="O997" t="str">
        <f t="shared" si="198"/>
        <v>Mid Level</v>
      </c>
      <c r="P997" t="str">
        <f t="shared" si="199"/>
        <v>Low</v>
      </c>
      <c r="Q997" t="str">
        <f t="shared" si="200"/>
        <v>Beginner</v>
      </c>
      <c r="R997" t="str">
        <f t="shared" si="201"/>
        <v>Good</v>
      </c>
      <c r="S997" t="str">
        <f t="shared" si="202"/>
        <v>Not Hired</v>
      </c>
      <c r="T997">
        <f t="shared" si="203"/>
        <v>39</v>
      </c>
      <c r="U997" t="str">
        <f t="shared" si="204"/>
        <v>Needs Improvement</v>
      </c>
      <c r="V997" t="str">
        <f t="shared" si="205"/>
        <v>Personality</v>
      </c>
      <c r="W997" t="str">
        <f t="shared" si="206"/>
        <v>Technical Skills</v>
      </c>
      <c r="X997" t="str">
        <f t="shared" si="207"/>
        <v>Strengthen technical skills and practical knowledge</v>
      </c>
    </row>
    <row r="998" spans="1:24" x14ac:dyDescent="0.3">
      <c r="A998">
        <v>36</v>
      </c>
      <c r="B998">
        <v>0</v>
      </c>
      <c r="C998">
        <v>2</v>
      </c>
      <c r="D998">
        <v>14</v>
      </c>
      <c r="E998">
        <v>2</v>
      </c>
      <c r="F998">
        <v>18.083728690922701</v>
      </c>
      <c r="G998">
        <v>73</v>
      </c>
      <c r="H998">
        <v>64</v>
      </c>
      <c r="I998">
        <v>57</v>
      </c>
      <c r="J998">
        <v>2</v>
      </c>
      <c r="K998">
        <v>0</v>
      </c>
      <c r="L998" t="str">
        <f t="shared" si="195"/>
        <v>C997</v>
      </c>
      <c r="M998" t="str">
        <f t="shared" si="196"/>
        <v>Male</v>
      </c>
      <c r="N998" t="str">
        <f t="shared" si="197"/>
        <v>Bachelor's Type 2</v>
      </c>
      <c r="O998" t="str">
        <f t="shared" si="198"/>
        <v>Senior Level</v>
      </c>
      <c r="P998" t="str">
        <f t="shared" si="199"/>
        <v>Average</v>
      </c>
      <c r="Q998" t="str">
        <f t="shared" si="200"/>
        <v>Intermediate</v>
      </c>
      <c r="R998" t="str">
        <f t="shared" si="201"/>
        <v>Good</v>
      </c>
      <c r="S998" t="str">
        <f t="shared" si="202"/>
        <v>Not Hired</v>
      </c>
      <c r="T998">
        <f t="shared" si="203"/>
        <v>69</v>
      </c>
      <c r="U998" t="str">
        <f t="shared" si="204"/>
        <v>Developing</v>
      </c>
      <c r="V998" t="str">
        <f t="shared" si="205"/>
        <v>Interview</v>
      </c>
      <c r="W998" t="str">
        <f t="shared" si="206"/>
        <v>Personality &amp; Communication</v>
      </c>
      <c r="X998" t="str">
        <f t="shared" si="207"/>
        <v>Work on communication and personality development</v>
      </c>
    </row>
    <row r="999" spans="1:24" x14ac:dyDescent="0.3">
      <c r="A999">
        <v>30</v>
      </c>
      <c r="B999">
        <v>1</v>
      </c>
      <c r="C999">
        <v>3</v>
      </c>
      <c r="D999">
        <v>4</v>
      </c>
      <c r="E999">
        <v>4</v>
      </c>
      <c r="F999">
        <v>48.665818610047999</v>
      </c>
      <c r="G999">
        <v>53</v>
      </c>
      <c r="H999">
        <v>71</v>
      </c>
      <c r="I999">
        <v>95</v>
      </c>
      <c r="J999">
        <v>2</v>
      </c>
      <c r="K999">
        <v>0</v>
      </c>
      <c r="L999" t="str">
        <f t="shared" si="195"/>
        <v>C998</v>
      </c>
      <c r="M999" t="str">
        <f t="shared" si="196"/>
        <v>Female</v>
      </c>
      <c r="N999" t="str">
        <f t="shared" si="197"/>
        <v>Master's</v>
      </c>
      <c r="O999" t="str">
        <f t="shared" si="198"/>
        <v>Mid Level</v>
      </c>
      <c r="P999" t="str">
        <f t="shared" si="199"/>
        <v>Average</v>
      </c>
      <c r="Q999" t="str">
        <f t="shared" si="200"/>
        <v>Intermediate</v>
      </c>
      <c r="R999" t="str">
        <f t="shared" si="201"/>
        <v>Strong</v>
      </c>
      <c r="S999" t="str">
        <f t="shared" si="202"/>
        <v>Not Hired</v>
      </c>
      <c r="T999">
        <f t="shared" si="203"/>
        <v>64</v>
      </c>
      <c r="U999" t="str">
        <f t="shared" si="204"/>
        <v>Developing</v>
      </c>
      <c r="V999" t="str">
        <f t="shared" si="205"/>
        <v>Personality</v>
      </c>
      <c r="W999" t="str">
        <f t="shared" si="206"/>
        <v>Interview Preparation</v>
      </c>
      <c r="X999" t="str">
        <f t="shared" si="207"/>
        <v>Improve interview preparation and communication</v>
      </c>
    </row>
    <row r="1000" spans="1:24" x14ac:dyDescent="0.3">
      <c r="A1000">
        <v>40</v>
      </c>
      <c r="B1000">
        <v>0</v>
      </c>
      <c r="C1000">
        <v>2</v>
      </c>
      <c r="D1000">
        <v>3</v>
      </c>
      <c r="E1000">
        <v>5</v>
      </c>
      <c r="F1000">
        <v>46.159534536139198</v>
      </c>
      <c r="G1000">
        <v>19</v>
      </c>
      <c r="H1000">
        <v>75</v>
      </c>
      <c r="I1000">
        <v>36</v>
      </c>
      <c r="J1000">
        <v>1</v>
      </c>
      <c r="K1000">
        <v>0</v>
      </c>
      <c r="L1000" t="str">
        <f t="shared" si="195"/>
        <v>C999</v>
      </c>
      <c r="M1000" t="str">
        <f t="shared" si="196"/>
        <v>Male</v>
      </c>
      <c r="N1000" t="str">
        <f t="shared" si="197"/>
        <v>Bachelor's Type 2</v>
      </c>
      <c r="O1000" t="str">
        <f t="shared" si="198"/>
        <v>Mid Level</v>
      </c>
      <c r="P1000" t="str">
        <f t="shared" si="199"/>
        <v>Low</v>
      </c>
      <c r="Q1000" t="str">
        <f t="shared" si="200"/>
        <v>Advanced</v>
      </c>
      <c r="R1000" t="str">
        <f t="shared" si="201"/>
        <v>Needs Improvement</v>
      </c>
      <c r="S1000" t="str">
        <f t="shared" si="202"/>
        <v>Not Hired</v>
      </c>
      <c r="T1000">
        <f t="shared" si="203"/>
        <v>41</v>
      </c>
      <c r="U1000" t="str">
        <f t="shared" si="204"/>
        <v>Needs Improvement</v>
      </c>
      <c r="V1000" t="str">
        <f t="shared" si="205"/>
        <v>Technical Skills</v>
      </c>
      <c r="W1000" t="str">
        <f t="shared" si="206"/>
        <v>Interview Preparation</v>
      </c>
      <c r="X1000" t="str">
        <f t="shared" si="207"/>
        <v>Improve interview preparation and communication</v>
      </c>
    </row>
    <row r="1001" spans="1:24" x14ac:dyDescent="0.3">
      <c r="A1001">
        <v>45</v>
      </c>
      <c r="B1001">
        <v>0</v>
      </c>
      <c r="C1001">
        <v>3</v>
      </c>
      <c r="D1001">
        <v>2</v>
      </c>
      <c r="E1001">
        <v>5</v>
      </c>
      <c r="F1001">
        <v>36.685312933835299</v>
      </c>
      <c r="G1001">
        <v>78</v>
      </c>
      <c r="H1001">
        <v>82</v>
      </c>
      <c r="I1001">
        <v>78</v>
      </c>
      <c r="J1001">
        <v>2</v>
      </c>
      <c r="K1001">
        <v>1</v>
      </c>
      <c r="L1001" t="str">
        <f t="shared" si="195"/>
        <v>C1000</v>
      </c>
      <c r="M1001" t="str">
        <f t="shared" si="196"/>
        <v>Male</v>
      </c>
      <c r="N1001" t="str">
        <f t="shared" si="197"/>
        <v>Master's</v>
      </c>
      <c r="O1001" t="str">
        <f t="shared" si="198"/>
        <v>Entry Level</v>
      </c>
      <c r="P1001" t="str">
        <f t="shared" si="199"/>
        <v>Strong</v>
      </c>
      <c r="Q1001" t="str">
        <f t="shared" si="200"/>
        <v>Advanced</v>
      </c>
      <c r="R1001" t="str">
        <f t="shared" si="201"/>
        <v>Strong</v>
      </c>
      <c r="S1001" t="str">
        <f t="shared" si="202"/>
        <v>Hired</v>
      </c>
      <c r="T1001">
        <f t="shared" si="203"/>
        <v>69</v>
      </c>
      <c r="U1001" t="str">
        <f t="shared" si="204"/>
        <v>Developing</v>
      </c>
      <c r="V1001" t="str">
        <f t="shared" si="205"/>
        <v>Technical Skills</v>
      </c>
      <c r="W1001" t="str">
        <f t="shared" si="206"/>
        <v>Interview Preparation</v>
      </c>
      <c r="X1001" t="str">
        <f t="shared" si="207"/>
        <v>Improve interview preparation and communication</v>
      </c>
    </row>
    <row r="1002" spans="1:24" x14ac:dyDescent="0.3">
      <c r="A1002">
        <v>50</v>
      </c>
      <c r="B1002">
        <v>1</v>
      </c>
      <c r="C1002">
        <v>2</v>
      </c>
      <c r="D1002">
        <v>4</v>
      </c>
      <c r="E1002">
        <v>2</v>
      </c>
      <c r="F1002">
        <v>41.907279056390003</v>
      </c>
      <c r="G1002">
        <v>30</v>
      </c>
      <c r="H1002">
        <v>24</v>
      </c>
      <c r="I1002">
        <v>75</v>
      </c>
      <c r="J1002">
        <v>2</v>
      </c>
      <c r="K1002">
        <v>0</v>
      </c>
      <c r="L1002" t="str">
        <f t="shared" si="195"/>
        <v>C1001</v>
      </c>
      <c r="M1002" t="str">
        <f t="shared" si="196"/>
        <v>Female</v>
      </c>
      <c r="N1002" t="str">
        <f t="shared" si="197"/>
        <v>Bachelor's Type 2</v>
      </c>
      <c r="O1002" t="str">
        <f t="shared" si="198"/>
        <v>Mid Level</v>
      </c>
      <c r="P1002" t="str">
        <f t="shared" si="199"/>
        <v>Low</v>
      </c>
      <c r="Q1002" t="str">
        <f t="shared" si="200"/>
        <v>Beginner</v>
      </c>
      <c r="R1002" t="str">
        <f t="shared" si="201"/>
        <v>Strong</v>
      </c>
      <c r="S1002" t="str">
        <f t="shared" si="202"/>
        <v>Not Hired</v>
      </c>
      <c r="T1002">
        <f t="shared" si="203"/>
        <v>38</v>
      </c>
      <c r="U1002" t="str">
        <f t="shared" si="204"/>
        <v>Needs Improvement</v>
      </c>
      <c r="V1002" t="str">
        <f t="shared" si="205"/>
        <v>Personality</v>
      </c>
      <c r="W1002" t="str">
        <f t="shared" si="206"/>
        <v>Technical Skills</v>
      </c>
      <c r="X1002" t="str">
        <f t="shared" si="207"/>
        <v>Strengthen technical skills and practical knowledge</v>
      </c>
    </row>
    <row r="1003" spans="1:24" x14ac:dyDescent="0.3">
      <c r="A1003">
        <v>44</v>
      </c>
      <c r="B1003">
        <v>0</v>
      </c>
      <c r="C1003">
        <v>3</v>
      </c>
      <c r="D1003">
        <v>13</v>
      </c>
      <c r="E1003">
        <v>3</v>
      </c>
      <c r="F1003">
        <v>34.366592483384601</v>
      </c>
      <c r="G1003">
        <v>6</v>
      </c>
      <c r="H1003">
        <v>56</v>
      </c>
      <c r="I1003">
        <v>60</v>
      </c>
      <c r="J1003">
        <v>3</v>
      </c>
      <c r="K1003">
        <v>0</v>
      </c>
      <c r="L1003" t="str">
        <f t="shared" si="195"/>
        <v>C1002</v>
      </c>
      <c r="M1003" t="str">
        <f t="shared" si="196"/>
        <v>Male</v>
      </c>
      <c r="N1003" t="str">
        <f t="shared" si="197"/>
        <v>Master's</v>
      </c>
      <c r="O1003" t="str">
        <f t="shared" si="198"/>
        <v>Senior Level</v>
      </c>
      <c r="P1003" t="str">
        <f t="shared" si="199"/>
        <v>Low</v>
      </c>
      <c r="Q1003" t="str">
        <f t="shared" si="200"/>
        <v>Intermediate</v>
      </c>
      <c r="R1003" t="str">
        <f t="shared" si="201"/>
        <v>Good</v>
      </c>
      <c r="S1003" t="str">
        <f t="shared" si="202"/>
        <v>Not Hired</v>
      </c>
      <c r="T1003">
        <f t="shared" si="203"/>
        <v>47</v>
      </c>
      <c r="U1003" t="str">
        <f t="shared" si="204"/>
        <v>Needs Improvement</v>
      </c>
      <c r="V1003" t="str">
        <f t="shared" si="205"/>
        <v>Personality</v>
      </c>
      <c r="W1003" t="str">
        <f t="shared" si="206"/>
        <v>Interview Preparation</v>
      </c>
      <c r="X1003" t="str">
        <f t="shared" si="207"/>
        <v>Improve interview preparation and communication</v>
      </c>
    </row>
    <row r="1004" spans="1:24" x14ac:dyDescent="0.3">
      <c r="A1004">
        <v>41</v>
      </c>
      <c r="B1004">
        <v>1</v>
      </c>
      <c r="C1004">
        <v>4</v>
      </c>
      <c r="D1004">
        <v>8</v>
      </c>
      <c r="E1004">
        <v>5</v>
      </c>
      <c r="F1004">
        <v>7.2791051355080301</v>
      </c>
      <c r="G1004">
        <v>57</v>
      </c>
      <c r="H1004">
        <v>31</v>
      </c>
      <c r="I1004">
        <v>78</v>
      </c>
      <c r="J1004">
        <v>1</v>
      </c>
      <c r="K1004">
        <v>1</v>
      </c>
      <c r="L1004" t="str">
        <f t="shared" si="195"/>
        <v>C1003</v>
      </c>
      <c r="M1004" t="str">
        <f t="shared" si="196"/>
        <v>Female</v>
      </c>
      <c r="N1004" t="str">
        <f t="shared" si="197"/>
        <v>PhD</v>
      </c>
      <c r="O1004" t="str">
        <f t="shared" si="198"/>
        <v>Senior Level</v>
      </c>
      <c r="P1004" t="str">
        <f t="shared" si="199"/>
        <v>Average</v>
      </c>
      <c r="Q1004" t="str">
        <f t="shared" si="200"/>
        <v>Beginner</v>
      </c>
      <c r="R1004" t="str">
        <f t="shared" si="201"/>
        <v>Strong</v>
      </c>
      <c r="S1004" t="str">
        <f t="shared" si="202"/>
        <v>Hired</v>
      </c>
      <c r="T1004">
        <f t="shared" si="203"/>
        <v>55</v>
      </c>
      <c r="U1004" t="str">
        <f t="shared" si="204"/>
        <v>Developing</v>
      </c>
      <c r="V1004" t="str">
        <f t="shared" si="205"/>
        <v>Personality</v>
      </c>
      <c r="W1004" t="str">
        <f t="shared" si="206"/>
        <v>Technical Skills</v>
      </c>
      <c r="X1004" t="str">
        <f t="shared" si="207"/>
        <v>Strengthen technical skills and practical knowledge</v>
      </c>
    </row>
    <row r="1005" spans="1:24" x14ac:dyDescent="0.3">
      <c r="A1005">
        <v>46</v>
      </c>
      <c r="B1005">
        <v>1</v>
      </c>
      <c r="C1005">
        <v>2</v>
      </c>
      <c r="D1005">
        <v>7</v>
      </c>
      <c r="E1005">
        <v>1</v>
      </c>
      <c r="F1005">
        <v>39.277168484460098</v>
      </c>
      <c r="G1005">
        <v>9</v>
      </c>
      <c r="H1005">
        <v>62</v>
      </c>
      <c r="I1005">
        <v>33</v>
      </c>
      <c r="J1005">
        <v>2</v>
      </c>
      <c r="K1005">
        <v>0</v>
      </c>
      <c r="L1005" t="str">
        <f t="shared" si="195"/>
        <v>C1004</v>
      </c>
      <c r="M1005" t="str">
        <f t="shared" si="196"/>
        <v>Female</v>
      </c>
      <c r="N1005" t="str">
        <f t="shared" si="197"/>
        <v>Bachelor's Type 2</v>
      </c>
      <c r="O1005" t="str">
        <f t="shared" si="198"/>
        <v>Senior Level</v>
      </c>
      <c r="P1005" t="str">
        <f t="shared" si="199"/>
        <v>Low</v>
      </c>
      <c r="Q1005" t="str">
        <f t="shared" si="200"/>
        <v>Intermediate</v>
      </c>
      <c r="R1005" t="str">
        <f t="shared" si="201"/>
        <v>Needs Improvement</v>
      </c>
      <c r="S1005" t="str">
        <f t="shared" si="202"/>
        <v>Not Hired</v>
      </c>
      <c r="T1005">
        <f t="shared" si="203"/>
        <v>37</v>
      </c>
      <c r="U1005" t="str">
        <f t="shared" si="204"/>
        <v>Needs Improvement</v>
      </c>
      <c r="V1005" t="str">
        <f t="shared" si="205"/>
        <v>Technical Skills</v>
      </c>
      <c r="W1005" t="str">
        <f t="shared" si="206"/>
        <v>Interview Preparation</v>
      </c>
      <c r="X1005" t="str">
        <f t="shared" si="207"/>
        <v>Improve interview preparation and communication</v>
      </c>
    </row>
    <row r="1006" spans="1:24" x14ac:dyDescent="0.3">
      <c r="A1006">
        <v>46</v>
      </c>
      <c r="B1006">
        <v>0</v>
      </c>
      <c r="C1006">
        <v>4</v>
      </c>
      <c r="D1006">
        <v>7</v>
      </c>
      <c r="E1006">
        <v>2</v>
      </c>
      <c r="F1006">
        <v>11.5095984359423</v>
      </c>
      <c r="G1006">
        <v>9</v>
      </c>
      <c r="H1006">
        <v>11</v>
      </c>
      <c r="I1006">
        <v>69</v>
      </c>
      <c r="J1006">
        <v>2</v>
      </c>
      <c r="K1006">
        <v>0</v>
      </c>
      <c r="L1006" t="str">
        <f t="shared" si="195"/>
        <v>C1005</v>
      </c>
      <c r="M1006" t="str">
        <f t="shared" si="196"/>
        <v>Male</v>
      </c>
      <c r="N1006" t="str">
        <f t="shared" si="197"/>
        <v>PhD</v>
      </c>
      <c r="O1006" t="str">
        <f t="shared" si="198"/>
        <v>Senior Level</v>
      </c>
      <c r="P1006" t="str">
        <f t="shared" si="199"/>
        <v>Low</v>
      </c>
      <c r="Q1006" t="str">
        <f t="shared" si="200"/>
        <v>Beginner</v>
      </c>
      <c r="R1006" t="str">
        <f t="shared" si="201"/>
        <v>Good</v>
      </c>
      <c r="S1006" t="str">
        <f t="shared" si="202"/>
        <v>Not Hired</v>
      </c>
      <c r="T1006">
        <f t="shared" si="203"/>
        <v>32</v>
      </c>
      <c r="U1006" t="str">
        <f t="shared" si="204"/>
        <v>Needs Improvement</v>
      </c>
      <c r="V1006" t="str">
        <f t="shared" si="205"/>
        <v>Personality</v>
      </c>
      <c r="W1006" t="str">
        <f t="shared" si="206"/>
        <v>Interview Preparation</v>
      </c>
      <c r="X1006" t="str">
        <f t="shared" si="207"/>
        <v>Improve interview preparation and communication</v>
      </c>
    </row>
    <row r="1007" spans="1:24" x14ac:dyDescent="0.3">
      <c r="A1007">
        <v>36</v>
      </c>
      <c r="B1007">
        <v>1</v>
      </c>
      <c r="C1007">
        <v>1</v>
      </c>
      <c r="D1007">
        <v>7</v>
      </c>
      <c r="E1007">
        <v>4</v>
      </c>
      <c r="F1007">
        <v>17.172142755009801</v>
      </c>
      <c r="G1007">
        <v>38</v>
      </c>
      <c r="H1007">
        <v>62</v>
      </c>
      <c r="I1007">
        <v>16</v>
      </c>
      <c r="J1007">
        <v>3</v>
      </c>
      <c r="K1007">
        <v>0</v>
      </c>
      <c r="L1007" t="str">
        <f t="shared" si="195"/>
        <v>C1006</v>
      </c>
      <c r="M1007" t="str">
        <f t="shared" si="196"/>
        <v>Female</v>
      </c>
      <c r="N1007" t="str">
        <f t="shared" si="197"/>
        <v>Bachelor's Type 1</v>
      </c>
      <c r="O1007" t="str">
        <f t="shared" si="198"/>
        <v>Senior Level</v>
      </c>
      <c r="P1007" t="str">
        <f t="shared" si="199"/>
        <v>Low</v>
      </c>
      <c r="Q1007" t="str">
        <f t="shared" si="200"/>
        <v>Intermediate</v>
      </c>
      <c r="R1007" t="str">
        <f t="shared" si="201"/>
        <v>Needs Improvement</v>
      </c>
      <c r="S1007" t="str">
        <f t="shared" si="202"/>
        <v>Not Hired</v>
      </c>
      <c r="T1007">
        <f t="shared" si="203"/>
        <v>43</v>
      </c>
      <c r="U1007" t="str">
        <f t="shared" si="204"/>
        <v>Needs Improvement</v>
      </c>
      <c r="V1007" t="str">
        <f t="shared" si="205"/>
        <v>Technical Skills</v>
      </c>
      <c r="W1007" t="str">
        <f t="shared" si="206"/>
        <v>Personality &amp; Communication</v>
      </c>
      <c r="X1007" t="str">
        <f t="shared" si="207"/>
        <v>Work on communication and personality development</v>
      </c>
    </row>
    <row r="1008" spans="1:24" x14ac:dyDescent="0.3">
      <c r="A1008">
        <v>32</v>
      </c>
      <c r="B1008">
        <v>1</v>
      </c>
      <c r="C1008">
        <v>1</v>
      </c>
      <c r="D1008">
        <v>11</v>
      </c>
      <c r="E1008">
        <v>4</v>
      </c>
      <c r="F1008">
        <v>41.961710605120999</v>
      </c>
      <c r="G1008">
        <v>27</v>
      </c>
      <c r="H1008">
        <v>76</v>
      </c>
      <c r="I1008">
        <v>19</v>
      </c>
      <c r="J1008">
        <v>1</v>
      </c>
      <c r="K1008">
        <v>1</v>
      </c>
      <c r="L1008" t="str">
        <f t="shared" si="195"/>
        <v>C1007</v>
      </c>
      <c r="M1008" t="str">
        <f t="shared" si="196"/>
        <v>Female</v>
      </c>
      <c r="N1008" t="str">
        <f t="shared" si="197"/>
        <v>Bachelor's Type 1</v>
      </c>
      <c r="O1008" t="str">
        <f t="shared" si="198"/>
        <v>Senior Level</v>
      </c>
      <c r="P1008" t="str">
        <f t="shared" si="199"/>
        <v>Low</v>
      </c>
      <c r="Q1008" t="str">
        <f t="shared" si="200"/>
        <v>Advanced</v>
      </c>
      <c r="R1008" t="str">
        <f t="shared" si="201"/>
        <v>Needs Improvement</v>
      </c>
      <c r="S1008" t="str">
        <f t="shared" si="202"/>
        <v>Hired</v>
      </c>
      <c r="T1008">
        <f t="shared" si="203"/>
        <v>48</v>
      </c>
      <c r="U1008" t="str">
        <f t="shared" si="204"/>
        <v>Needs Improvement</v>
      </c>
      <c r="V1008" t="str">
        <f t="shared" si="205"/>
        <v>Technical Skills</v>
      </c>
      <c r="W1008" t="str">
        <f t="shared" si="206"/>
        <v>Personality &amp; Communication</v>
      </c>
      <c r="X1008" t="str">
        <f t="shared" si="207"/>
        <v>Work on communication and personality development</v>
      </c>
    </row>
    <row r="1009" spans="1:24" x14ac:dyDescent="0.3">
      <c r="A1009">
        <v>20</v>
      </c>
      <c r="B1009">
        <v>1</v>
      </c>
      <c r="C1009">
        <v>1</v>
      </c>
      <c r="D1009">
        <v>7</v>
      </c>
      <c r="E1009">
        <v>1</v>
      </c>
      <c r="F1009">
        <v>27.826280419672401</v>
      </c>
      <c r="G1009">
        <v>29</v>
      </c>
      <c r="H1009">
        <v>91</v>
      </c>
      <c r="I1009">
        <v>72</v>
      </c>
      <c r="J1009">
        <v>3</v>
      </c>
      <c r="K1009">
        <v>0</v>
      </c>
      <c r="L1009" t="str">
        <f t="shared" si="195"/>
        <v>C1008</v>
      </c>
      <c r="M1009" t="str">
        <f t="shared" si="196"/>
        <v>Female</v>
      </c>
      <c r="N1009" t="str">
        <f t="shared" si="197"/>
        <v>Bachelor's Type 1</v>
      </c>
      <c r="O1009" t="str">
        <f t="shared" si="198"/>
        <v>Senior Level</v>
      </c>
      <c r="P1009" t="str">
        <f t="shared" si="199"/>
        <v>Low</v>
      </c>
      <c r="Q1009" t="str">
        <f t="shared" si="200"/>
        <v>Advanced</v>
      </c>
      <c r="R1009" t="str">
        <f t="shared" si="201"/>
        <v>Good</v>
      </c>
      <c r="S1009" t="str">
        <f t="shared" si="202"/>
        <v>Not Hired</v>
      </c>
      <c r="T1009">
        <f t="shared" si="203"/>
        <v>60</v>
      </c>
      <c r="U1009" t="str">
        <f t="shared" si="204"/>
        <v>Developing</v>
      </c>
      <c r="V1009" t="str">
        <f t="shared" si="205"/>
        <v>Technical Skills</v>
      </c>
      <c r="W1009" t="str">
        <f t="shared" si="206"/>
        <v>Interview Preparation</v>
      </c>
      <c r="X1009" t="str">
        <f t="shared" si="207"/>
        <v>Improve interview preparation and communication</v>
      </c>
    </row>
    <row r="1010" spans="1:24" x14ac:dyDescent="0.3">
      <c r="A1010">
        <v>21</v>
      </c>
      <c r="B1010">
        <v>1</v>
      </c>
      <c r="C1010">
        <v>2</v>
      </c>
      <c r="D1010">
        <v>6</v>
      </c>
      <c r="E1010">
        <v>5</v>
      </c>
      <c r="F1010">
        <v>43.997035709170397</v>
      </c>
      <c r="G1010">
        <v>36</v>
      </c>
      <c r="H1010">
        <v>0</v>
      </c>
      <c r="I1010">
        <v>58</v>
      </c>
      <c r="J1010">
        <v>2</v>
      </c>
      <c r="K1010">
        <v>0</v>
      </c>
      <c r="L1010" t="str">
        <f t="shared" si="195"/>
        <v>C1009</v>
      </c>
      <c r="M1010" t="str">
        <f t="shared" si="196"/>
        <v>Female</v>
      </c>
      <c r="N1010" t="str">
        <f t="shared" si="197"/>
        <v>Bachelor's Type 2</v>
      </c>
      <c r="O1010" t="str">
        <f t="shared" si="198"/>
        <v>Mid Level</v>
      </c>
      <c r="P1010" t="str">
        <f t="shared" si="199"/>
        <v>Low</v>
      </c>
      <c r="Q1010" t="str">
        <f t="shared" si="200"/>
        <v>Beginner</v>
      </c>
      <c r="R1010" t="str">
        <f t="shared" si="201"/>
        <v>Good</v>
      </c>
      <c r="S1010" t="str">
        <f t="shared" si="202"/>
        <v>Not Hired</v>
      </c>
      <c r="T1010">
        <f t="shared" si="203"/>
        <v>31</v>
      </c>
      <c r="U1010" t="str">
        <f t="shared" si="204"/>
        <v>Needs Improvement</v>
      </c>
      <c r="V1010" t="str">
        <f t="shared" si="205"/>
        <v>Personality</v>
      </c>
      <c r="W1010" t="str">
        <f t="shared" si="206"/>
        <v>Technical Skills</v>
      </c>
      <c r="X1010" t="str">
        <f t="shared" si="207"/>
        <v>Strengthen technical skills and practical knowledge</v>
      </c>
    </row>
    <row r="1011" spans="1:24" x14ac:dyDescent="0.3">
      <c r="A1011">
        <v>28</v>
      </c>
      <c r="B1011">
        <v>1</v>
      </c>
      <c r="C1011">
        <v>2</v>
      </c>
      <c r="D1011">
        <v>7</v>
      </c>
      <c r="E1011">
        <v>2</v>
      </c>
      <c r="F1011">
        <v>11.651765992163201</v>
      </c>
      <c r="G1011">
        <v>66</v>
      </c>
      <c r="H1011">
        <v>50</v>
      </c>
      <c r="I1011">
        <v>68</v>
      </c>
      <c r="J1011">
        <v>2</v>
      </c>
      <c r="K1011">
        <v>0</v>
      </c>
      <c r="L1011" t="str">
        <f t="shared" si="195"/>
        <v>C1010</v>
      </c>
      <c r="M1011" t="str">
        <f t="shared" si="196"/>
        <v>Female</v>
      </c>
      <c r="N1011" t="str">
        <f t="shared" si="197"/>
        <v>Bachelor's Type 2</v>
      </c>
      <c r="O1011" t="str">
        <f t="shared" si="198"/>
        <v>Senior Level</v>
      </c>
      <c r="P1011" t="str">
        <f t="shared" si="199"/>
        <v>Average</v>
      </c>
      <c r="Q1011" t="str">
        <f t="shared" si="200"/>
        <v>Intermediate</v>
      </c>
      <c r="R1011" t="str">
        <f t="shared" si="201"/>
        <v>Good</v>
      </c>
      <c r="S1011" t="str">
        <f t="shared" si="202"/>
        <v>Not Hired</v>
      </c>
      <c r="T1011">
        <f t="shared" si="203"/>
        <v>58</v>
      </c>
      <c r="U1011" t="str">
        <f t="shared" si="204"/>
        <v>Developing</v>
      </c>
      <c r="V1011" t="str">
        <f t="shared" si="205"/>
        <v>Personality</v>
      </c>
      <c r="W1011" t="str">
        <f t="shared" si="206"/>
        <v>Technical Skills</v>
      </c>
      <c r="X1011" t="str">
        <f t="shared" si="207"/>
        <v>Strengthen technical skills and practical knowledge</v>
      </c>
    </row>
    <row r="1012" spans="1:24" x14ac:dyDescent="0.3">
      <c r="A1012">
        <v>22</v>
      </c>
      <c r="B1012">
        <v>0</v>
      </c>
      <c r="C1012">
        <v>1</v>
      </c>
      <c r="D1012">
        <v>10</v>
      </c>
      <c r="E1012">
        <v>1</v>
      </c>
      <c r="F1012">
        <v>31.388921930344299</v>
      </c>
      <c r="G1012">
        <v>42</v>
      </c>
      <c r="H1012">
        <v>69</v>
      </c>
      <c r="I1012">
        <v>86</v>
      </c>
      <c r="J1012">
        <v>1</v>
      </c>
      <c r="K1012">
        <v>1</v>
      </c>
      <c r="L1012" t="str">
        <f t="shared" si="195"/>
        <v>C1011</v>
      </c>
      <c r="M1012" t="str">
        <f t="shared" si="196"/>
        <v>Male</v>
      </c>
      <c r="N1012" t="str">
        <f t="shared" si="197"/>
        <v>Bachelor's Type 1</v>
      </c>
      <c r="O1012" t="str">
        <f t="shared" si="198"/>
        <v>Senior Level</v>
      </c>
      <c r="P1012" t="str">
        <f t="shared" si="199"/>
        <v>Low</v>
      </c>
      <c r="Q1012" t="str">
        <f t="shared" si="200"/>
        <v>Intermediate</v>
      </c>
      <c r="R1012" t="str">
        <f t="shared" si="201"/>
        <v>Strong</v>
      </c>
      <c r="S1012" t="str">
        <f t="shared" si="202"/>
        <v>Hired</v>
      </c>
      <c r="T1012">
        <f t="shared" si="203"/>
        <v>63</v>
      </c>
      <c r="U1012" t="str">
        <f t="shared" si="204"/>
        <v>Developing</v>
      </c>
      <c r="V1012" t="str">
        <f t="shared" si="205"/>
        <v>Personality</v>
      </c>
      <c r="W1012" t="str">
        <f t="shared" si="206"/>
        <v>Interview Preparation</v>
      </c>
      <c r="X1012" t="str">
        <f t="shared" si="207"/>
        <v>Improve interview preparation and communication</v>
      </c>
    </row>
    <row r="1013" spans="1:24" x14ac:dyDescent="0.3">
      <c r="A1013">
        <v>50</v>
      </c>
      <c r="B1013">
        <v>1</v>
      </c>
      <c r="C1013">
        <v>1</v>
      </c>
      <c r="D1013">
        <v>13</v>
      </c>
      <c r="E1013">
        <v>5</v>
      </c>
      <c r="F1013">
        <v>5.18954862741308</v>
      </c>
      <c r="G1013">
        <v>78</v>
      </c>
      <c r="H1013">
        <v>7</v>
      </c>
      <c r="I1013">
        <v>32</v>
      </c>
      <c r="J1013">
        <v>2</v>
      </c>
      <c r="K1013">
        <v>0</v>
      </c>
      <c r="L1013" t="str">
        <f t="shared" si="195"/>
        <v>C1012</v>
      </c>
      <c r="M1013" t="str">
        <f t="shared" si="196"/>
        <v>Female</v>
      </c>
      <c r="N1013" t="str">
        <f t="shared" si="197"/>
        <v>Bachelor's Type 1</v>
      </c>
      <c r="O1013" t="str">
        <f t="shared" si="198"/>
        <v>Senior Level</v>
      </c>
      <c r="P1013" t="str">
        <f t="shared" si="199"/>
        <v>Strong</v>
      </c>
      <c r="Q1013" t="str">
        <f t="shared" si="200"/>
        <v>Beginner</v>
      </c>
      <c r="R1013" t="str">
        <f t="shared" si="201"/>
        <v>Needs Improvement</v>
      </c>
      <c r="S1013" t="str">
        <f t="shared" si="202"/>
        <v>Not Hired</v>
      </c>
      <c r="T1013">
        <f t="shared" si="203"/>
        <v>47</v>
      </c>
      <c r="U1013" t="str">
        <f t="shared" si="204"/>
        <v>Needs Improvement</v>
      </c>
      <c r="V1013" t="str">
        <f t="shared" si="205"/>
        <v>Interview</v>
      </c>
      <c r="W1013" t="str">
        <f t="shared" si="206"/>
        <v>Technical Skills</v>
      </c>
      <c r="X1013" t="str">
        <f t="shared" si="207"/>
        <v>Strengthen technical skills and practical knowledge</v>
      </c>
    </row>
    <row r="1014" spans="1:24" x14ac:dyDescent="0.3">
      <c r="A1014">
        <v>20</v>
      </c>
      <c r="B1014">
        <v>1</v>
      </c>
      <c r="C1014">
        <v>4</v>
      </c>
      <c r="D1014">
        <v>15</v>
      </c>
      <c r="E1014">
        <v>2</v>
      </c>
      <c r="F1014">
        <v>33.153049677001398</v>
      </c>
      <c r="G1014">
        <v>84</v>
      </c>
      <c r="H1014">
        <v>67</v>
      </c>
      <c r="I1014">
        <v>77</v>
      </c>
      <c r="J1014">
        <v>2</v>
      </c>
      <c r="K1014">
        <v>1</v>
      </c>
      <c r="L1014" t="str">
        <f t="shared" si="195"/>
        <v>C1013</v>
      </c>
      <c r="M1014" t="str">
        <f t="shared" si="196"/>
        <v>Female</v>
      </c>
      <c r="N1014" t="str">
        <f t="shared" si="197"/>
        <v>PhD</v>
      </c>
      <c r="O1014" t="str">
        <f t="shared" si="198"/>
        <v>Senior Level</v>
      </c>
      <c r="P1014" t="str">
        <f t="shared" si="199"/>
        <v>Strong</v>
      </c>
      <c r="Q1014" t="str">
        <f t="shared" si="200"/>
        <v>Intermediate</v>
      </c>
      <c r="R1014" t="str">
        <f t="shared" si="201"/>
        <v>Strong</v>
      </c>
      <c r="S1014" t="str">
        <f t="shared" si="202"/>
        <v>Hired</v>
      </c>
      <c r="T1014">
        <f t="shared" si="203"/>
        <v>81</v>
      </c>
      <c r="U1014" t="str">
        <f t="shared" si="204"/>
        <v>Job Ready</v>
      </c>
      <c r="V1014" t="str">
        <f t="shared" si="205"/>
        <v>Interview</v>
      </c>
      <c r="W1014" t="str">
        <f t="shared" si="206"/>
        <v>Technical Skills</v>
      </c>
      <c r="X1014" t="str">
        <f t="shared" si="207"/>
        <v>Strengthen technical skills and practical knowledge</v>
      </c>
    </row>
    <row r="1015" spans="1:24" x14ac:dyDescent="0.3">
      <c r="A1015">
        <v>40</v>
      </c>
      <c r="B1015">
        <v>1</v>
      </c>
      <c r="C1015">
        <v>3</v>
      </c>
      <c r="D1015">
        <v>7</v>
      </c>
      <c r="E1015">
        <v>4</v>
      </c>
      <c r="F1015">
        <v>39.126701888776701</v>
      </c>
      <c r="G1015">
        <v>51</v>
      </c>
      <c r="H1015">
        <v>4</v>
      </c>
      <c r="I1015">
        <v>16</v>
      </c>
      <c r="J1015">
        <v>2</v>
      </c>
      <c r="K1015">
        <v>0</v>
      </c>
      <c r="L1015" t="str">
        <f t="shared" si="195"/>
        <v>C1014</v>
      </c>
      <c r="M1015" t="str">
        <f t="shared" si="196"/>
        <v>Female</v>
      </c>
      <c r="N1015" t="str">
        <f t="shared" si="197"/>
        <v>Master's</v>
      </c>
      <c r="O1015" t="str">
        <f t="shared" si="198"/>
        <v>Senior Level</v>
      </c>
      <c r="P1015" t="str">
        <f t="shared" si="199"/>
        <v>Average</v>
      </c>
      <c r="Q1015" t="str">
        <f t="shared" si="200"/>
        <v>Beginner</v>
      </c>
      <c r="R1015" t="str">
        <f t="shared" si="201"/>
        <v>Needs Improvement</v>
      </c>
      <c r="S1015" t="str">
        <f t="shared" si="202"/>
        <v>Not Hired</v>
      </c>
      <c r="T1015">
        <f t="shared" si="203"/>
        <v>30</v>
      </c>
      <c r="U1015" t="str">
        <f t="shared" si="204"/>
        <v>Needs Improvement</v>
      </c>
      <c r="V1015" t="str">
        <f t="shared" si="205"/>
        <v>Interview</v>
      </c>
      <c r="W1015" t="str">
        <f t="shared" si="206"/>
        <v>Technical Skills</v>
      </c>
      <c r="X1015" t="str">
        <f t="shared" si="207"/>
        <v>Strengthen technical skills and practical knowledge</v>
      </c>
    </row>
    <row r="1016" spans="1:24" x14ac:dyDescent="0.3">
      <c r="A1016">
        <v>35</v>
      </c>
      <c r="B1016">
        <v>1</v>
      </c>
      <c r="C1016">
        <v>3</v>
      </c>
      <c r="D1016">
        <v>12</v>
      </c>
      <c r="E1016">
        <v>2</v>
      </c>
      <c r="F1016">
        <v>30.246544698935999</v>
      </c>
      <c r="G1016">
        <v>100</v>
      </c>
      <c r="H1016">
        <v>88</v>
      </c>
      <c r="I1016">
        <v>56</v>
      </c>
      <c r="J1016">
        <v>1</v>
      </c>
      <c r="K1016">
        <v>1</v>
      </c>
      <c r="L1016" t="str">
        <f t="shared" si="195"/>
        <v>C1015</v>
      </c>
      <c r="M1016" t="str">
        <f t="shared" si="196"/>
        <v>Female</v>
      </c>
      <c r="N1016" t="str">
        <f t="shared" si="197"/>
        <v>Master's</v>
      </c>
      <c r="O1016" t="str">
        <f t="shared" si="198"/>
        <v>Senior Level</v>
      </c>
      <c r="P1016" t="str">
        <f t="shared" si="199"/>
        <v>Strong</v>
      </c>
      <c r="Q1016" t="str">
        <f t="shared" si="200"/>
        <v>Advanced</v>
      </c>
      <c r="R1016" t="str">
        <f t="shared" si="201"/>
        <v>Good</v>
      </c>
      <c r="S1016" t="str">
        <f t="shared" si="202"/>
        <v>Hired</v>
      </c>
      <c r="T1016">
        <f t="shared" si="203"/>
        <v>83</v>
      </c>
      <c r="U1016" t="str">
        <f t="shared" si="204"/>
        <v>Job Ready</v>
      </c>
      <c r="V1016" t="str">
        <f t="shared" si="205"/>
        <v>Interview</v>
      </c>
      <c r="W1016" t="str">
        <f t="shared" si="206"/>
        <v>Personality &amp; Communication</v>
      </c>
      <c r="X1016" t="str">
        <f t="shared" si="207"/>
        <v>Work on communication and personality development</v>
      </c>
    </row>
    <row r="1017" spans="1:24" x14ac:dyDescent="0.3">
      <c r="A1017">
        <v>42</v>
      </c>
      <c r="B1017">
        <v>1</v>
      </c>
      <c r="C1017">
        <v>3</v>
      </c>
      <c r="D1017">
        <v>13</v>
      </c>
      <c r="E1017">
        <v>3</v>
      </c>
      <c r="F1017">
        <v>14.3115750749405</v>
      </c>
      <c r="G1017">
        <v>55</v>
      </c>
      <c r="H1017">
        <v>85</v>
      </c>
      <c r="I1017">
        <v>82</v>
      </c>
      <c r="J1017">
        <v>1</v>
      </c>
      <c r="K1017">
        <v>1</v>
      </c>
      <c r="L1017" t="str">
        <f t="shared" si="195"/>
        <v>C1016</v>
      </c>
      <c r="M1017" t="str">
        <f t="shared" si="196"/>
        <v>Female</v>
      </c>
      <c r="N1017" t="str">
        <f t="shared" si="197"/>
        <v>Master's</v>
      </c>
      <c r="O1017" t="str">
        <f t="shared" si="198"/>
        <v>Senior Level</v>
      </c>
      <c r="P1017" t="str">
        <f t="shared" si="199"/>
        <v>Average</v>
      </c>
      <c r="Q1017" t="str">
        <f t="shared" si="200"/>
        <v>Advanced</v>
      </c>
      <c r="R1017" t="str">
        <f t="shared" si="201"/>
        <v>Strong</v>
      </c>
      <c r="S1017" t="str">
        <f t="shared" si="202"/>
        <v>Hired</v>
      </c>
      <c r="T1017">
        <f t="shared" si="203"/>
        <v>75</v>
      </c>
      <c r="U1017" t="str">
        <f t="shared" si="204"/>
        <v>Job Ready</v>
      </c>
      <c r="V1017" t="str">
        <f t="shared" si="205"/>
        <v>Technical Skills</v>
      </c>
      <c r="W1017" t="str">
        <f t="shared" si="206"/>
        <v>Interview Preparation</v>
      </c>
      <c r="X1017" t="str">
        <f t="shared" si="207"/>
        <v>Improve interview preparation and communication</v>
      </c>
    </row>
    <row r="1018" spans="1:24" x14ac:dyDescent="0.3">
      <c r="A1018">
        <v>25</v>
      </c>
      <c r="B1018">
        <v>0</v>
      </c>
      <c r="C1018">
        <v>3</v>
      </c>
      <c r="D1018">
        <v>7</v>
      </c>
      <c r="E1018">
        <v>2</v>
      </c>
      <c r="F1018">
        <v>2.5671334429433301</v>
      </c>
      <c r="G1018">
        <v>75</v>
      </c>
      <c r="H1018">
        <v>91</v>
      </c>
      <c r="I1018">
        <v>96</v>
      </c>
      <c r="J1018">
        <v>3</v>
      </c>
      <c r="K1018">
        <v>1</v>
      </c>
      <c r="L1018" t="str">
        <f t="shared" si="195"/>
        <v>C1017</v>
      </c>
      <c r="M1018" t="str">
        <f t="shared" si="196"/>
        <v>Male</v>
      </c>
      <c r="N1018" t="str">
        <f t="shared" si="197"/>
        <v>Master's</v>
      </c>
      <c r="O1018" t="str">
        <f t="shared" si="198"/>
        <v>Senior Level</v>
      </c>
      <c r="P1018" t="str">
        <f t="shared" si="199"/>
        <v>Strong</v>
      </c>
      <c r="Q1018" t="str">
        <f t="shared" si="200"/>
        <v>Advanced</v>
      </c>
      <c r="R1018" t="str">
        <f t="shared" si="201"/>
        <v>Strong</v>
      </c>
      <c r="S1018" t="str">
        <f t="shared" si="202"/>
        <v>Hired</v>
      </c>
      <c r="T1018">
        <f t="shared" si="203"/>
        <v>80</v>
      </c>
      <c r="U1018" t="str">
        <f t="shared" si="204"/>
        <v>Job Ready</v>
      </c>
      <c r="V1018" t="str">
        <f t="shared" si="205"/>
        <v>Personality</v>
      </c>
      <c r="W1018" t="str">
        <f t="shared" si="206"/>
        <v>Interview Preparation</v>
      </c>
      <c r="X1018" t="str">
        <f t="shared" si="207"/>
        <v>Improve interview preparation and communication</v>
      </c>
    </row>
    <row r="1019" spans="1:24" x14ac:dyDescent="0.3">
      <c r="A1019">
        <v>47</v>
      </c>
      <c r="B1019">
        <v>1</v>
      </c>
      <c r="C1019">
        <v>1</v>
      </c>
      <c r="D1019">
        <v>11</v>
      </c>
      <c r="E1019">
        <v>3</v>
      </c>
      <c r="F1019">
        <v>6.97244419821428</v>
      </c>
      <c r="G1019">
        <v>67</v>
      </c>
      <c r="H1019">
        <v>38</v>
      </c>
      <c r="I1019">
        <v>0</v>
      </c>
      <c r="J1019">
        <v>3</v>
      </c>
      <c r="K1019">
        <v>0</v>
      </c>
      <c r="L1019" t="str">
        <f t="shared" si="195"/>
        <v>C1018</v>
      </c>
      <c r="M1019" t="str">
        <f t="shared" si="196"/>
        <v>Female</v>
      </c>
      <c r="N1019" t="str">
        <f t="shared" si="197"/>
        <v>Bachelor's Type 1</v>
      </c>
      <c r="O1019" t="str">
        <f t="shared" si="198"/>
        <v>Senior Level</v>
      </c>
      <c r="P1019" t="str">
        <f t="shared" si="199"/>
        <v>Average</v>
      </c>
      <c r="Q1019" t="str">
        <f t="shared" si="200"/>
        <v>Beginner</v>
      </c>
      <c r="R1019" t="str">
        <f t="shared" si="201"/>
        <v>Needs Improvement</v>
      </c>
      <c r="S1019" t="str">
        <f t="shared" si="202"/>
        <v>Not Hired</v>
      </c>
      <c r="T1019">
        <f t="shared" si="203"/>
        <v>45</v>
      </c>
      <c r="U1019" t="str">
        <f t="shared" si="204"/>
        <v>Needs Improvement</v>
      </c>
      <c r="V1019" t="str">
        <f t="shared" si="205"/>
        <v>Interview</v>
      </c>
      <c r="W1019" t="str">
        <f t="shared" si="206"/>
        <v>Personality &amp; Communication</v>
      </c>
      <c r="X1019" t="str">
        <f t="shared" si="207"/>
        <v>Work on communication and personality development</v>
      </c>
    </row>
    <row r="1020" spans="1:24" x14ac:dyDescent="0.3">
      <c r="A1020">
        <v>36</v>
      </c>
      <c r="B1020">
        <v>0</v>
      </c>
      <c r="C1020">
        <v>2</v>
      </c>
      <c r="D1020">
        <v>9</v>
      </c>
      <c r="E1020">
        <v>2</v>
      </c>
      <c r="F1020">
        <v>32.115148953701301</v>
      </c>
      <c r="G1020">
        <v>8</v>
      </c>
      <c r="H1020">
        <v>22</v>
      </c>
      <c r="I1020">
        <v>12</v>
      </c>
      <c r="J1020">
        <v>2</v>
      </c>
      <c r="K1020">
        <v>0</v>
      </c>
      <c r="L1020" t="str">
        <f t="shared" si="195"/>
        <v>C1019</v>
      </c>
      <c r="M1020" t="str">
        <f t="shared" si="196"/>
        <v>Male</v>
      </c>
      <c r="N1020" t="str">
        <f t="shared" si="197"/>
        <v>Bachelor's Type 2</v>
      </c>
      <c r="O1020" t="str">
        <f t="shared" si="198"/>
        <v>Senior Level</v>
      </c>
      <c r="P1020" t="str">
        <f t="shared" si="199"/>
        <v>Low</v>
      </c>
      <c r="Q1020" t="str">
        <f t="shared" si="200"/>
        <v>Beginner</v>
      </c>
      <c r="R1020" t="str">
        <f t="shared" si="201"/>
        <v>Needs Improvement</v>
      </c>
      <c r="S1020" t="str">
        <f t="shared" si="202"/>
        <v>Not Hired</v>
      </c>
      <c r="T1020">
        <f t="shared" si="203"/>
        <v>23</v>
      </c>
      <c r="U1020" t="str">
        <f t="shared" si="204"/>
        <v>Needs Improvement</v>
      </c>
      <c r="V1020" t="str">
        <f t="shared" si="205"/>
        <v>Technical Skills</v>
      </c>
      <c r="W1020" t="str">
        <f t="shared" si="206"/>
        <v>Interview Preparation</v>
      </c>
      <c r="X1020" t="str">
        <f t="shared" si="207"/>
        <v>Improve interview preparation and communication</v>
      </c>
    </row>
    <row r="1021" spans="1:24" x14ac:dyDescent="0.3">
      <c r="A1021">
        <v>24</v>
      </c>
      <c r="B1021">
        <v>0</v>
      </c>
      <c r="C1021">
        <v>3</v>
      </c>
      <c r="D1021">
        <v>6</v>
      </c>
      <c r="E1021">
        <v>3</v>
      </c>
      <c r="F1021">
        <v>47.721010842125601</v>
      </c>
      <c r="G1021">
        <v>91</v>
      </c>
      <c r="H1021">
        <v>67</v>
      </c>
      <c r="I1021">
        <v>26</v>
      </c>
      <c r="J1021">
        <v>1</v>
      </c>
      <c r="K1021">
        <v>1</v>
      </c>
      <c r="L1021" t="str">
        <f t="shared" si="195"/>
        <v>C1020</v>
      </c>
      <c r="M1021" t="str">
        <f t="shared" si="196"/>
        <v>Male</v>
      </c>
      <c r="N1021" t="str">
        <f t="shared" si="197"/>
        <v>Master's</v>
      </c>
      <c r="O1021" t="str">
        <f t="shared" si="198"/>
        <v>Mid Level</v>
      </c>
      <c r="P1021" t="str">
        <f t="shared" si="199"/>
        <v>Strong</v>
      </c>
      <c r="Q1021" t="str">
        <f t="shared" si="200"/>
        <v>Intermediate</v>
      </c>
      <c r="R1021" t="str">
        <f t="shared" si="201"/>
        <v>Needs Improvement</v>
      </c>
      <c r="S1021" t="str">
        <f t="shared" si="202"/>
        <v>Hired</v>
      </c>
      <c r="T1021">
        <f t="shared" si="203"/>
        <v>62</v>
      </c>
      <c r="U1021" t="str">
        <f t="shared" si="204"/>
        <v>Developing</v>
      </c>
      <c r="V1021" t="str">
        <f t="shared" si="205"/>
        <v>Interview</v>
      </c>
      <c r="W1021" t="str">
        <f t="shared" si="206"/>
        <v>Personality &amp; Communication</v>
      </c>
      <c r="X1021" t="str">
        <f t="shared" si="207"/>
        <v>Work on communication and personality development</v>
      </c>
    </row>
    <row r="1022" spans="1:24" x14ac:dyDescent="0.3">
      <c r="A1022">
        <v>50</v>
      </c>
      <c r="B1022">
        <v>0</v>
      </c>
      <c r="C1022">
        <v>2</v>
      </c>
      <c r="D1022">
        <v>11</v>
      </c>
      <c r="E1022">
        <v>4</v>
      </c>
      <c r="F1022">
        <v>11.326720198600301</v>
      </c>
      <c r="G1022">
        <v>22</v>
      </c>
      <c r="H1022">
        <v>51</v>
      </c>
      <c r="I1022">
        <v>69</v>
      </c>
      <c r="J1022">
        <v>2</v>
      </c>
      <c r="K1022">
        <v>0</v>
      </c>
      <c r="L1022" t="str">
        <f t="shared" si="195"/>
        <v>C1021</v>
      </c>
      <c r="M1022" t="str">
        <f t="shared" si="196"/>
        <v>Male</v>
      </c>
      <c r="N1022" t="str">
        <f t="shared" si="197"/>
        <v>Bachelor's Type 2</v>
      </c>
      <c r="O1022" t="str">
        <f t="shared" si="198"/>
        <v>Senior Level</v>
      </c>
      <c r="P1022" t="str">
        <f t="shared" si="199"/>
        <v>Low</v>
      </c>
      <c r="Q1022" t="str">
        <f t="shared" si="200"/>
        <v>Intermediate</v>
      </c>
      <c r="R1022" t="str">
        <f t="shared" si="201"/>
        <v>Good</v>
      </c>
      <c r="S1022" t="str">
        <f t="shared" si="202"/>
        <v>Not Hired</v>
      </c>
      <c r="T1022">
        <f t="shared" si="203"/>
        <v>49</v>
      </c>
      <c r="U1022" t="str">
        <f t="shared" si="204"/>
        <v>Needs Improvement</v>
      </c>
      <c r="V1022" t="str">
        <f t="shared" si="205"/>
        <v>Personality</v>
      </c>
      <c r="W1022" t="str">
        <f t="shared" si="206"/>
        <v>Interview Preparation</v>
      </c>
      <c r="X1022" t="str">
        <f t="shared" si="207"/>
        <v>Improve interview preparation and communication</v>
      </c>
    </row>
    <row r="1023" spans="1:24" x14ac:dyDescent="0.3">
      <c r="A1023">
        <v>24</v>
      </c>
      <c r="B1023">
        <v>0</v>
      </c>
      <c r="C1023">
        <v>2</v>
      </c>
      <c r="D1023">
        <v>0</v>
      </c>
      <c r="E1023">
        <v>5</v>
      </c>
      <c r="F1023">
        <v>37.751307455254903</v>
      </c>
      <c r="G1023">
        <v>62</v>
      </c>
      <c r="H1023">
        <v>3</v>
      </c>
      <c r="I1023">
        <v>58</v>
      </c>
      <c r="J1023">
        <v>2</v>
      </c>
      <c r="K1023">
        <v>0</v>
      </c>
      <c r="L1023" t="str">
        <f t="shared" si="195"/>
        <v>C1022</v>
      </c>
      <c r="M1023" t="str">
        <f t="shared" si="196"/>
        <v>Male</v>
      </c>
      <c r="N1023" t="str">
        <f t="shared" si="197"/>
        <v>Bachelor's Type 2</v>
      </c>
      <c r="O1023" t="str">
        <f t="shared" si="198"/>
        <v>Entry Level</v>
      </c>
      <c r="P1023" t="str">
        <f t="shared" si="199"/>
        <v>Average</v>
      </c>
      <c r="Q1023" t="str">
        <f t="shared" si="200"/>
        <v>Beginner</v>
      </c>
      <c r="R1023" t="str">
        <f t="shared" si="201"/>
        <v>Good</v>
      </c>
      <c r="S1023" t="str">
        <f t="shared" si="202"/>
        <v>Not Hired</v>
      </c>
      <c r="T1023">
        <f t="shared" si="203"/>
        <v>34</v>
      </c>
      <c r="U1023" t="str">
        <f t="shared" si="204"/>
        <v>Needs Improvement</v>
      </c>
      <c r="V1023" t="str">
        <f t="shared" si="205"/>
        <v>Interview</v>
      </c>
      <c r="W1023" t="str">
        <f t="shared" si="206"/>
        <v>Technical Skills</v>
      </c>
      <c r="X1023" t="str">
        <f t="shared" si="207"/>
        <v>Strengthen technical skills and practical knowledge</v>
      </c>
    </row>
    <row r="1024" spans="1:24" x14ac:dyDescent="0.3">
      <c r="A1024">
        <v>25</v>
      </c>
      <c r="B1024">
        <v>1</v>
      </c>
      <c r="C1024">
        <v>1</v>
      </c>
      <c r="D1024">
        <v>3</v>
      </c>
      <c r="E1024">
        <v>3</v>
      </c>
      <c r="F1024">
        <v>44.322553162452003</v>
      </c>
      <c r="G1024">
        <v>60</v>
      </c>
      <c r="H1024">
        <v>46</v>
      </c>
      <c r="I1024">
        <v>5</v>
      </c>
      <c r="J1024">
        <v>3</v>
      </c>
      <c r="K1024">
        <v>0</v>
      </c>
      <c r="L1024" t="str">
        <f t="shared" si="195"/>
        <v>C1023</v>
      </c>
      <c r="M1024" t="str">
        <f t="shared" si="196"/>
        <v>Female</v>
      </c>
      <c r="N1024" t="str">
        <f t="shared" si="197"/>
        <v>Bachelor's Type 1</v>
      </c>
      <c r="O1024" t="str">
        <f t="shared" si="198"/>
        <v>Mid Level</v>
      </c>
      <c r="P1024" t="str">
        <f t="shared" si="199"/>
        <v>Average</v>
      </c>
      <c r="Q1024" t="str">
        <f t="shared" si="200"/>
        <v>Beginner</v>
      </c>
      <c r="R1024" t="str">
        <f t="shared" si="201"/>
        <v>Needs Improvement</v>
      </c>
      <c r="S1024" t="str">
        <f t="shared" si="202"/>
        <v>Not Hired</v>
      </c>
      <c r="T1024">
        <f t="shared" si="203"/>
        <v>38</v>
      </c>
      <c r="U1024" t="str">
        <f t="shared" si="204"/>
        <v>Needs Improvement</v>
      </c>
      <c r="V1024" t="str">
        <f t="shared" si="205"/>
        <v>Interview</v>
      </c>
      <c r="W1024" t="str">
        <f t="shared" si="206"/>
        <v>Personality &amp; Communication</v>
      </c>
      <c r="X1024" t="str">
        <f t="shared" si="207"/>
        <v>Work on communication and personality development</v>
      </c>
    </row>
    <row r="1025" spans="1:24" x14ac:dyDescent="0.3">
      <c r="A1025">
        <v>22</v>
      </c>
      <c r="B1025">
        <v>0</v>
      </c>
      <c r="C1025">
        <v>2</v>
      </c>
      <c r="D1025">
        <v>12</v>
      </c>
      <c r="E1025">
        <v>3</v>
      </c>
      <c r="F1025">
        <v>27.0441089223755</v>
      </c>
      <c r="G1025">
        <v>39</v>
      </c>
      <c r="H1025">
        <v>20</v>
      </c>
      <c r="I1025">
        <v>96</v>
      </c>
      <c r="J1025">
        <v>2</v>
      </c>
      <c r="K1025">
        <v>0</v>
      </c>
      <c r="L1025" t="str">
        <f t="shared" si="195"/>
        <v>C1024</v>
      </c>
      <c r="M1025" t="str">
        <f t="shared" si="196"/>
        <v>Male</v>
      </c>
      <c r="N1025" t="str">
        <f t="shared" si="197"/>
        <v>Bachelor's Type 2</v>
      </c>
      <c r="O1025" t="str">
        <f t="shared" si="198"/>
        <v>Senior Level</v>
      </c>
      <c r="P1025" t="str">
        <f t="shared" si="199"/>
        <v>Low</v>
      </c>
      <c r="Q1025" t="str">
        <f t="shared" si="200"/>
        <v>Beginner</v>
      </c>
      <c r="R1025" t="str">
        <f t="shared" si="201"/>
        <v>Strong</v>
      </c>
      <c r="S1025" t="str">
        <f t="shared" si="202"/>
        <v>Not Hired</v>
      </c>
      <c r="T1025">
        <f t="shared" si="203"/>
        <v>51</v>
      </c>
      <c r="U1025" t="str">
        <f t="shared" si="204"/>
        <v>Developing</v>
      </c>
      <c r="V1025" t="str">
        <f t="shared" si="205"/>
        <v>Personality</v>
      </c>
      <c r="W1025" t="str">
        <f t="shared" si="206"/>
        <v>Technical Skills</v>
      </c>
      <c r="X1025" t="str">
        <f t="shared" si="207"/>
        <v>Strengthen technical skills and practical knowledge</v>
      </c>
    </row>
    <row r="1026" spans="1:24" x14ac:dyDescent="0.3">
      <c r="A1026">
        <v>40</v>
      </c>
      <c r="B1026">
        <v>0</v>
      </c>
      <c r="C1026">
        <v>2</v>
      </c>
      <c r="D1026">
        <v>12</v>
      </c>
      <c r="E1026">
        <v>4</v>
      </c>
      <c r="F1026">
        <v>34.463289792182799</v>
      </c>
      <c r="G1026">
        <v>43</v>
      </c>
      <c r="H1026">
        <v>100</v>
      </c>
      <c r="I1026">
        <v>93</v>
      </c>
      <c r="J1026">
        <v>3</v>
      </c>
      <c r="K1026">
        <v>0</v>
      </c>
      <c r="L1026" t="str">
        <f t="shared" si="195"/>
        <v>C1025</v>
      </c>
      <c r="M1026" t="str">
        <f t="shared" si="196"/>
        <v>Male</v>
      </c>
      <c r="N1026" t="str">
        <f t="shared" si="197"/>
        <v>Bachelor's Type 2</v>
      </c>
      <c r="O1026" t="str">
        <f t="shared" si="198"/>
        <v>Senior Level</v>
      </c>
      <c r="P1026" t="str">
        <f t="shared" si="199"/>
        <v>Low</v>
      </c>
      <c r="Q1026" t="str">
        <f t="shared" si="200"/>
        <v>Advanced</v>
      </c>
      <c r="R1026" t="str">
        <f t="shared" si="201"/>
        <v>Strong</v>
      </c>
      <c r="S1026" t="str">
        <f t="shared" si="202"/>
        <v>Not Hired</v>
      </c>
      <c r="T1026">
        <f t="shared" si="203"/>
        <v>76</v>
      </c>
      <c r="U1026" t="str">
        <f t="shared" si="204"/>
        <v>Job Ready</v>
      </c>
      <c r="V1026" t="str">
        <f t="shared" si="205"/>
        <v>Technical Skills</v>
      </c>
      <c r="W1026" t="str">
        <f t="shared" si="206"/>
        <v>Interview Preparation</v>
      </c>
      <c r="X1026" t="str">
        <f t="shared" si="207"/>
        <v>Improve interview preparation and communication</v>
      </c>
    </row>
    <row r="1027" spans="1:24" x14ac:dyDescent="0.3">
      <c r="A1027">
        <v>42</v>
      </c>
      <c r="B1027">
        <v>1</v>
      </c>
      <c r="C1027">
        <v>2</v>
      </c>
      <c r="D1027">
        <v>15</v>
      </c>
      <c r="E1027">
        <v>3</v>
      </c>
      <c r="F1027">
        <v>41.750765833807399</v>
      </c>
      <c r="G1027">
        <v>85</v>
      </c>
      <c r="H1027">
        <v>55</v>
      </c>
      <c r="I1027">
        <v>98</v>
      </c>
      <c r="J1027">
        <v>3</v>
      </c>
      <c r="K1027">
        <v>1</v>
      </c>
      <c r="L1027" t="str">
        <f t="shared" ref="L1027:L1090" si="208">"C"&amp;TEXT(ROW()-1,"000")</f>
        <v>C1026</v>
      </c>
      <c r="M1027" t="str">
        <f t="shared" ref="M1027:M1090" si="209">IF(B1027=0,"Male","Female")</f>
        <v>Female</v>
      </c>
      <c r="N1027" t="str">
        <f t="shared" ref="N1027:N1090" si="210">IF(C1027=1,"Bachelor's Type 1",IF(C1027=2,"Bachelor's Type 2",IF(C1027=3,"Master's","PhD")))</f>
        <v>Bachelor's Type 2</v>
      </c>
      <c r="O1027" t="str">
        <f t="shared" ref="O1027:O1090" si="211">IF(D1027&lt;=2,"Entry Level",IF(D1027&lt;=6,"Mid Level","Senior Level"))</f>
        <v>Senior Level</v>
      </c>
      <c r="P1027" t="str">
        <f t="shared" ref="P1027:P1090" si="212">IF(G1027&lt;50,"Low",IF(G1027&lt;75,"Average","Strong"))</f>
        <v>Strong</v>
      </c>
      <c r="Q1027" t="str">
        <f t="shared" ref="Q1027:Q1090" si="213">IF(H1027&lt;50,"Beginner",IF(H1027&lt;75,"Intermediate","Advanced"))</f>
        <v>Intermediate</v>
      </c>
      <c r="R1027" t="str">
        <f t="shared" ref="R1027:R1090" si="214">IF(I1027&lt;50,"Needs Improvement",IF(I1027&lt;75,"Good","Strong"))</f>
        <v>Strong</v>
      </c>
      <c r="S1027" t="str">
        <f t="shared" ref="S1027:S1090" si="215">IF(K1027=1,"Hired","Not Hired")</f>
        <v>Hired</v>
      </c>
      <c r="T1027">
        <f t="shared" ref="T1027:T1090" si="216">ROUND((G1027*30%)+(H1027*30%)+(I1027*20%)+((D1027/15)*100*15%)+(IF(C1027&lt;=2,50,IF(C1027=3,75,100))*5%),0)</f>
        <v>79</v>
      </c>
      <c r="U1027" t="str">
        <f t="shared" ref="U1027:U1090" si="217">IF(T1027&lt;50,"Needs Improvement",IF(T1027&lt;75,"Developing","Job Ready"))</f>
        <v>Job Ready</v>
      </c>
      <c r="V1027" t="str">
        <f t="shared" ref="V1027:V1090" si="218">IF(AND(G1027&gt;=H1027,G1027&gt;=I1027),"Interview",IF(H1027&gt;=I1027,"Technical Skills","Personality"))</f>
        <v>Personality</v>
      </c>
      <c r="W1027" t="str">
        <f t="shared" ref="W1027:W1090" si="219">IF(AND(G1027&lt;=H1027,G1027&lt;=I1027),"Interview Preparation",IF(H1027&lt;=I1027,"Technical Skills","Personality &amp; Communication"))</f>
        <v>Technical Skills</v>
      </c>
      <c r="X1027" t="str">
        <f t="shared" ref="X1027:X1090" si="220">IF(W1027="Interview Preparation","Improve interview preparation and communication",IF(W1027="Technical Skills","Strengthen technical skills and practical knowledge","Work on communication and personality development"))</f>
        <v>Strengthen technical skills and practical knowledge</v>
      </c>
    </row>
    <row r="1028" spans="1:24" x14ac:dyDescent="0.3">
      <c r="A1028">
        <v>24</v>
      </c>
      <c r="B1028">
        <v>1</v>
      </c>
      <c r="C1028">
        <v>2</v>
      </c>
      <c r="D1028">
        <v>3</v>
      </c>
      <c r="E1028">
        <v>1</v>
      </c>
      <c r="F1028">
        <v>14.0337578870296</v>
      </c>
      <c r="G1028">
        <v>23</v>
      </c>
      <c r="H1028">
        <v>65</v>
      </c>
      <c r="I1028">
        <v>22</v>
      </c>
      <c r="J1028">
        <v>3</v>
      </c>
      <c r="K1028">
        <v>0</v>
      </c>
      <c r="L1028" t="str">
        <f t="shared" si="208"/>
        <v>C1027</v>
      </c>
      <c r="M1028" t="str">
        <f t="shared" si="209"/>
        <v>Female</v>
      </c>
      <c r="N1028" t="str">
        <f t="shared" si="210"/>
        <v>Bachelor's Type 2</v>
      </c>
      <c r="O1028" t="str">
        <f t="shared" si="211"/>
        <v>Mid Level</v>
      </c>
      <c r="P1028" t="str">
        <f t="shared" si="212"/>
        <v>Low</v>
      </c>
      <c r="Q1028" t="str">
        <f t="shared" si="213"/>
        <v>Intermediate</v>
      </c>
      <c r="R1028" t="str">
        <f t="shared" si="214"/>
        <v>Needs Improvement</v>
      </c>
      <c r="S1028" t="str">
        <f t="shared" si="215"/>
        <v>Not Hired</v>
      </c>
      <c r="T1028">
        <f t="shared" si="216"/>
        <v>36</v>
      </c>
      <c r="U1028" t="str">
        <f t="shared" si="217"/>
        <v>Needs Improvement</v>
      </c>
      <c r="V1028" t="str">
        <f t="shared" si="218"/>
        <v>Technical Skills</v>
      </c>
      <c r="W1028" t="str">
        <f t="shared" si="219"/>
        <v>Personality &amp; Communication</v>
      </c>
      <c r="X1028" t="str">
        <f t="shared" si="220"/>
        <v>Work on communication and personality development</v>
      </c>
    </row>
    <row r="1029" spans="1:24" x14ac:dyDescent="0.3">
      <c r="A1029">
        <v>40</v>
      </c>
      <c r="B1029">
        <v>1</v>
      </c>
      <c r="C1029">
        <v>2</v>
      </c>
      <c r="D1029">
        <v>4</v>
      </c>
      <c r="E1029">
        <v>4</v>
      </c>
      <c r="F1029">
        <v>15.8447837134021</v>
      </c>
      <c r="G1029">
        <v>50</v>
      </c>
      <c r="H1029">
        <v>58</v>
      </c>
      <c r="I1029">
        <v>9</v>
      </c>
      <c r="J1029">
        <v>1</v>
      </c>
      <c r="K1029">
        <v>0</v>
      </c>
      <c r="L1029" t="str">
        <f t="shared" si="208"/>
        <v>C1028</v>
      </c>
      <c r="M1029" t="str">
        <f t="shared" si="209"/>
        <v>Female</v>
      </c>
      <c r="N1029" t="str">
        <f t="shared" si="210"/>
        <v>Bachelor's Type 2</v>
      </c>
      <c r="O1029" t="str">
        <f t="shared" si="211"/>
        <v>Mid Level</v>
      </c>
      <c r="P1029" t="str">
        <f t="shared" si="212"/>
        <v>Average</v>
      </c>
      <c r="Q1029" t="str">
        <f t="shared" si="213"/>
        <v>Intermediate</v>
      </c>
      <c r="R1029" t="str">
        <f t="shared" si="214"/>
        <v>Needs Improvement</v>
      </c>
      <c r="S1029" t="str">
        <f t="shared" si="215"/>
        <v>Not Hired</v>
      </c>
      <c r="T1029">
        <f t="shared" si="216"/>
        <v>41</v>
      </c>
      <c r="U1029" t="str">
        <f t="shared" si="217"/>
        <v>Needs Improvement</v>
      </c>
      <c r="V1029" t="str">
        <f t="shared" si="218"/>
        <v>Technical Skills</v>
      </c>
      <c r="W1029" t="str">
        <f t="shared" si="219"/>
        <v>Personality &amp; Communication</v>
      </c>
      <c r="X1029" t="str">
        <f t="shared" si="220"/>
        <v>Work on communication and personality development</v>
      </c>
    </row>
    <row r="1030" spans="1:24" x14ac:dyDescent="0.3">
      <c r="A1030">
        <v>24</v>
      </c>
      <c r="B1030">
        <v>0</v>
      </c>
      <c r="C1030">
        <v>1</v>
      </c>
      <c r="D1030">
        <v>9</v>
      </c>
      <c r="E1030">
        <v>1</v>
      </c>
      <c r="F1030">
        <v>1.0313758314228001</v>
      </c>
      <c r="G1030">
        <v>57</v>
      </c>
      <c r="H1030">
        <v>6</v>
      </c>
      <c r="I1030">
        <v>50</v>
      </c>
      <c r="J1030">
        <v>1</v>
      </c>
      <c r="K1030">
        <v>0</v>
      </c>
      <c r="L1030" t="str">
        <f t="shared" si="208"/>
        <v>C1029</v>
      </c>
      <c r="M1030" t="str">
        <f t="shared" si="209"/>
        <v>Male</v>
      </c>
      <c r="N1030" t="str">
        <f t="shared" si="210"/>
        <v>Bachelor's Type 1</v>
      </c>
      <c r="O1030" t="str">
        <f t="shared" si="211"/>
        <v>Senior Level</v>
      </c>
      <c r="P1030" t="str">
        <f t="shared" si="212"/>
        <v>Average</v>
      </c>
      <c r="Q1030" t="str">
        <f t="shared" si="213"/>
        <v>Beginner</v>
      </c>
      <c r="R1030" t="str">
        <f t="shared" si="214"/>
        <v>Good</v>
      </c>
      <c r="S1030" t="str">
        <f t="shared" si="215"/>
        <v>Not Hired</v>
      </c>
      <c r="T1030">
        <f t="shared" si="216"/>
        <v>40</v>
      </c>
      <c r="U1030" t="str">
        <f t="shared" si="217"/>
        <v>Needs Improvement</v>
      </c>
      <c r="V1030" t="str">
        <f t="shared" si="218"/>
        <v>Interview</v>
      </c>
      <c r="W1030" t="str">
        <f t="shared" si="219"/>
        <v>Technical Skills</v>
      </c>
      <c r="X1030" t="str">
        <f t="shared" si="220"/>
        <v>Strengthen technical skills and practical knowledge</v>
      </c>
    </row>
    <row r="1031" spans="1:24" x14ac:dyDescent="0.3">
      <c r="A1031">
        <v>29</v>
      </c>
      <c r="B1031">
        <v>1</v>
      </c>
      <c r="C1031">
        <v>1</v>
      </c>
      <c r="D1031">
        <v>5</v>
      </c>
      <c r="E1031">
        <v>4</v>
      </c>
      <c r="F1031">
        <v>49.154706544890097</v>
      </c>
      <c r="G1031">
        <v>89</v>
      </c>
      <c r="H1031">
        <v>48</v>
      </c>
      <c r="I1031">
        <v>18</v>
      </c>
      <c r="J1031">
        <v>2</v>
      </c>
      <c r="K1031">
        <v>0</v>
      </c>
      <c r="L1031" t="str">
        <f t="shared" si="208"/>
        <v>C1030</v>
      </c>
      <c r="M1031" t="str">
        <f t="shared" si="209"/>
        <v>Female</v>
      </c>
      <c r="N1031" t="str">
        <f t="shared" si="210"/>
        <v>Bachelor's Type 1</v>
      </c>
      <c r="O1031" t="str">
        <f t="shared" si="211"/>
        <v>Mid Level</v>
      </c>
      <c r="P1031" t="str">
        <f t="shared" si="212"/>
        <v>Strong</v>
      </c>
      <c r="Q1031" t="str">
        <f t="shared" si="213"/>
        <v>Beginner</v>
      </c>
      <c r="R1031" t="str">
        <f t="shared" si="214"/>
        <v>Needs Improvement</v>
      </c>
      <c r="S1031" t="str">
        <f t="shared" si="215"/>
        <v>Not Hired</v>
      </c>
      <c r="T1031">
        <f t="shared" si="216"/>
        <v>52</v>
      </c>
      <c r="U1031" t="str">
        <f t="shared" si="217"/>
        <v>Developing</v>
      </c>
      <c r="V1031" t="str">
        <f t="shared" si="218"/>
        <v>Interview</v>
      </c>
      <c r="W1031" t="str">
        <f t="shared" si="219"/>
        <v>Personality &amp; Communication</v>
      </c>
      <c r="X1031" t="str">
        <f t="shared" si="220"/>
        <v>Work on communication and personality development</v>
      </c>
    </row>
    <row r="1032" spans="1:24" x14ac:dyDescent="0.3">
      <c r="A1032">
        <v>29</v>
      </c>
      <c r="B1032">
        <v>1</v>
      </c>
      <c r="C1032">
        <v>3</v>
      </c>
      <c r="D1032">
        <v>3</v>
      </c>
      <c r="E1032">
        <v>3</v>
      </c>
      <c r="F1032">
        <v>46.8772447298172</v>
      </c>
      <c r="G1032">
        <v>93</v>
      </c>
      <c r="H1032">
        <v>15</v>
      </c>
      <c r="I1032">
        <v>50</v>
      </c>
      <c r="J1032">
        <v>2</v>
      </c>
      <c r="K1032">
        <v>0</v>
      </c>
      <c r="L1032" t="str">
        <f t="shared" si="208"/>
        <v>C1031</v>
      </c>
      <c r="M1032" t="str">
        <f t="shared" si="209"/>
        <v>Female</v>
      </c>
      <c r="N1032" t="str">
        <f t="shared" si="210"/>
        <v>Master's</v>
      </c>
      <c r="O1032" t="str">
        <f t="shared" si="211"/>
        <v>Mid Level</v>
      </c>
      <c r="P1032" t="str">
        <f t="shared" si="212"/>
        <v>Strong</v>
      </c>
      <c r="Q1032" t="str">
        <f t="shared" si="213"/>
        <v>Beginner</v>
      </c>
      <c r="R1032" t="str">
        <f t="shared" si="214"/>
        <v>Good</v>
      </c>
      <c r="S1032" t="str">
        <f t="shared" si="215"/>
        <v>Not Hired</v>
      </c>
      <c r="T1032">
        <f t="shared" si="216"/>
        <v>49</v>
      </c>
      <c r="U1032" t="str">
        <f t="shared" si="217"/>
        <v>Needs Improvement</v>
      </c>
      <c r="V1032" t="str">
        <f t="shared" si="218"/>
        <v>Interview</v>
      </c>
      <c r="W1032" t="str">
        <f t="shared" si="219"/>
        <v>Technical Skills</v>
      </c>
      <c r="X1032" t="str">
        <f t="shared" si="220"/>
        <v>Strengthen technical skills and practical knowledge</v>
      </c>
    </row>
    <row r="1033" spans="1:24" x14ac:dyDescent="0.3">
      <c r="A1033">
        <v>38</v>
      </c>
      <c r="B1033">
        <v>0</v>
      </c>
      <c r="C1033">
        <v>2</v>
      </c>
      <c r="D1033">
        <v>14</v>
      </c>
      <c r="E1033">
        <v>1</v>
      </c>
      <c r="F1033">
        <v>39.228413187971498</v>
      </c>
      <c r="G1033">
        <v>32</v>
      </c>
      <c r="H1033">
        <v>16</v>
      </c>
      <c r="I1033">
        <v>91</v>
      </c>
      <c r="J1033">
        <v>1</v>
      </c>
      <c r="K1033">
        <v>1</v>
      </c>
      <c r="L1033" t="str">
        <f t="shared" si="208"/>
        <v>C1032</v>
      </c>
      <c r="M1033" t="str">
        <f t="shared" si="209"/>
        <v>Male</v>
      </c>
      <c r="N1033" t="str">
        <f t="shared" si="210"/>
        <v>Bachelor's Type 2</v>
      </c>
      <c r="O1033" t="str">
        <f t="shared" si="211"/>
        <v>Senior Level</v>
      </c>
      <c r="P1033" t="str">
        <f t="shared" si="212"/>
        <v>Low</v>
      </c>
      <c r="Q1033" t="str">
        <f t="shared" si="213"/>
        <v>Beginner</v>
      </c>
      <c r="R1033" t="str">
        <f t="shared" si="214"/>
        <v>Strong</v>
      </c>
      <c r="S1033" t="str">
        <f t="shared" si="215"/>
        <v>Hired</v>
      </c>
      <c r="T1033">
        <f t="shared" si="216"/>
        <v>49</v>
      </c>
      <c r="U1033" t="str">
        <f t="shared" si="217"/>
        <v>Needs Improvement</v>
      </c>
      <c r="V1033" t="str">
        <f t="shared" si="218"/>
        <v>Personality</v>
      </c>
      <c r="W1033" t="str">
        <f t="shared" si="219"/>
        <v>Technical Skills</v>
      </c>
      <c r="X1033" t="str">
        <f t="shared" si="220"/>
        <v>Strengthen technical skills and practical knowledge</v>
      </c>
    </row>
    <row r="1034" spans="1:24" x14ac:dyDescent="0.3">
      <c r="A1034">
        <v>36</v>
      </c>
      <c r="B1034">
        <v>1</v>
      </c>
      <c r="C1034">
        <v>1</v>
      </c>
      <c r="D1034">
        <v>1</v>
      </c>
      <c r="E1034">
        <v>3</v>
      </c>
      <c r="F1034">
        <v>4.9538010488323998</v>
      </c>
      <c r="G1034">
        <v>15</v>
      </c>
      <c r="H1034">
        <v>83</v>
      </c>
      <c r="I1034">
        <v>86</v>
      </c>
      <c r="J1034">
        <v>1</v>
      </c>
      <c r="K1034">
        <v>1</v>
      </c>
      <c r="L1034" t="str">
        <f t="shared" si="208"/>
        <v>C1033</v>
      </c>
      <c r="M1034" t="str">
        <f t="shared" si="209"/>
        <v>Female</v>
      </c>
      <c r="N1034" t="str">
        <f t="shared" si="210"/>
        <v>Bachelor's Type 1</v>
      </c>
      <c r="O1034" t="str">
        <f t="shared" si="211"/>
        <v>Entry Level</v>
      </c>
      <c r="P1034" t="str">
        <f t="shared" si="212"/>
        <v>Low</v>
      </c>
      <c r="Q1034" t="str">
        <f t="shared" si="213"/>
        <v>Advanced</v>
      </c>
      <c r="R1034" t="str">
        <f t="shared" si="214"/>
        <v>Strong</v>
      </c>
      <c r="S1034" t="str">
        <f t="shared" si="215"/>
        <v>Hired</v>
      </c>
      <c r="T1034">
        <f t="shared" si="216"/>
        <v>50</v>
      </c>
      <c r="U1034" t="str">
        <f t="shared" si="217"/>
        <v>Developing</v>
      </c>
      <c r="V1034" t="str">
        <f t="shared" si="218"/>
        <v>Personality</v>
      </c>
      <c r="W1034" t="str">
        <f t="shared" si="219"/>
        <v>Interview Preparation</v>
      </c>
      <c r="X1034" t="str">
        <f t="shared" si="220"/>
        <v>Improve interview preparation and communication</v>
      </c>
    </row>
    <row r="1035" spans="1:24" x14ac:dyDescent="0.3">
      <c r="A1035">
        <v>40</v>
      </c>
      <c r="B1035">
        <v>1</v>
      </c>
      <c r="C1035">
        <v>3</v>
      </c>
      <c r="D1035">
        <v>15</v>
      </c>
      <c r="E1035">
        <v>4</v>
      </c>
      <c r="F1035">
        <v>23.375144484975401</v>
      </c>
      <c r="G1035">
        <v>21</v>
      </c>
      <c r="H1035">
        <v>86</v>
      </c>
      <c r="I1035">
        <v>67</v>
      </c>
      <c r="J1035">
        <v>2</v>
      </c>
      <c r="K1035">
        <v>1</v>
      </c>
      <c r="L1035" t="str">
        <f t="shared" si="208"/>
        <v>C1034</v>
      </c>
      <c r="M1035" t="str">
        <f t="shared" si="209"/>
        <v>Female</v>
      </c>
      <c r="N1035" t="str">
        <f t="shared" si="210"/>
        <v>Master's</v>
      </c>
      <c r="O1035" t="str">
        <f t="shared" si="211"/>
        <v>Senior Level</v>
      </c>
      <c r="P1035" t="str">
        <f t="shared" si="212"/>
        <v>Low</v>
      </c>
      <c r="Q1035" t="str">
        <f t="shared" si="213"/>
        <v>Advanced</v>
      </c>
      <c r="R1035" t="str">
        <f t="shared" si="214"/>
        <v>Good</v>
      </c>
      <c r="S1035" t="str">
        <f t="shared" si="215"/>
        <v>Hired</v>
      </c>
      <c r="T1035">
        <f t="shared" si="216"/>
        <v>64</v>
      </c>
      <c r="U1035" t="str">
        <f t="shared" si="217"/>
        <v>Developing</v>
      </c>
      <c r="V1035" t="str">
        <f t="shared" si="218"/>
        <v>Technical Skills</v>
      </c>
      <c r="W1035" t="str">
        <f t="shared" si="219"/>
        <v>Interview Preparation</v>
      </c>
      <c r="X1035" t="str">
        <f t="shared" si="220"/>
        <v>Improve interview preparation and communication</v>
      </c>
    </row>
    <row r="1036" spans="1:24" x14ac:dyDescent="0.3">
      <c r="A1036">
        <v>33</v>
      </c>
      <c r="B1036">
        <v>1</v>
      </c>
      <c r="C1036">
        <v>2</v>
      </c>
      <c r="D1036">
        <v>5</v>
      </c>
      <c r="E1036">
        <v>3</v>
      </c>
      <c r="F1036">
        <v>6.0945876985776399</v>
      </c>
      <c r="G1036">
        <v>56</v>
      </c>
      <c r="H1036">
        <v>97</v>
      </c>
      <c r="I1036">
        <v>83</v>
      </c>
      <c r="J1036">
        <v>2</v>
      </c>
      <c r="K1036">
        <v>0</v>
      </c>
      <c r="L1036" t="str">
        <f t="shared" si="208"/>
        <v>C1035</v>
      </c>
      <c r="M1036" t="str">
        <f t="shared" si="209"/>
        <v>Female</v>
      </c>
      <c r="N1036" t="str">
        <f t="shared" si="210"/>
        <v>Bachelor's Type 2</v>
      </c>
      <c r="O1036" t="str">
        <f t="shared" si="211"/>
        <v>Mid Level</v>
      </c>
      <c r="P1036" t="str">
        <f t="shared" si="212"/>
        <v>Average</v>
      </c>
      <c r="Q1036" t="str">
        <f t="shared" si="213"/>
        <v>Advanced</v>
      </c>
      <c r="R1036" t="str">
        <f t="shared" si="214"/>
        <v>Strong</v>
      </c>
      <c r="S1036" t="str">
        <f t="shared" si="215"/>
        <v>Not Hired</v>
      </c>
      <c r="T1036">
        <f t="shared" si="216"/>
        <v>70</v>
      </c>
      <c r="U1036" t="str">
        <f t="shared" si="217"/>
        <v>Developing</v>
      </c>
      <c r="V1036" t="str">
        <f t="shared" si="218"/>
        <v>Technical Skills</v>
      </c>
      <c r="W1036" t="str">
        <f t="shared" si="219"/>
        <v>Interview Preparation</v>
      </c>
      <c r="X1036" t="str">
        <f t="shared" si="220"/>
        <v>Improve interview preparation and communication</v>
      </c>
    </row>
    <row r="1037" spans="1:24" x14ac:dyDescent="0.3">
      <c r="A1037">
        <v>28</v>
      </c>
      <c r="B1037">
        <v>1</v>
      </c>
      <c r="C1037">
        <v>2</v>
      </c>
      <c r="D1037">
        <v>14</v>
      </c>
      <c r="E1037">
        <v>1</v>
      </c>
      <c r="F1037">
        <v>1.79601336313993</v>
      </c>
      <c r="G1037">
        <v>61</v>
      </c>
      <c r="H1037">
        <v>74</v>
      </c>
      <c r="I1037">
        <v>82</v>
      </c>
      <c r="J1037">
        <v>2</v>
      </c>
      <c r="K1037">
        <v>0</v>
      </c>
      <c r="L1037" t="str">
        <f t="shared" si="208"/>
        <v>C1036</v>
      </c>
      <c r="M1037" t="str">
        <f t="shared" si="209"/>
        <v>Female</v>
      </c>
      <c r="N1037" t="str">
        <f t="shared" si="210"/>
        <v>Bachelor's Type 2</v>
      </c>
      <c r="O1037" t="str">
        <f t="shared" si="211"/>
        <v>Senior Level</v>
      </c>
      <c r="P1037" t="str">
        <f t="shared" si="212"/>
        <v>Average</v>
      </c>
      <c r="Q1037" t="str">
        <f t="shared" si="213"/>
        <v>Intermediate</v>
      </c>
      <c r="R1037" t="str">
        <f t="shared" si="214"/>
        <v>Strong</v>
      </c>
      <c r="S1037" t="str">
        <f t="shared" si="215"/>
        <v>Not Hired</v>
      </c>
      <c r="T1037">
        <f t="shared" si="216"/>
        <v>73</v>
      </c>
      <c r="U1037" t="str">
        <f t="shared" si="217"/>
        <v>Developing</v>
      </c>
      <c r="V1037" t="str">
        <f t="shared" si="218"/>
        <v>Personality</v>
      </c>
      <c r="W1037" t="str">
        <f t="shared" si="219"/>
        <v>Interview Preparation</v>
      </c>
      <c r="X1037" t="str">
        <f t="shared" si="220"/>
        <v>Improve interview preparation and communication</v>
      </c>
    </row>
    <row r="1038" spans="1:24" x14ac:dyDescent="0.3">
      <c r="A1038">
        <v>33</v>
      </c>
      <c r="B1038">
        <v>0</v>
      </c>
      <c r="C1038">
        <v>1</v>
      </c>
      <c r="D1038">
        <v>7</v>
      </c>
      <c r="E1038">
        <v>1</v>
      </c>
      <c r="F1038">
        <v>31.809148260629801</v>
      </c>
      <c r="G1038">
        <v>81</v>
      </c>
      <c r="H1038">
        <v>33</v>
      </c>
      <c r="I1038">
        <v>41</v>
      </c>
      <c r="J1038">
        <v>2</v>
      </c>
      <c r="K1038">
        <v>0</v>
      </c>
      <c r="L1038" t="str">
        <f t="shared" si="208"/>
        <v>C1037</v>
      </c>
      <c r="M1038" t="str">
        <f t="shared" si="209"/>
        <v>Male</v>
      </c>
      <c r="N1038" t="str">
        <f t="shared" si="210"/>
        <v>Bachelor's Type 1</v>
      </c>
      <c r="O1038" t="str">
        <f t="shared" si="211"/>
        <v>Senior Level</v>
      </c>
      <c r="P1038" t="str">
        <f t="shared" si="212"/>
        <v>Strong</v>
      </c>
      <c r="Q1038" t="str">
        <f t="shared" si="213"/>
        <v>Beginner</v>
      </c>
      <c r="R1038" t="str">
        <f t="shared" si="214"/>
        <v>Needs Improvement</v>
      </c>
      <c r="S1038" t="str">
        <f t="shared" si="215"/>
        <v>Not Hired</v>
      </c>
      <c r="T1038">
        <f t="shared" si="216"/>
        <v>52</v>
      </c>
      <c r="U1038" t="str">
        <f t="shared" si="217"/>
        <v>Developing</v>
      </c>
      <c r="V1038" t="str">
        <f t="shared" si="218"/>
        <v>Interview</v>
      </c>
      <c r="W1038" t="str">
        <f t="shared" si="219"/>
        <v>Technical Skills</v>
      </c>
      <c r="X1038" t="str">
        <f t="shared" si="220"/>
        <v>Strengthen technical skills and practical knowledge</v>
      </c>
    </row>
    <row r="1039" spans="1:24" x14ac:dyDescent="0.3">
      <c r="A1039">
        <v>20</v>
      </c>
      <c r="B1039">
        <v>1</v>
      </c>
      <c r="C1039">
        <v>3</v>
      </c>
      <c r="D1039">
        <v>14</v>
      </c>
      <c r="E1039">
        <v>3</v>
      </c>
      <c r="F1039">
        <v>49.041470854009397</v>
      </c>
      <c r="G1039">
        <v>70</v>
      </c>
      <c r="H1039">
        <v>32</v>
      </c>
      <c r="I1039">
        <v>90</v>
      </c>
      <c r="J1039">
        <v>2</v>
      </c>
      <c r="K1039">
        <v>0</v>
      </c>
      <c r="L1039" t="str">
        <f t="shared" si="208"/>
        <v>C1038</v>
      </c>
      <c r="M1039" t="str">
        <f t="shared" si="209"/>
        <v>Female</v>
      </c>
      <c r="N1039" t="str">
        <f t="shared" si="210"/>
        <v>Master's</v>
      </c>
      <c r="O1039" t="str">
        <f t="shared" si="211"/>
        <v>Senior Level</v>
      </c>
      <c r="P1039" t="str">
        <f t="shared" si="212"/>
        <v>Average</v>
      </c>
      <c r="Q1039" t="str">
        <f t="shared" si="213"/>
        <v>Beginner</v>
      </c>
      <c r="R1039" t="str">
        <f t="shared" si="214"/>
        <v>Strong</v>
      </c>
      <c r="S1039" t="str">
        <f t="shared" si="215"/>
        <v>Not Hired</v>
      </c>
      <c r="T1039">
        <f t="shared" si="216"/>
        <v>66</v>
      </c>
      <c r="U1039" t="str">
        <f t="shared" si="217"/>
        <v>Developing</v>
      </c>
      <c r="V1039" t="str">
        <f t="shared" si="218"/>
        <v>Personality</v>
      </c>
      <c r="W1039" t="str">
        <f t="shared" si="219"/>
        <v>Technical Skills</v>
      </c>
      <c r="X1039" t="str">
        <f t="shared" si="220"/>
        <v>Strengthen technical skills and practical knowledge</v>
      </c>
    </row>
    <row r="1040" spans="1:24" x14ac:dyDescent="0.3">
      <c r="A1040">
        <v>38</v>
      </c>
      <c r="B1040">
        <v>1</v>
      </c>
      <c r="C1040">
        <v>2</v>
      </c>
      <c r="D1040">
        <v>7</v>
      </c>
      <c r="E1040">
        <v>2</v>
      </c>
      <c r="F1040">
        <v>46.143401171607501</v>
      </c>
      <c r="G1040">
        <v>89</v>
      </c>
      <c r="H1040">
        <v>25</v>
      </c>
      <c r="I1040">
        <v>56</v>
      </c>
      <c r="J1040">
        <v>2</v>
      </c>
      <c r="K1040">
        <v>0</v>
      </c>
      <c r="L1040" t="str">
        <f t="shared" si="208"/>
        <v>C1039</v>
      </c>
      <c r="M1040" t="str">
        <f t="shared" si="209"/>
        <v>Female</v>
      </c>
      <c r="N1040" t="str">
        <f t="shared" si="210"/>
        <v>Bachelor's Type 2</v>
      </c>
      <c r="O1040" t="str">
        <f t="shared" si="211"/>
        <v>Senior Level</v>
      </c>
      <c r="P1040" t="str">
        <f t="shared" si="212"/>
        <v>Strong</v>
      </c>
      <c r="Q1040" t="str">
        <f t="shared" si="213"/>
        <v>Beginner</v>
      </c>
      <c r="R1040" t="str">
        <f t="shared" si="214"/>
        <v>Good</v>
      </c>
      <c r="S1040" t="str">
        <f t="shared" si="215"/>
        <v>Not Hired</v>
      </c>
      <c r="T1040">
        <f t="shared" si="216"/>
        <v>55</v>
      </c>
      <c r="U1040" t="str">
        <f t="shared" si="217"/>
        <v>Developing</v>
      </c>
      <c r="V1040" t="str">
        <f t="shared" si="218"/>
        <v>Interview</v>
      </c>
      <c r="W1040" t="str">
        <f t="shared" si="219"/>
        <v>Technical Skills</v>
      </c>
      <c r="X1040" t="str">
        <f t="shared" si="220"/>
        <v>Strengthen technical skills and practical knowledge</v>
      </c>
    </row>
    <row r="1041" spans="1:24" x14ac:dyDescent="0.3">
      <c r="A1041">
        <v>32</v>
      </c>
      <c r="B1041">
        <v>0</v>
      </c>
      <c r="C1041">
        <v>2</v>
      </c>
      <c r="D1041">
        <v>6</v>
      </c>
      <c r="E1041">
        <v>4</v>
      </c>
      <c r="F1041">
        <v>35.837740746770201</v>
      </c>
      <c r="G1041">
        <v>71</v>
      </c>
      <c r="H1041">
        <v>65</v>
      </c>
      <c r="I1041">
        <v>97</v>
      </c>
      <c r="J1041">
        <v>1</v>
      </c>
      <c r="K1041">
        <v>1</v>
      </c>
      <c r="L1041" t="str">
        <f t="shared" si="208"/>
        <v>C1040</v>
      </c>
      <c r="M1041" t="str">
        <f t="shared" si="209"/>
        <v>Male</v>
      </c>
      <c r="N1041" t="str">
        <f t="shared" si="210"/>
        <v>Bachelor's Type 2</v>
      </c>
      <c r="O1041" t="str">
        <f t="shared" si="211"/>
        <v>Mid Level</v>
      </c>
      <c r="P1041" t="str">
        <f t="shared" si="212"/>
        <v>Average</v>
      </c>
      <c r="Q1041" t="str">
        <f t="shared" si="213"/>
        <v>Intermediate</v>
      </c>
      <c r="R1041" t="str">
        <f t="shared" si="214"/>
        <v>Strong</v>
      </c>
      <c r="S1041" t="str">
        <f t="shared" si="215"/>
        <v>Hired</v>
      </c>
      <c r="T1041">
        <f t="shared" si="216"/>
        <v>69</v>
      </c>
      <c r="U1041" t="str">
        <f t="shared" si="217"/>
        <v>Developing</v>
      </c>
      <c r="V1041" t="str">
        <f t="shared" si="218"/>
        <v>Personality</v>
      </c>
      <c r="W1041" t="str">
        <f t="shared" si="219"/>
        <v>Technical Skills</v>
      </c>
      <c r="X1041" t="str">
        <f t="shared" si="220"/>
        <v>Strengthen technical skills and practical knowledge</v>
      </c>
    </row>
    <row r="1042" spans="1:24" x14ac:dyDescent="0.3">
      <c r="A1042">
        <v>32</v>
      </c>
      <c r="B1042">
        <v>1</v>
      </c>
      <c r="C1042">
        <v>3</v>
      </c>
      <c r="D1042">
        <v>5</v>
      </c>
      <c r="E1042">
        <v>4</v>
      </c>
      <c r="F1042">
        <v>5.8320292082435703</v>
      </c>
      <c r="G1042">
        <v>69</v>
      </c>
      <c r="H1042">
        <v>62</v>
      </c>
      <c r="I1042">
        <v>67</v>
      </c>
      <c r="J1042">
        <v>2</v>
      </c>
      <c r="K1042">
        <v>0</v>
      </c>
      <c r="L1042" t="str">
        <f t="shared" si="208"/>
        <v>C1041</v>
      </c>
      <c r="M1042" t="str">
        <f t="shared" si="209"/>
        <v>Female</v>
      </c>
      <c r="N1042" t="str">
        <f t="shared" si="210"/>
        <v>Master's</v>
      </c>
      <c r="O1042" t="str">
        <f t="shared" si="211"/>
        <v>Mid Level</v>
      </c>
      <c r="P1042" t="str">
        <f t="shared" si="212"/>
        <v>Average</v>
      </c>
      <c r="Q1042" t="str">
        <f t="shared" si="213"/>
        <v>Intermediate</v>
      </c>
      <c r="R1042" t="str">
        <f t="shared" si="214"/>
        <v>Good</v>
      </c>
      <c r="S1042" t="str">
        <f t="shared" si="215"/>
        <v>Not Hired</v>
      </c>
      <c r="T1042">
        <f t="shared" si="216"/>
        <v>61</v>
      </c>
      <c r="U1042" t="str">
        <f t="shared" si="217"/>
        <v>Developing</v>
      </c>
      <c r="V1042" t="str">
        <f t="shared" si="218"/>
        <v>Interview</v>
      </c>
      <c r="W1042" t="str">
        <f t="shared" si="219"/>
        <v>Technical Skills</v>
      </c>
      <c r="X1042" t="str">
        <f t="shared" si="220"/>
        <v>Strengthen technical skills and practical knowledge</v>
      </c>
    </row>
    <row r="1043" spans="1:24" x14ac:dyDescent="0.3">
      <c r="A1043">
        <v>23</v>
      </c>
      <c r="B1043">
        <v>0</v>
      </c>
      <c r="C1043">
        <v>2</v>
      </c>
      <c r="D1043">
        <v>1</v>
      </c>
      <c r="E1043">
        <v>3</v>
      </c>
      <c r="F1043">
        <v>14.708201883615001</v>
      </c>
      <c r="G1043">
        <v>29</v>
      </c>
      <c r="H1043">
        <v>86</v>
      </c>
      <c r="I1043">
        <v>37</v>
      </c>
      <c r="J1043">
        <v>2</v>
      </c>
      <c r="K1043">
        <v>0</v>
      </c>
      <c r="L1043" t="str">
        <f t="shared" si="208"/>
        <v>C1042</v>
      </c>
      <c r="M1043" t="str">
        <f t="shared" si="209"/>
        <v>Male</v>
      </c>
      <c r="N1043" t="str">
        <f t="shared" si="210"/>
        <v>Bachelor's Type 2</v>
      </c>
      <c r="O1043" t="str">
        <f t="shared" si="211"/>
        <v>Entry Level</v>
      </c>
      <c r="P1043" t="str">
        <f t="shared" si="212"/>
        <v>Low</v>
      </c>
      <c r="Q1043" t="str">
        <f t="shared" si="213"/>
        <v>Advanced</v>
      </c>
      <c r="R1043" t="str">
        <f t="shared" si="214"/>
        <v>Needs Improvement</v>
      </c>
      <c r="S1043" t="str">
        <f t="shared" si="215"/>
        <v>Not Hired</v>
      </c>
      <c r="T1043">
        <f t="shared" si="216"/>
        <v>45</v>
      </c>
      <c r="U1043" t="str">
        <f t="shared" si="217"/>
        <v>Needs Improvement</v>
      </c>
      <c r="V1043" t="str">
        <f t="shared" si="218"/>
        <v>Technical Skills</v>
      </c>
      <c r="W1043" t="str">
        <f t="shared" si="219"/>
        <v>Interview Preparation</v>
      </c>
      <c r="X1043" t="str">
        <f t="shared" si="220"/>
        <v>Improve interview preparation and communication</v>
      </c>
    </row>
    <row r="1044" spans="1:24" x14ac:dyDescent="0.3">
      <c r="A1044">
        <v>49</v>
      </c>
      <c r="B1044">
        <v>1</v>
      </c>
      <c r="C1044">
        <v>2</v>
      </c>
      <c r="D1044">
        <v>14</v>
      </c>
      <c r="E1044">
        <v>2</v>
      </c>
      <c r="F1044">
        <v>17.002836344264502</v>
      </c>
      <c r="G1044">
        <v>22</v>
      </c>
      <c r="H1044">
        <v>40</v>
      </c>
      <c r="I1044">
        <v>61</v>
      </c>
      <c r="J1044">
        <v>1</v>
      </c>
      <c r="K1044">
        <v>1</v>
      </c>
      <c r="L1044" t="str">
        <f t="shared" si="208"/>
        <v>C1043</v>
      </c>
      <c r="M1044" t="str">
        <f t="shared" si="209"/>
        <v>Female</v>
      </c>
      <c r="N1044" t="str">
        <f t="shared" si="210"/>
        <v>Bachelor's Type 2</v>
      </c>
      <c r="O1044" t="str">
        <f t="shared" si="211"/>
        <v>Senior Level</v>
      </c>
      <c r="P1044" t="str">
        <f t="shared" si="212"/>
        <v>Low</v>
      </c>
      <c r="Q1044" t="str">
        <f t="shared" si="213"/>
        <v>Beginner</v>
      </c>
      <c r="R1044" t="str">
        <f t="shared" si="214"/>
        <v>Good</v>
      </c>
      <c r="S1044" t="str">
        <f t="shared" si="215"/>
        <v>Hired</v>
      </c>
      <c r="T1044">
        <f t="shared" si="216"/>
        <v>47</v>
      </c>
      <c r="U1044" t="str">
        <f t="shared" si="217"/>
        <v>Needs Improvement</v>
      </c>
      <c r="V1044" t="str">
        <f t="shared" si="218"/>
        <v>Personality</v>
      </c>
      <c r="W1044" t="str">
        <f t="shared" si="219"/>
        <v>Interview Preparation</v>
      </c>
      <c r="X1044" t="str">
        <f t="shared" si="220"/>
        <v>Improve interview preparation and communication</v>
      </c>
    </row>
    <row r="1045" spans="1:24" x14ac:dyDescent="0.3">
      <c r="A1045">
        <v>20</v>
      </c>
      <c r="B1045">
        <v>0</v>
      </c>
      <c r="C1045">
        <v>1</v>
      </c>
      <c r="D1045">
        <v>6</v>
      </c>
      <c r="E1045">
        <v>1</v>
      </c>
      <c r="F1045">
        <v>39.157502887278</v>
      </c>
      <c r="G1045">
        <v>31</v>
      </c>
      <c r="H1045">
        <v>85</v>
      </c>
      <c r="I1045">
        <v>6</v>
      </c>
      <c r="J1045">
        <v>2</v>
      </c>
      <c r="K1045">
        <v>0</v>
      </c>
      <c r="L1045" t="str">
        <f t="shared" si="208"/>
        <v>C1044</v>
      </c>
      <c r="M1045" t="str">
        <f t="shared" si="209"/>
        <v>Male</v>
      </c>
      <c r="N1045" t="str">
        <f t="shared" si="210"/>
        <v>Bachelor's Type 1</v>
      </c>
      <c r="O1045" t="str">
        <f t="shared" si="211"/>
        <v>Mid Level</v>
      </c>
      <c r="P1045" t="str">
        <f t="shared" si="212"/>
        <v>Low</v>
      </c>
      <c r="Q1045" t="str">
        <f t="shared" si="213"/>
        <v>Advanced</v>
      </c>
      <c r="R1045" t="str">
        <f t="shared" si="214"/>
        <v>Needs Improvement</v>
      </c>
      <c r="S1045" t="str">
        <f t="shared" si="215"/>
        <v>Not Hired</v>
      </c>
      <c r="T1045">
        <f t="shared" si="216"/>
        <v>45</v>
      </c>
      <c r="U1045" t="str">
        <f t="shared" si="217"/>
        <v>Needs Improvement</v>
      </c>
      <c r="V1045" t="str">
        <f t="shared" si="218"/>
        <v>Technical Skills</v>
      </c>
      <c r="W1045" t="str">
        <f t="shared" si="219"/>
        <v>Personality &amp; Communication</v>
      </c>
      <c r="X1045" t="str">
        <f t="shared" si="220"/>
        <v>Work on communication and personality development</v>
      </c>
    </row>
    <row r="1046" spans="1:24" x14ac:dyDescent="0.3">
      <c r="A1046">
        <v>36</v>
      </c>
      <c r="B1046">
        <v>0</v>
      </c>
      <c r="C1046">
        <v>2</v>
      </c>
      <c r="D1046">
        <v>10</v>
      </c>
      <c r="E1046">
        <v>5</v>
      </c>
      <c r="F1046">
        <v>41.112458961755699</v>
      </c>
      <c r="G1046">
        <v>85</v>
      </c>
      <c r="H1046">
        <v>57</v>
      </c>
      <c r="I1046">
        <v>70</v>
      </c>
      <c r="J1046">
        <v>2</v>
      </c>
      <c r="K1046">
        <v>1</v>
      </c>
      <c r="L1046" t="str">
        <f t="shared" si="208"/>
        <v>C1045</v>
      </c>
      <c r="M1046" t="str">
        <f t="shared" si="209"/>
        <v>Male</v>
      </c>
      <c r="N1046" t="str">
        <f t="shared" si="210"/>
        <v>Bachelor's Type 2</v>
      </c>
      <c r="O1046" t="str">
        <f t="shared" si="211"/>
        <v>Senior Level</v>
      </c>
      <c r="P1046" t="str">
        <f t="shared" si="212"/>
        <v>Strong</v>
      </c>
      <c r="Q1046" t="str">
        <f t="shared" si="213"/>
        <v>Intermediate</v>
      </c>
      <c r="R1046" t="str">
        <f t="shared" si="214"/>
        <v>Good</v>
      </c>
      <c r="S1046" t="str">
        <f t="shared" si="215"/>
        <v>Hired</v>
      </c>
      <c r="T1046">
        <f t="shared" si="216"/>
        <v>69</v>
      </c>
      <c r="U1046" t="str">
        <f t="shared" si="217"/>
        <v>Developing</v>
      </c>
      <c r="V1046" t="str">
        <f t="shared" si="218"/>
        <v>Interview</v>
      </c>
      <c r="W1046" t="str">
        <f t="shared" si="219"/>
        <v>Technical Skills</v>
      </c>
      <c r="X1046" t="str">
        <f t="shared" si="220"/>
        <v>Strengthen technical skills and practical knowledge</v>
      </c>
    </row>
    <row r="1047" spans="1:24" x14ac:dyDescent="0.3">
      <c r="A1047">
        <v>27</v>
      </c>
      <c r="B1047">
        <v>0</v>
      </c>
      <c r="C1047">
        <v>1</v>
      </c>
      <c r="D1047">
        <v>11</v>
      </c>
      <c r="E1047">
        <v>5</v>
      </c>
      <c r="F1047">
        <v>20.255306149496001</v>
      </c>
      <c r="G1047">
        <v>56</v>
      </c>
      <c r="H1047">
        <v>97</v>
      </c>
      <c r="I1047">
        <v>49</v>
      </c>
      <c r="J1047">
        <v>2</v>
      </c>
      <c r="K1047">
        <v>0</v>
      </c>
      <c r="L1047" t="str">
        <f t="shared" si="208"/>
        <v>C1046</v>
      </c>
      <c r="M1047" t="str">
        <f t="shared" si="209"/>
        <v>Male</v>
      </c>
      <c r="N1047" t="str">
        <f t="shared" si="210"/>
        <v>Bachelor's Type 1</v>
      </c>
      <c r="O1047" t="str">
        <f t="shared" si="211"/>
        <v>Senior Level</v>
      </c>
      <c r="P1047" t="str">
        <f t="shared" si="212"/>
        <v>Average</v>
      </c>
      <c r="Q1047" t="str">
        <f t="shared" si="213"/>
        <v>Advanced</v>
      </c>
      <c r="R1047" t="str">
        <f t="shared" si="214"/>
        <v>Needs Improvement</v>
      </c>
      <c r="S1047" t="str">
        <f t="shared" si="215"/>
        <v>Not Hired</v>
      </c>
      <c r="T1047">
        <f t="shared" si="216"/>
        <v>69</v>
      </c>
      <c r="U1047" t="str">
        <f t="shared" si="217"/>
        <v>Developing</v>
      </c>
      <c r="V1047" t="str">
        <f t="shared" si="218"/>
        <v>Technical Skills</v>
      </c>
      <c r="W1047" t="str">
        <f t="shared" si="219"/>
        <v>Personality &amp; Communication</v>
      </c>
      <c r="X1047" t="str">
        <f t="shared" si="220"/>
        <v>Work on communication and personality development</v>
      </c>
    </row>
    <row r="1048" spans="1:24" x14ac:dyDescent="0.3">
      <c r="A1048">
        <v>21</v>
      </c>
      <c r="B1048">
        <v>0</v>
      </c>
      <c r="C1048">
        <v>2</v>
      </c>
      <c r="D1048">
        <v>13</v>
      </c>
      <c r="E1048">
        <v>3</v>
      </c>
      <c r="F1048">
        <v>21.8941998308804</v>
      </c>
      <c r="G1048">
        <v>8</v>
      </c>
      <c r="H1048">
        <v>78</v>
      </c>
      <c r="I1048">
        <v>51</v>
      </c>
      <c r="J1048">
        <v>2</v>
      </c>
      <c r="K1048">
        <v>0</v>
      </c>
      <c r="L1048" t="str">
        <f t="shared" si="208"/>
        <v>C1047</v>
      </c>
      <c r="M1048" t="str">
        <f t="shared" si="209"/>
        <v>Male</v>
      </c>
      <c r="N1048" t="str">
        <f t="shared" si="210"/>
        <v>Bachelor's Type 2</v>
      </c>
      <c r="O1048" t="str">
        <f t="shared" si="211"/>
        <v>Senior Level</v>
      </c>
      <c r="P1048" t="str">
        <f t="shared" si="212"/>
        <v>Low</v>
      </c>
      <c r="Q1048" t="str">
        <f t="shared" si="213"/>
        <v>Advanced</v>
      </c>
      <c r="R1048" t="str">
        <f t="shared" si="214"/>
        <v>Good</v>
      </c>
      <c r="S1048" t="str">
        <f t="shared" si="215"/>
        <v>Not Hired</v>
      </c>
      <c r="T1048">
        <f t="shared" si="216"/>
        <v>52</v>
      </c>
      <c r="U1048" t="str">
        <f t="shared" si="217"/>
        <v>Developing</v>
      </c>
      <c r="V1048" t="str">
        <f t="shared" si="218"/>
        <v>Technical Skills</v>
      </c>
      <c r="W1048" t="str">
        <f t="shared" si="219"/>
        <v>Interview Preparation</v>
      </c>
      <c r="X1048" t="str">
        <f t="shared" si="220"/>
        <v>Improve interview preparation and communication</v>
      </c>
    </row>
    <row r="1049" spans="1:24" x14ac:dyDescent="0.3">
      <c r="A1049">
        <v>47</v>
      </c>
      <c r="B1049">
        <v>1</v>
      </c>
      <c r="C1049">
        <v>3</v>
      </c>
      <c r="D1049">
        <v>15</v>
      </c>
      <c r="E1049">
        <v>2</v>
      </c>
      <c r="F1049">
        <v>3.2254519638085601</v>
      </c>
      <c r="G1049">
        <v>30</v>
      </c>
      <c r="H1049">
        <v>9</v>
      </c>
      <c r="I1049">
        <v>25</v>
      </c>
      <c r="J1049">
        <v>2</v>
      </c>
      <c r="K1049">
        <v>0</v>
      </c>
      <c r="L1049" t="str">
        <f t="shared" si="208"/>
        <v>C1048</v>
      </c>
      <c r="M1049" t="str">
        <f t="shared" si="209"/>
        <v>Female</v>
      </c>
      <c r="N1049" t="str">
        <f t="shared" si="210"/>
        <v>Master's</v>
      </c>
      <c r="O1049" t="str">
        <f t="shared" si="211"/>
        <v>Senior Level</v>
      </c>
      <c r="P1049" t="str">
        <f t="shared" si="212"/>
        <v>Low</v>
      </c>
      <c r="Q1049" t="str">
        <f t="shared" si="213"/>
        <v>Beginner</v>
      </c>
      <c r="R1049" t="str">
        <f t="shared" si="214"/>
        <v>Needs Improvement</v>
      </c>
      <c r="S1049" t="str">
        <f t="shared" si="215"/>
        <v>Not Hired</v>
      </c>
      <c r="T1049">
        <f t="shared" si="216"/>
        <v>35</v>
      </c>
      <c r="U1049" t="str">
        <f t="shared" si="217"/>
        <v>Needs Improvement</v>
      </c>
      <c r="V1049" t="str">
        <f t="shared" si="218"/>
        <v>Interview</v>
      </c>
      <c r="W1049" t="str">
        <f t="shared" si="219"/>
        <v>Technical Skills</v>
      </c>
      <c r="X1049" t="str">
        <f t="shared" si="220"/>
        <v>Strengthen technical skills and practical knowledge</v>
      </c>
    </row>
    <row r="1050" spans="1:24" x14ac:dyDescent="0.3">
      <c r="A1050">
        <v>50</v>
      </c>
      <c r="B1050">
        <v>0</v>
      </c>
      <c r="C1050">
        <v>2</v>
      </c>
      <c r="D1050">
        <v>13</v>
      </c>
      <c r="E1050">
        <v>2</v>
      </c>
      <c r="F1050">
        <v>15.456835920938</v>
      </c>
      <c r="G1050">
        <v>70</v>
      </c>
      <c r="H1050">
        <v>14</v>
      </c>
      <c r="I1050">
        <v>25</v>
      </c>
      <c r="J1050">
        <v>2</v>
      </c>
      <c r="K1050">
        <v>0</v>
      </c>
      <c r="L1050" t="str">
        <f t="shared" si="208"/>
        <v>C1049</v>
      </c>
      <c r="M1050" t="str">
        <f t="shared" si="209"/>
        <v>Male</v>
      </c>
      <c r="N1050" t="str">
        <f t="shared" si="210"/>
        <v>Bachelor's Type 2</v>
      </c>
      <c r="O1050" t="str">
        <f t="shared" si="211"/>
        <v>Senior Level</v>
      </c>
      <c r="P1050" t="str">
        <f t="shared" si="212"/>
        <v>Average</v>
      </c>
      <c r="Q1050" t="str">
        <f t="shared" si="213"/>
        <v>Beginner</v>
      </c>
      <c r="R1050" t="str">
        <f t="shared" si="214"/>
        <v>Needs Improvement</v>
      </c>
      <c r="S1050" t="str">
        <f t="shared" si="215"/>
        <v>Not Hired</v>
      </c>
      <c r="T1050">
        <f t="shared" si="216"/>
        <v>46</v>
      </c>
      <c r="U1050" t="str">
        <f t="shared" si="217"/>
        <v>Needs Improvement</v>
      </c>
      <c r="V1050" t="str">
        <f t="shared" si="218"/>
        <v>Interview</v>
      </c>
      <c r="W1050" t="str">
        <f t="shared" si="219"/>
        <v>Technical Skills</v>
      </c>
      <c r="X1050" t="str">
        <f t="shared" si="220"/>
        <v>Strengthen technical skills and practical knowledge</v>
      </c>
    </row>
    <row r="1051" spans="1:24" x14ac:dyDescent="0.3">
      <c r="A1051">
        <v>27</v>
      </c>
      <c r="B1051">
        <v>1</v>
      </c>
      <c r="C1051">
        <v>2</v>
      </c>
      <c r="D1051">
        <v>4</v>
      </c>
      <c r="E1051">
        <v>4</v>
      </c>
      <c r="F1051">
        <v>23.5642588588819</v>
      </c>
      <c r="G1051">
        <v>8</v>
      </c>
      <c r="H1051">
        <v>41</v>
      </c>
      <c r="I1051">
        <v>18</v>
      </c>
      <c r="J1051">
        <v>3</v>
      </c>
      <c r="K1051">
        <v>0</v>
      </c>
      <c r="L1051" t="str">
        <f t="shared" si="208"/>
        <v>C1050</v>
      </c>
      <c r="M1051" t="str">
        <f t="shared" si="209"/>
        <v>Female</v>
      </c>
      <c r="N1051" t="str">
        <f t="shared" si="210"/>
        <v>Bachelor's Type 2</v>
      </c>
      <c r="O1051" t="str">
        <f t="shared" si="211"/>
        <v>Mid Level</v>
      </c>
      <c r="P1051" t="str">
        <f t="shared" si="212"/>
        <v>Low</v>
      </c>
      <c r="Q1051" t="str">
        <f t="shared" si="213"/>
        <v>Beginner</v>
      </c>
      <c r="R1051" t="str">
        <f t="shared" si="214"/>
        <v>Needs Improvement</v>
      </c>
      <c r="S1051" t="str">
        <f t="shared" si="215"/>
        <v>Not Hired</v>
      </c>
      <c r="T1051">
        <f t="shared" si="216"/>
        <v>25</v>
      </c>
      <c r="U1051" t="str">
        <f t="shared" si="217"/>
        <v>Needs Improvement</v>
      </c>
      <c r="V1051" t="str">
        <f t="shared" si="218"/>
        <v>Technical Skills</v>
      </c>
      <c r="W1051" t="str">
        <f t="shared" si="219"/>
        <v>Interview Preparation</v>
      </c>
      <c r="X1051" t="str">
        <f t="shared" si="220"/>
        <v>Improve interview preparation and communication</v>
      </c>
    </row>
    <row r="1052" spans="1:24" x14ac:dyDescent="0.3">
      <c r="A1052">
        <v>26</v>
      </c>
      <c r="B1052">
        <v>0</v>
      </c>
      <c r="C1052">
        <v>1</v>
      </c>
      <c r="D1052">
        <v>15</v>
      </c>
      <c r="E1052">
        <v>1</v>
      </c>
      <c r="F1052">
        <v>6.8491523192628696</v>
      </c>
      <c r="G1052">
        <v>12</v>
      </c>
      <c r="H1052">
        <v>92</v>
      </c>
      <c r="I1052">
        <v>8</v>
      </c>
      <c r="J1052">
        <v>1</v>
      </c>
      <c r="K1052">
        <v>1</v>
      </c>
      <c r="L1052" t="str">
        <f t="shared" si="208"/>
        <v>C1051</v>
      </c>
      <c r="M1052" t="str">
        <f t="shared" si="209"/>
        <v>Male</v>
      </c>
      <c r="N1052" t="str">
        <f t="shared" si="210"/>
        <v>Bachelor's Type 1</v>
      </c>
      <c r="O1052" t="str">
        <f t="shared" si="211"/>
        <v>Senior Level</v>
      </c>
      <c r="P1052" t="str">
        <f t="shared" si="212"/>
        <v>Low</v>
      </c>
      <c r="Q1052" t="str">
        <f t="shared" si="213"/>
        <v>Advanced</v>
      </c>
      <c r="R1052" t="str">
        <f t="shared" si="214"/>
        <v>Needs Improvement</v>
      </c>
      <c r="S1052" t="str">
        <f t="shared" si="215"/>
        <v>Hired</v>
      </c>
      <c r="T1052">
        <f t="shared" si="216"/>
        <v>50</v>
      </c>
      <c r="U1052" t="str">
        <f t="shared" si="217"/>
        <v>Developing</v>
      </c>
      <c r="V1052" t="str">
        <f t="shared" si="218"/>
        <v>Technical Skills</v>
      </c>
      <c r="W1052" t="str">
        <f t="shared" si="219"/>
        <v>Personality &amp; Communication</v>
      </c>
      <c r="X1052" t="str">
        <f t="shared" si="220"/>
        <v>Work on communication and personality development</v>
      </c>
    </row>
    <row r="1053" spans="1:24" x14ac:dyDescent="0.3">
      <c r="A1053">
        <v>45</v>
      </c>
      <c r="B1053">
        <v>0</v>
      </c>
      <c r="C1053">
        <v>2</v>
      </c>
      <c r="D1053">
        <v>5</v>
      </c>
      <c r="E1053">
        <v>2</v>
      </c>
      <c r="F1053">
        <v>23.663373037751001</v>
      </c>
      <c r="G1053">
        <v>57</v>
      </c>
      <c r="H1053">
        <v>56</v>
      </c>
      <c r="I1053">
        <v>60</v>
      </c>
      <c r="J1053">
        <v>3</v>
      </c>
      <c r="K1053">
        <v>0</v>
      </c>
      <c r="L1053" t="str">
        <f t="shared" si="208"/>
        <v>C1052</v>
      </c>
      <c r="M1053" t="str">
        <f t="shared" si="209"/>
        <v>Male</v>
      </c>
      <c r="N1053" t="str">
        <f t="shared" si="210"/>
        <v>Bachelor's Type 2</v>
      </c>
      <c r="O1053" t="str">
        <f t="shared" si="211"/>
        <v>Mid Level</v>
      </c>
      <c r="P1053" t="str">
        <f t="shared" si="212"/>
        <v>Average</v>
      </c>
      <c r="Q1053" t="str">
        <f t="shared" si="213"/>
        <v>Intermediate</v>
      </c>
      <c r="R1053" t="str">
        <f t="shared" si="214"/>
        <v>Good</v>
      </c>
      <c r="S1053" t="str">
        <f t="shared" si="215"/>
        <v>Not Hired</v>
      </c>
      <c r="T1053">
        <f t="shared" si="216"/>
        <v>53</v>
      </c>
      <c r="U1053" t="str">
        <f t="shared" si="217"/>
        <v>Developing</v>
      </c>
      <c r="V1053" t="str">
        <f t="shared" si="218"/>
        <v>Personality</v>
      </c>
      <c r="W1053" t="str">
        <f t="shared" si="219"/>
        <v>Technical Skills</v>
      </c>
      <c r="X1053" t="str">
        <f t="shared" si="220"/>
        <v>Strengthen technical skills and practical knowledge</v>
      </c>
    </row>
    <row r="1054" spans="1:24" x14ac:dyDescent="0.3">
      <c r="A1054">
        <v>45</v>
      </c>
      <c r="B1054">
        <v>0</v>
      </c>
      <c r="C1054">
        <v>2</v>
      </c>
      <c r="D1054">
        <v>9</v>
      </c>
      <c r="E1054">
        <v>5</v>
      </c>
      <c r="F1054">
        <v>43.658790612890002</v>
      </c>
      <c r="G1054">
        <v>2</v>
      </c>
      <c r="H1054">
        <v>86</v>
      </c>
      <c r="I1054">
        <v>19</v>
      </c>
      <c r="J1054">
        <v>2</v>
      </c>
      <c r="K1054">
        <v>0</v>
      </c>
      <c r="L1054" t="str">
        <f t="shared" si="208"/>
        <v>C1053</v>
      </c>
      <c r="M1054" t="str">
        <f t="shared" si="209"/>
        <v>Male</v>
      </c>
      <c r="N1054" t="str">
        <f t="shared" si="210"/>
        <v>Bachelor's Type 2</v>
      </c>
      <c r="O1054" t="str">
        <f t="shared" si="211"/>
        <v>Senior Level</v>
      </c>
      <c r="P1054" t="str">
        <f t="shared" si="212"/>
        <v>Low</v>
      </c>
      <c r="Q1054" t="str">
        <f t="shared" si="213"/>
        <v>Advanced</v>
      </c>
      <c r="R1054" t="str">
        <f t="shared" si="214"/>
        <v>Needs Improvement</v>
      </c>
      <c r="S1054" t="str">
        <f t="shared" si="215"/>
        <v>Not Hired</v>
      </c>
      <c r="T1054">
        <f t="shared" si="216"/>
        <v>42</v>
      </c>
      <c r="U1054" t="str">
        <f t="shared" si="217"/>
        <v>Needs Improvement</v>
      </c>
      <c r="V1054" t="str">
        <f t="shared" si="218"/>
        <v>Technical Skills</v>
      </c>
      <c r="W1054" t="str">
        <f t="shared" si="219"/>
        <v>Interview Preparation</v>
      </c>
      <c r="X1054" t="str">
        <f t="shared" si="220"/>
        <v>Improve interview preparation and communication</v>
      </c>
    </row>
    <row r="1055" spans="1:24" x14ac:dyDescent="0.3">
      <c r="A1055">
        <v>21</v>
      </c>
      <c r="B1055">
        <v>1</v>
      </c>
      <c r="C1055">
        <v>3</v>
      </c>
      <c r="D1055">
        <v>7</v>
      </c>
      <c r="E1055">
        <v>1</v>
      </c>
      <c r="F1055">
        <v>30.066050986252598</v>
      </c>
      <c r="G1055">
        <v>34</v>
      </c>
      <c r="H1055">
        <v>16</v>
      </c>
      <c r="I1055">
        <v>49</v>
      </c>
      <c r="J1055">
        <v>1</v>
      </c>
      <c r="K1055">
        <v>1</v>
      </c>
      <c r="L1055" t="str">
        <f t="shared" si="208"/>
        <v>C1054</v>
      </c>
      <c r="M1055" t="str">
        <f t="shared" si="209"/>
        <v>Female</v>
      </c>
      <c r="N1055" t="str">
        <f t="shared" si="210"/>
        <v>Master's</v>
      </c>
      <c r="O1055" t="str">
        <f t="shared" si="211"/>
        <v>Senior Level</v>
      </c>
      <c r="P1055" t="str">
        <f t="shared" si="212"/>
        <v>Low</v>
      </c>
      <c r="Q1055" t="str">
        <f t="shared" si="213"/>
        <v>Beginner</v>
      </c>
      <c r="R1055" t="str">
        <f t="shared" si="214"/>
        <v>Needs Improvement</v>
      </c>
      <c r="S1055" t="str">
        <f t="shared" si="215"/>
        <v>Hired</v>
      </c>
      <c r="T1055">
        <f t="shared" si="216"/>
        <v>36</v>
      </c>
      <c r="U1055" t="str">
        <f t="shared" si="217"/>
        <v>Needs Improvement</v>
      </c>
      <c r="V1055" t="str">
        <f t="shared" si="218"/>
        <v>Personality</v>
      </c>
      <c r="W1055" t="str">
        <f t="shared" si="219"/>
        <v>Technical Skills</v>
      </c>
      <c r="X1055" t="str">
        <f t="shared" si="220"/>
        <v>Strengthen technical skills and practical knowledge</v>
      </c>
    </row>
    <row r="1056" spans="1:24" x14ac:dyDescent="0.3">
      <c r="A1056">
        <v>41</v>
      </c>
      <c r="B1056">
        <v>0</v>
      </c>
      <c r="C1056">
        <v>1</v>
      </c>
      <c r="D1056">
        <v>15</v>
      </c>
      <c r="E1056">
        <v>1</v>
      </c>
      <c r="F1056">
        <v>4.9464927519206103</v>
      </c>
      <c r="G1056">
        <v>96</v>
      </c>
      <c r="H1056">
        <v>59</v>
      </c>
      <c r="I1056">
        <v>79</v>
      </c>
      <c r="J1056">
        <v>1</v>
      </c>
      <c r="K1056">
        <v>1</v>
      </c>
      <c r="L1056" t="str">
        <f t="shared" si="208"/>
        <v>C1055</v>
      </c>
      <c r="M1056" t="str">
        <f t="shared" si="209"/>
        <v>Male</v>
      </c>
      <c r="N1056" t="str">
        <f t="shared" si="210"/>
        <v>Bachelor's Type 1</v>
      </c>
      <c r="O1056" t="str">
        <f t="shared" si="211"/>
        <v>Senior Level</v>
      </c>
      <c r="P1056" t="str">
        <f t="shared" si="212"/>
        <v>Strong</v>
      </c>
      <c r="Q1056" t="str">
        <f t="shared" si="213"/>
        <v>Intermediate</v>
      </c>
      <c r="R1056" t="str">
        <f t="shared" si="214"/>
        <v>Strong</v>
      </c>
      <c r="S1056" t="str">
        <f t="shared" si="215"/>
        <v>Hired</v>
      </c>
      <c r="T1056">
        <f t="shared" si="216"/>
        <v>80</v>
      </c>
      <c r="U1056" t="str">
        <f t="shared" si="217"/>
        <v>Job Ready</v>
      </c>
      <c r="V1056" t="str">
        <f t="shared" si="218"/>
        <v>Interview</v>
      </c>
      <c r="W1056" t="str">
        <f t="shared" si="219"/>
        <v>Technical Skills</v>
      </c>
      <c r="X1056" t="str">
        <f t="shared" si="220"/>
        <v>Strengthen technical skills and practical knowledge</v>
      </c>
    </row>
    <row r="1057" spans="1:24" x14ac:dyDescent="0.3">
      <c r="A1057">
        <v>41</v>
      </c>
      <c r="B1057">
        <v>1</v>
      </c>
      <c r="C1057">
        <v>3</v>
      </c>
      <c r="D1057">
        <v>13</v>
      </c>
      <c r="E1057">
        <v>3</v>
      </c>
      <c r="F1057">
        <v>10.583565941513699</v>
      </c>
      <c r="G1057">
        <v>20</v>
      </c>
      <c r="H1057">
        <v>8</v>
      </c>
      <c r="I1057">
        <v>80</v>
      </c>
      <c r="J1057">
        <v>2</v>
      </c>
      <c r="K1057">
        <v>0</v>
      </c>
      <c r="L1057" t="str">
        <f t="shared" si="208"/>
        <v>C1056</v>
      </c>
      <c r="M1057" t="str">
        <f t="shared" si="209"/>
        <v>Female</v>
      </c>
      <c r="N1057" t="str">
        <f t="shared" si="210"/>
        <v>Master's</v>
      </c>
      <c r="O1057" t="str">
        <f t="shared" si="211"/>
        <v>Senior Level</v>
      </c>
      <c r="P1057" t="str">
        <f t="shared" si="212"/>
        <v>Low</v>
      </c>
      <c r="Q1057" t="str">
        <f t="shared" si="213"/>
        <v>Beginner</v>
      </c>
      <c r="R1057" t="str">
        <f t="shared" si="214"/>
        <v>Strong</v>
      </c>
      <c r="S1057" t="str">
        <f t="shared" si="215"/>
        <v>Not Hired</v>
      </c>
      <c r="T1057">
        <f t="shared" si="216"/>
        <v>41</v>
      </c>
      <c r="U1057" t="str">
        <f t="shared" si="217"/>
        <v>Needs Improvement</v>
      </c>
      <c r="V1057" t="str">
        <f t="shared" si="218"/>
        <v>Personality</v>
      </c>
      <c r="W1057" t="str">
        <f t="shared" si="219"/>
        <v>Technical Skills</v>
      </c>
      <c r="X1057" t="str">
        <f t="shared" si="220"/>
        <v>Strengthen technical skills and practical knowledge</v>
      </c>
    </row>
    <row r="1058" spans="1:24" x14ac:dyDescent="0.3">
      <c r="A1058">
        <v>22</v>
      </c>
      <c r="B1058">
        <v>1</v>
      </c>
      <c r="C1058">
        <v>3</v>
      </c>
      <c r="D1058">
        <v>7</v>
      </c>
      <c r="E1058">
        <v>2</v>
      </c>
      <c r="F1058">
        <v>24.727217507927801</v>
      </c>
      <c r="G1058">
        <v>63</v>
      </c>
      <c r="H1058">
        <v>35</v>
      </c>
      <c r="I1058">
        <v>21</v>
      </c>
      <c r="J1058">
        <v>2</v>
      </c>
      <c r="K1058">
        <v>0</v>
      </c>
      <c r="L1058" t="str">
        <f t="shared" si="208"/>
        <v>C1057</v>
      </c>
      <c r="M1058" t="str">
        <f t="shared" si="209"/>
        <v>Female</v>
      </c>
      <c r="N1058" t="str">
        <f t="shared" si="210"/>
        <v>Master's</v>
      </c>
      <c r="O1058" t="str">
        <f t="shared" si="211"/>
        <v>Senior Level</v>
      </c>
      <c r="P1058" t="str">
        <f t="shared" si="212"/>
        <v>Average</v>
      </c>
      <c r="Q1058" t="str">
        <f t="shared" si="213"/>
        <v>Beginner</v>
      </c>
      <c r="R1058" t="str">
        <f t="shared" si="214"/>
        <v>Needs Improvement</v>
      </c>
      <c r="S1058" t="str">
        <f t="shared" si="215"/>
        <v>Not Hired</v>
      </c>
      <c r="T1058">
        <f t="shared" si="216"/>
        <v>44</v>
      </c>
      <c r="U1058" t="str">
        <f t="shared" si="217"/>
        <v>Needs Improvement</v>
      </c>
      <c r="V1058" t="str">
        <f t="shared" si="218"/>
        <v>Interview</v>
      </c>
      <c r="W1058" t="str">
        <f t="shared" si="219"/>
        <v>Personality &amp; Communication</v>
      </c>
      <c r="X1058" t="str">
        <f t="shared" si="220"/>
        <v>Work on communication and personality development</v>
      </c>
    </row>
    <row r="1059" spans="1:24" x14ac:dyDescent="0.3">
      <c r="A1059">
        <v>46</v>
      </c>
      <c r="B1059">
        <v>1</v>
      </c>
      <c r="C1059">
        <v>2</v>
      </c>
      <c r="D1059">
        <v>2</v>
      </c>
      <c r="E1059">
        <v>3</v>
      </c>
      <c r="F1059">
        <v>19.074357491090598</v>
      </c>
      <c r="G1059">
        <v>94</v>
      </c>
      <c r="H1059">
        <v>72</v>
      </c>
      <c r="I1059">
        <v>12</v>
      </c>
      <c r="J1059">
        <v>1</v>
      </c>
      <c r="K1059">
        <v>1</v>
      </c>
      <c r="L1059" t="str">
        <f t="shared" si="208"/>
        <v>C1058</v>
      </c>
      <c r="M1059" t="str">
        <f t="shared" si="209"/>
        <v>Female</v>
      </c>
      <c r="N1059" t="str">
        <f t="shared" si="210"/>
        <v>Bachelor's Type 2</v>
      </c>
      <c r="O1059" t="str">
        <f t="shared" si="211"/>
        <v>Entry Level</v>
      </c>
      <c r="P1059" t="str">
        <f t="shared" si="212"/>
        <v>Strong</v>
      </c>
      <c r="Q1059" t="str">
        <f t="shared" si="213"/>
        <v>Intermediate</v>
      </c>
      <c r="R1059" t="str">
        <f t="shared" si="214"/>
        <v>Needs Improvement</v>
      </c>
      <c r="S1059" t="str">
        <f t="shared" si="215"/>
        <v>Hired</v>
      </c>
      <c r="T1059">
        <f t="shared" si="216"/>
        <v>57</v>
      </c>
      <c r="U1059" t="str">
        <f t="shared" si="217"/>
        <v>Developing</v>
      </c>
      <c r="V1059" t="str">
        <f t="shared" si="218"/>
        <v>Interview</v>
      </c>
      <c r="W1059" t="str">
        <f t="shared" si="219"/>
        <v>Personality &amp; Communication</v>
      </c>
      <c r="X1059" t="str">
        <f t="shared" si="220"/>
        <v>Work on communication and personality development</v>
      </c>
    </row>
    <row r="1060" spans="1:24" x14ac:dyDescent="0.3">
      <c r="A1060">
        <v>37</v>
      </c>
      <c r="B1060">
        <v>1</v>
      </c>
      <c r="C1060">
        <v>3</v>
      </c>
      <c r="D1060">
        <v>11</v>
      </c>
      <c r="E1060">
        <v>2</v>
      </c>
      <c r="F1060">
        <v>18.936350977304901</v>
      </c>
      <c r="G1060">
        <v>51</v>
      </c>
      <c r="H1060">
        <v>79</v>
      </c>
      <c r="I1060">
        <v>11</v>
      </c>
      <c r="J1060">
        <v>1</v>
      </c>
      <c r="K1060">
        <v>1</v>
      </c>
      <c r="L1060" t="str">
        <f t="shared" si="208"/>
        <v>C1059</v>
      </c>
      <c r="M1060" t="str">
        <f t="shared" si="209"/>
        <v>Female</v>
      </c>
      <c r="N1060" t="str">
        <f t="shared" si="210"/>
        <v>Master's</v>
      </c>
      <c r="O1060" t="str">
        <f t="shared" si="211"/>
        <v>Senior Level</v>
      </c>
      <c r="P1060" t="str">
        <f t="shared" si="212"/>
        <v>Average</v>
      </c>
      <c r="Q1060" t="str">
        <f t="shared" si="213"/>
        <v>Advanced</v>
      </c>
      <c r="R1060" t="str">
        <f t="shared" si="214"/>
        <v>Needs Improvement</v>
      </c>
      <c r="S1060" t="str">
        <f t="shared" si="215"/>
        <v>Hired</v>
      </c>
      <c r="T1060">
        <f t="shared" si="216"/>
        <v>56</v>
      </c>
      <c r="U1060" t="str">
        <f t="shared" si="217"/>
        <v>Developing</v>
      </c>
      <c r="V1060" t="str">
        <f t="shared" si="218"/>
        <v>Technical Skills</v>
      </c>
      <c r="W1060" t="str">
        <f t="shared" si="219"/>
        <v>Personality &amp; Communication</v>
      </c>
      <c r="X1060" t="str">
        <f t="shared" si="220"/>
        <v>Work on communication and personality development</v>
      </c>
    </row>
    <row r="1061" spans="1:24" x14ac:dyDescent="0.3">
      <c r="A1061">
        <v>31</v>
      </c>
      <c r="B1061">
        <v>1</v>
      </c>
      <c r="C1061">
        <v>2</v>
      </c>
      <c r="D1061">
        <v>15</v>
      </c>
      <c r="E1061">
        <v>4</v>
      </c>
      <c r="F1061">
        <v>27.463372407179499</v>
      </c>
      <c r="G1061">
        <v>33</v>
      </c>
      <c r="H1061">
        <v>35</v>
      </c>
      <c r="I1061">
        <v>9</v>
      </c>
      <c r="J1061">
        <v>2</v>
      </c>
      <c r="K1061">
        <v>0</v>
      </c>
      <c r="L1061" t="str">
        <f t="shared" si="208"/>
        <v>C1060</v>
      </c>
      <c r="M1061" t="str">
        <f t="shared" si="209"/>
        <v>Female</v>
      </c>
      <c r="N1061" t="str">
        <f t="shared" si="210"/>
        <v>Bachelor's Type 2</v>
      </c>
      <c r="O1061" t="str">
        <f t="shared" si="211"/>
        <v>Senior Level</v>
      </c>
      <c r="P1061" t="str">
        <f t="shared" si="212"/>
        <v>Low</v>
      </c>
      <c r="Q1061" t="str">
        <f t="shared" si="213"/>
        <v>Beginner</v>
      </c>
      <c r="R1061" t="str">
        <f t="shared" si="214"/>
        <v>Needs Improvement</v>
      </c>
      <c r="S1061" t="str">
        <f t="shared" si="215"/>
        <v>Not Hired</v>
      </c>
      <c r="T1061">
        <f t="shared" si="216"/>
        <v>40</v>
      </c>
      <c r="U1061" t="str">
        <f t="shared" si="217"/>
        <v>Needs Improvement</v>
      </c>
      <c r="V1061" t="str">
        <f t="shared" si="218"/>
        <v>Technical Skills</v>
      </c>
      <c r="W1061" t="str">
        <f t="shared" si="219"/>
        <v>Personality &amp; Communication</v>
      </c>
      <c r="X1061" t="str">
        <f t="shared" si="220"/>
        <v>Work on communication and personality development</v>
      </c>
    </row>
    <row r="1062" spans="1:24" x14ac:dyDescent="0.3">
      <c r="A1062">
        <v>20</v>
      </c>
      <c r="B1062">
        <v>1</v>
      </c>
      <c r="C1062">
        <v>2</v>
      </c>
      <c r="D1062">
        <v>11</v>
      </c>
      <c r="E1062">
        <v>3</v>
      </c>
      <c r="F1062">
        <v>30.2197960794728</v>
      </c>
      <c r="G1062">
        <v>95</v>
      </c>
      <c r="H1062">
        <v>47</v>
      </c>
      <c r="I1062">
        <v>64</v>
      </c>
      <c r="J1062">
        <v>1</v>
      </c>
      <c r="K1062">
        <v>1</v>
      </c>
      <c r="L1062" t="str">
        <f t="shared" si="208"/>
        <v>C1061</v>
      </c>
      <c r="M1062" t="str">
        <f t="shared" si="209"/>
        <v>Female</v>
      </c>
      <c r="N1062" t="str">
        <f t="shared" si="210"/>
        <v>Bachelor's Type 2</v>
      </c>
      <c r="O1062" t="str">
        <f t="shared" si="211"/>
        <v>Senior Level</v>
      </c>
      <c r="P1062" t="str">
        <f t="shared" si="212"/>
        <v>Strong</v>
      </c>
      <c r="Q1062" t="str">
        <f t="shared" si="213"/>
        <v>Beginner</v>
      </c>
      <c r="R1062" t="str">
        <f t="shared" si="214"/>
        <v>Good</v>
      </c>
      <c r="S1062" t="str">
        <f t="shared" si="215"/>
        <v>Hired</v>
      </c>
      <c r="T1062">
        <f t="shared" si="216"/>
        <v>69</v>
      </c>
      <c r="U1062" t="str">
        <f t="shared" si="217"/>
        <v>Developing</v>
      </c>
      <c r="V1062" t="str">
        <f t="shared" si="218"/>
        <v>Interview</v>
      </c>
      <c r="W1062" t="str">
        <f t="shared" si="219"/>
        <v>Technical Skills</v>
      </c>
      <c r="X1062" t="str">
        <f t="shared" si="220"/>
        <v>Strengthen technical skills and practical knowledge</v>
      </c>
    </row>
    <row r="1063" spans="1:24" x14ac:dyDescent="0.3">
      <c r="A1063">
        <v>41</v>
      </c>
      <c r="B1063">
        <v>1</v>
      </c>
      <c r="C1063">
        <v>2</v>
      </c>
      <c r="D1063">
        <v>13</v>
      </c>
      <c r="E1063">
        <v>3</v>
      </c>
      <c r="F1063">
        <v>40.843078513809502</v>
      </c>
      <c r="G1063">
        <v>34</v>
      </c>
      <c r="H1063">
        <v>50</v>
      </c>
      <c r="I1063">
        <v>95</v>
      </c>
      <c r="J1063">
        <v>3</v>
      </c>
      <c r="K1063">
        <v>0</v>
      </c>
      <c r="L1063" t="str">
        <f t="shared" si="208"/>
        <v>C1062</v>
      </c>
      <c r="M1063" t="str">
        <f t="shared" si="209"/>
        <v>Female</v>
      </c>
      <c r="N1063" t="str">
        <f t="shared" si="210"/>
        <v>Bachelor's Type 2</v>
      </c>
      <c r="O1063" t="str">
        <f t="shared" si="211"/>
        <v>Senior Level</v>
      </c>
      <c r="P1063" t="str">
        <f t="shared" si="212"/>
        <v>Low</v>
      </c>
      <c r="Q1063" t="str">
        <f t="shared" si="213"/>
        <v>Intermediate</v>
      </c>
      <c r="R1063" t="str">
        <f t="shared" si="214"/>
        <v>Strong</v>
      </c>
      <c r="S1063" t="str">
        <f t="shared" si="215"/>
        <v>Not Hired</v>
      </c>
      <c r="T1063">
        <f t="shared" si="216"/>
        <v>60</v>
      </c>
      <c r="U1063" t="str">
        <f t="shared" si="217"/>
        <v>Developing</v>
      </c>
      <c r="V1063" t="str">
        <f t="shared" si="218"/>
        <v>Personality</v>
      </c>
      <c r="W1063" t="str">
        <f t="shared" si="219"/>
        <v>Interview Preparation</v>
      </c>
      <c r="X1063" t="str">
        <f t="shared" si="220"/>
        <v>Improve interview preparation and communication</v>
      </c>
    </row>
    <row r="1064" spans="1:24" x14ac:dyDescent="0.3">
      <c r="A1064">
        <v>31</v>
      </c>
      <c r="B1064">
        <v>1</v>
      </c>
      <c r="C1064">
        <v>2</v>
      </c>
      <c r="D1064">
        <v>6</v>
      </c>
      <c r="E1064">
        <v>5</v>
      </c>
      <c r="F1064">
        <v>18.048328173124201</v>
      </c>
      <c r="G1064">
        <v>14</v>
      </c>
      <c r="H1064">
        <v>96</v>
      </c>
      <c r="I1064">
        <v>29</v>
      </c>
      <c r="J1064">
        <v>2</v>
      </c>
      <c r="K1064">
        <v>0</v>
      </c>
      <c r="L1064" t="str">
        <f t="shared" si="208"/>
        <v>C1063</v>
      </c>
      <c r="M1064" t="str">
        <f t="shared" si="209"/>
        <v>Female</v>
      </c>
      <c r="N1064" t="str">
        <f t="shared" si="210"/>
        <v>Bachelor's Type 2</v>
      </c>
      <c r="O1064" t="str">
        <f t="shared" si="211"/>
        <v>Mid Level</v>
      </c>
      <c r="P1064" t="str">
        <f t="shared" si="212"/>
        <v>Low</v>
      </c>
      <c r="Q1064" t="str">
        <f t="shared" si="213"/>
        <v>Advanced</v>
      </c>
      <c r="R1064" t="str">
        <f t="shared" si="214"/>
        <v>Needs Improvement</v>
      </c>
      <c r="S1064" t="str">
        <f t="shared" si="215"/>
        <v>Not Hired</v>
      </c>
      <c r="T1064">
        <f t="shared" si="216"/>
        <v>47</v>
      </c>
      <c r="U1064" t="str">
        <f t="shared" si="217"/>
        <v>Needs Improvement</v>
      </c>
      <c r="V1064" t="str">
        <f t="shared" si="218"/>
        <v>Technical Skills</v>
      </c>
      <c r="W1064" t="str">
        <f t="shared" si="219"/>
        <v>Interview Preparation</v>
      </c>
      <c r="X1064" t="str">
        <f t="shared" si="220"/>
        <v>Improve interview preparation and communication</v>
      </c>
    </row>
    <row r="1065" spans="1:24" x14ac:dyDescent="0.3">
      <c r="A1065">
        <v>24</v>
      </c>
      <c r="B1065">
        <v>1</v>
      </c>
      <c r="C1065">
        <v>2</v>
      </c>
      <c r="D1065">
        <v>0</v>
      </c>
      <c r="E1065">
        <v>3</v>
      </c>
      <c r="F1065">
        <v>41.2733141520293</v>
      </c>
      <c r="G1065">
        <v>95</v>
      </c>
      <c r="H1065">
        <v>94</v>
      </c>
      <c r="I1065">
        <v>7</v>
      </c>
      <c r="J1065">
        <v>2</v>
      </c>
      <c r="K1065">
        <v>0</v>
      </c>
      <c r="L1065" t="str">
        <f t="shared" si="208"/>
        <v>C1064</v>
      </c>
      <c r="M1065" t="str">
        <f t="shared" si="209"/>
        <v>Female</v>
      </c>
      <c r="N1065" t="str">
        <f t="shared" si="210"/>
        <v>Bachelor's Type 2</v>
      </c>
      <c r="O1065" t="str">
        <f t="shared" si="211"/>
        <v>Entry Level</v>
      </c>
      <c r="P1065" t="str">
        <f t="shared" si="212"/>
        <v>Strong</v>
      </c>
      <c r="Q1065" t="str">
        <f t="shared" si="213"/>
        <v>Advanced</v>
      </c>
      <c r="R1065" t="str">
        <f t="shared" si="214"/>
        <v>Needs Improvement</v>
      </c>
      <c r="S1065" t="str">
        <f t="shared" si="215"/>
        <v>Not Hired</v>
      </c>
      <c r="T1065">
        <f t="shared" si="216"/>
        <v>61</v>
      </c>
      <c r="U1065" t="str">
        <f t="shared" si="217"/>
        <v>Developing</v>
      </c>
      <c r="V1065" t="str">
        <f t="shared" si="218"/>
        <v>Interview</v>
      </c>
      <c r="W1065" t="str">
        <f t="shared" si="219"/>
        <v>Personality &amp; Communication</v>
      </c>
      <c r="X1065" t="str">
        <f t="shared" si="220"/>
        <v>Work on communication and personality development</v>
      </c>
    </row>
    <row r="1066" spans="1:24" x14ac:dyDescent="0.3">
      <c r="A1066">
        <v>49</v>
      </c>
      <c r="B1066">
        <v>0</v>
      </c>
      <c r="C1066">
        <v>2</v>
      </c>
      <c r="D1066">
        <v>0</v>
      </c>
      <c r="E1066">
        <v>2</v>
      </c>
      <c r="F1066">
        <v>17.930561455631601</v>
      </c>
      <c r="G1066">
        <v>5</v>
      </c>
      <c r="H1066">
        <v>69</v>
      </c>
      <c r="I1066">
        <v>20</v>
      </c>
      <c r="J1066">
        <v>2</v>
      </c>
      <c r="K1066">
        <v>0</v>
      </c>
      <c r="L1066" t="str">
        <f t="shared" si="208"/>
        <v>C1065</v>
      </c>
      <c r="M1066" t="str">
        <f t="shared" si="209"/>
        <v>Male</v>
      </c>
      <c r="N1066" t="str">
        <f t="shared" si="210"/>
        <v>Bachelor's Type 2</v>
      </c>
      <c r="O1066" t="str">
        <f t="shared" si="211"/>
        <v>Entry Level</v>
      </c>
      <c r="P1066" t="str">
        <f t="shared" si="212"/>
        <v>Low</v>
      </c>
      <c r="Q1066" t="str">
        <f t="shared" si="213"/>
        <v>Intermediate</v>
      </c>
      <c r="R1066" t="str">
        <f t="shared" si="214"/>
        <v>Needs Improvement</v>
      </c>
      <c r="S1066" t="str">
        <f t="shared" si="215"/>
        <v>Not Hired</v>
      </c>
      <c r="T1066">
        <f t="shared" si="216"/>
        <v>29</v>
      </c>
      <c r="U1066" t="str">
        <f t="shared" si="217"/>
        <v>Needs Improvement</v>
      </c>
      <c r="V1066" t="str">
        <f t="shared" si="218"/>
        <v>Technical Skills</v>
      </c>
      <c r="W1066" t="str">
        <f t="shared" si="219"/>
        <v>Interview Preparation</v>
      </c>
      <c r="X1066" t="str">
        <f t="shared" si="220"/>
        <v>Improve interview preparation and communication</v>
      </c>
    </row>
    <row r="1067" spans="1:24" x14ac:dyDescent="0.3">
      <c r="A1067">
        <v>49</v>
      </c>
      <c r="B1067">
        <v>0</v>
      </c>
      <c r="C1067">
        <v>2</v>
      </c>
      <c r="D1067">
        <v>6</v>
      </c>
      <c r="E1067">
        <v>5</v>
      </c>
      <c r="F1067">
        <v>3.7716494470616899</v>
      </c>
      <c r="G1067">
        <v>84</v>
      </c>
      <c r="H1067">
        <v>73</v>
      </c>
      <c r="I1067">
        <v>21</v>
      </c>
      <c r="J1067">
        <v>1</v>
      </c>
      <c r="K1067">
        <v>1</v>
      </c>
      <c r="L1067" t="str">
        <f t="shared" si="208"/>
        <v>C1066</v>
      </c>
      <c r="M1067" t="str">
        <f t="shared" si="209"/>
        <v>Male</v>
      </c>
      <c r="N1067" t="str">
        <f t="shared" si="210"/>
        <v>Bachelor's Type 2</v>
      </c>
      <c r="O1067" t="str">
        <f t="shared" si="211"/>
        <v>Mid Level</v>
      </c>
      <c r="P1067" t="str">
        <f t="shared" si="212"/>
        <v>Strong</v>
      </c>
      <c r="Q1067" t="str">
        <f t="shared" si="213"/>
        <v>Intermediate</v>
      </c>
      <c r="R1067" t="str">
        <f t="shared" si="214"/>
        <v>Needs Improvement</v>
      </c>
      <c r="S1067" t="str">
        <f t="shared" si="215"/>
        <v>Hired</v>
      </c>
      <c r="T1067">
        <f t="shared" si="216"/>
        <v>60</v>
      </c>
      <c r="U1067" t="str">
        <f t="shared" si="217"/>
        <v>Developing</v>
      </c>
      <c r="V1067" t="str">
        <f t="shared" si="218"/>
        <v>Interview</v>
      </c>
      <c r="W1067" t="str">
        <f t="shared" si="219"/>
        <v>Personality &amp; Communication</v>
      </c>
      <c r="X1067" t="str">
        <f t="shared" si="220"/>
        <v>Work on communication and personality development</v>
      </c>
    </row>
    <row r="1068" spans="1:24" x14ac:dyDescent="0.3">
      <c r="A1068">
        <v>46</v>
      </c>
      <c r="B1068">
        <v>0</v>
      </c>
      <c r="C1068">
        <v>2</v>
      </c>
      <c r="D1068">
        <v>14</v>
      </c>
      <c r="E1068">
        <v>3</v>
      </c>
      <c r="F1068">
        <v>28.7093825502395</v>
      </c>
      <c r="G1068">
        <v>96</v>
      </c>
      <c r="H1068">
        <v>79</v>
      </c>
      <c r="I1068">
        <v>17</v>
      </c>
      <c r="J1068">
        <v>3</v>
      </c>
      <c r="K1068">
        <v>0</v>
      </c>
      <c r="L1068" t="str">
        <f t="shared" si="208"/>
        <v>C1067</v>
      </c>
      <c r="M1068" t="str">
        <f t="shared" si="209"/>
        <v>Male</v>
      </c>
      <c r="N1068" t="str">
        <f t="shared" si="210"/>
        <v>Bachelor's Type 2</v>
      </c>
      <c r="O1068" t="str">
        <f t="shared" si="211"/>
        <v>Senior Level</v>
      </c>
      <c r="P1068" t="str">
        <f t="shared" si="212"/>
        <v>Strong</v>
      </c>
      <c r="Q1068" t="str">
        <f t="shared" si="213"/>
        <v>Advanced</v>
      </c>
      <c r="R1068" t="str">
        <f t="shared" si="214"/>
        <v>Needs Improvement</v>
      </c>
      <c r="S1068" t="str">
        <f t="shared" si="215"/>
        <v>Not Hired</v>
      </c>
      <c r="T1068">
        <f t="shared" si="216"/>
        <v>72</v>
      </c>
      <c r="U1068" t="str">
        <f t="shared" si="217"/>
        <v>Developing</v>
      </c>
      <c r="V1068" t="str">
        <f t="shared" si="218"/>
        <v>Interview</v>
      </c>
      <c r="W1068" t="str">
        <f t="shared" si="219"/>
        <v>Personality &amp; Communication</v>
      </c>
      <c r="X1068" t="str">
        <f t="shared" si="220"/>
        <v>Work on communication and personality development</v>
      </c>
    </row>
    <row r="1069" spans="1:24" x14ac:dyDescent="0.3">
      <c r="A1069">
        <v>44</v>
      </c>
      <c r="B1069">
        <v>0</v>
      </c>
      <c r="C1069">
        <v>1</v>
      </c>
      <c r="D1069">
        <v>14</v>
      </c>
      <c r="E1069">
        <v>3</v>
      </c>
      <c r="F1069">
        <v>30.395116244740699</v>
      </c>
      <c r="G1069">
        <v>31</v>
      </c>
      <c r="H1069">
        <v>67</v>
      </c>
      <c r="I1069">
        <v>65</v>
      </c>
      <c r="J1069">
        <v>1</v>
      </c>
      <c r="K1069">
        <v>1</v>
      </c>
      <c r="L1069" t="str">
        <f t="shared" si="208"/>
        <v>C1068</v>
      </c>
      <c r="M1069" t="str">
        <f t="shared" si="209"/>
        <v>Male</v>
      </c>
      <c r="N1069" t="str">
        <f t="shared" si="210"/>
        <v>Bachelor's Type 1</v>
      </c>
      <c r="O1069" t="str">
        <f t="shared" si="211"/>
        <v>Senior Level</v>
      </c>
      <c r="P1069" t="str">
        <f t="shared" si="212"/>
        <v>Low</v>
      </c>
      <c r="Q1069" t="str">
        <f t="shared" si="213"/>
        <v>Intermediate</v>
      </c>
      <c r="R1069" t="str">
        <f t="shared" si="214"/>
        <v>Good</v>
      </c>
      <c r="S1069" t="str">
        <f t="shared" si="215"/>
        <v>Hired</v>
      </c>
      <c r="T1069">
        <f t="shared" si="216"/>
        <v>59</v>
      </c>
      <c r="U1069" t="str">
        <f t="shared" si="217"/>
        <v>Developing</v>
      </c>
      <c r="V1069" t="str">
        <f t="shared" si="218"/>
        <v>Technical Skills</v>
      </c>
      <c r="W1069" t="str">
        <f t="shared" si="219"/>
        <v>Interview Preparation</v>
      </c>
      <c r="X1069" t="str">
        <f t="shared" si="220"/>
        <v>Improve interview preparation and communication</v>
      </c>
    </row>
    <row r="1070" spans="1:24" x14ac:dyDescent="0.3">
      <c r="A1070">
        <v>36</v>
      </c>
      <c r="B1070">
        <v>0</v>
      </c>
      <c r="C1070">
        <v>4</v>
      </c>
      <c r="D1070">
        <v>9</v>
      </c>
      <c r="E1070">
        <v>4</v>
      </c>
      <c r="F1070">
        <v>47.727012281093003</v>
      </c>
      <c r="G1070">
        <v>51</v>
      </c>
      <c r="H1070">
        <v>21</v>
      </c>
      <c r="I1070">
        <v>47</v>
      </c>
      <c r="J1070">
        <v>2</v>
      </c>
      <c r="K1070">
        <v>0</v>
      </c>
      <c r="L1070" t="str">
        <f t="shared" si="208"/>
        <v>C1069</v>
      </c>
      <c r="M1070" t="str">
        <f t="shared" si="209"/>
        <v>Male</v>
      </c>
      <c r="N1070" t="str">
        <f t="shared" si="210"/>
        <v>PhD</v>
      </c>
      <c r="O1070" t="str">
        <f t="shared" si="211"/>
        <v>Senior Level</v>
      </c>
      <c r="P1070" t="str">
        <f t="shared" si="212"/>
        <v>Average</v>
      </c>
      <c r="Q1070" t="str">
        <f t="shared" si="213"/>
        <v>Beginner</v>
      </c>
      <c r="R1070" t="str">
        <f t="shared" si="214"/>
        <v>Needs Improvement</v>
      </c>
      <c r="S1070" t="str">
        <f t="shared" si="215"/>
        <v>Not Hired</v>
      </c>
      <c r="T1070">
        <f t="shared" si="216"/>
        <v>45</v>
      </c>
      <c r="U1070" t="str">
        <f t="shared" si="217"/>
        <v>Needs Improvement</v>
      </c>
      <c r="V1070" t="str">
        <f t="shared" si="218"/>
        <v>Interview</v>
      </c>
      <c r="W1070" t="str">
        <f t="shared" si="219"/>
        <v>Technical Skills</v>
      </c>
      <c r="X1070" t="str">
        <f t="shared" si="220"/>
        <v>Strengthen technical skills and practical knowledge</v>
      </c>
    </row>
    <row r="1071" spans="1:24" x14ac:dyDescent="0.3">
      <c r="A1071">
        <v>35</v>
      </c>
      <c r="B1071">
        <v>1</v>
      </c>
      <c r="C1071">
        <v>3</v>
      </c>
      <c r="D1071">
        <v>8</v>
      </c>
      <c r="E1071">
        <v>3</v>
      </c>
      <c r="F1071">
        <v>37.3030663031237</v>
      </c>
      <c r="G1071">
        <v>82</v>
      </c>
      <c r="H1071">
        <v>76</v>
      </c>
      <c r="I1071">
        <v>43</v>
      </c>
      <c r="J1071">
        <v>2</v>
      </c>
      <c r="K1071">
        <v>1</v>
      </c>
      <c r="L1071" t="str">
        <f t="shared" si="208"/>
        <v>C1070</v>
      </c>
      <c r="M1071" t="str">
        <f t="shared" si="209"/>
        <v>Female</v>
      </c>
      <c r="N1071" t="str">
        <f t="shared" si="210"/>
        <v>Master's</v>
      </c>
      <c r="O1071" t="str">
        <f t="shared" si="211"/>
        <v>Senior Level</v>
      </c>
      <c r="P1071" t="str">
        <f t="shared" si="212"/>
        <v>Strong</v>
      </c>
      <c r="Q1071" t="str">
        <f t="shared" si="213"/>
        <v>Advanced</v>
      </c>
      <c r="R1071" t="str">
        <f t="shared" si="214"/>
        <v>Needs Improvement</v>
      </c>
      <c r="S1071" t="str">
        <f t="shared" si="215"/>
        <v>Hired</v>
      </c>
      <c r="T1071">
        <f t="shared" si="216"/>
        <v>68</v>
      </c>
      <c r="U1071" t="str">
        <f t="shared" si="217"/>
        <v>Developing</v>
      </c>
      <c r="V1071" t="str">
        <f t="shared" si="218"/>
        <v>Interview</v>
      </c>
      <c r="W1071" t="str">
        <f t="shared" si="219"/>
        <v>Personality &amp; Communication</v>
      </c>
      <c r="X1071" t="str">
        <f t="shared" si="220"/>
        <v>Work on communication and personality development</v>
      </c>
    </row>
    <row r="1072" spans="1:24" x14ac:dyDescent="0.3">
      <c r="A1072">
        <v>50</v>
      </c>
      <c r="B1072">
        <v>1</v>
      </c>
      <c r="C1072">
        <v>2</v>
      </c>
      <c r="D1072">
        <v>6</v>
      </c>
      <c r="E1072">
        <v>1</v>
      </c>
      <c r="F1072">
        <v>46.8886326247219</v>
      </c>
      <c r="G1072">
        <v>96</v>
      </c>
      <c r="H1072">
        <v>79</v>
      </c>
      <c r="I1072">
        <v>8</v>
      </c>
      <c r="J1072">
        <v>1</v>
      </c>
      <c r="K1072">
        <v>1</v>
      </c>
      <c r="L1072" t="str">
        <f t="shared" si="208"/>
        <v>C1071</v>
      </c>
      <c r="M1072" t="str">
        <f t="shared" si="209"/>
        <v>Female</v>
      </c>
      <c r="N1072" t="str">
        <f t="shared" si="210"/>
        <v>Bachelor's Type 2</v>
      </c>
      <c r="O1072" t="str">
        <f t="shared" si="211"/>
        <v>Mid Level</v>
      </c>
      <c r="P1072" t="str">
        <f t="shared" si="212"/>
        <v>Strong</v>
      </c>
      <c r="Q1072" t="str">
        <f t="shared" si="213"/>
        <v>Advanced</v>
      </c>
      <c r="R1072" t="str">
        <f t="shared" si="214"/>
        <v>Needs Improvement</v>
      </c>
      <c r="S1072" t="str">
        <f t="shared" si="215"/>
        <v>Hired</v>
      </c>
      <c r="T1072">
        <f t="shared" si="216"/>
        <v>63</v>
      </c>
      <c r="U1072" t="str">
        <f t="shared" si="217"/>
        <v>Developing</v>
      </c>
      <c r="V1072" t="str">
        <f t="shared" si="218"/>
        <v>Interview</v>
      </c>
      <c r="W1072" t="str">
        <f t="shared" si="219"/>
        <v>Personality &amp; Communication</v>
      </c>
      <c r="X1072" t="str">
        <f t="shared" si="220"/>
        <v>Work on communication and personality development</v>
      </c>
    </row>
    <row r="1073" spans="1:24" x14ac:dyDescent="0.3">
      <c r="A1073">
        <v>34</v>
      </c>
      <c r="B1073">
        <v>1</v>
      </c>
      <c r="C1073">
        <v>1</v>
      </c>
      <c r="D1073">
        <v>9</v>
      </c>
      <c r="E1073">
        <v>5</v>
      </c>
      <c r="F1073">
        <v>46.417360512150402</v>
      </c>
      <c r="G1073">
        <v>27</v>
      </c>
      <c r="H1073">
        <v>92</v>
      </c>
      <c r="I1073">
        <v>66</v>
      </c>
      <c r="J1073">
        <v>2</v>
      </c>
      <c r="K1073">
        <v>0</v>
      </c>
      <c r="L1073" t="str">
        <f t="shared" si="208"/>
        <v>C1072</v>
      </c>
      <c r="M1073" t="str">
        <f t="shared" si="209"/>
        <v>Female</v>
      </c>
      <c r="N1073" t="str">
        <f t="shared" si="210"/>
        <v>Bachelor's Type 1</v>
      </c>
      <c r="O1073" t="str">
        <f t="shared" si="211"/>
        <v>Senior Level</v>
      </c>
      <c r="P1073" t="str">
        <f t="shared" si="212"/>
        <v>Low</v>
      </c>
      <c r="Q1073" t="str">
        <f t="shared" si="213"/>
        <v>Advanced</v>
      </c>
      <c r="R1073" t="str">
        <f t="shared" si="214"/>
        <v>Good</v>
      </c>
      <c r="S1073" t="str">
        <f t="shared" si="215"/>
        <v>Not Hired</v>
      </c>
      <c r="T1073">
        <f t="shared" si="216"/>
        <v>60</v>
      </c>
      <c r="U1073" t="str">
        <f t="shared" si="217"/>
        <v>Developing</v>
      </c>
      <c r="V1073" t="str">
        <f t="shared" si="218"/>
        <v>Technical Skills</v>
      </c>
      <c r="W1073" t="str">
        <f t="shared" si="219"/>
        <v>Interview Preparation</v>
      </c>
      <c r="X1073" t="str">
        <f t="shared" si="220"/>
        <v>Improve interview preparation and communication</v>
      </c>
    </row>
    <row r="1074" spans="1:24" x14ac:dyDescent="0.3">
      <c r="A1074">
        <v>42</v>
      </c>
      <c r="B1074">
        <v>1</v>
      </c>
      <c r="C1074">
        <v>3</v>
      </c>
      <c r="D1074">
        <v>4</v>
      </c>
      <c r="E1074">
        <v>1</v>
      </c>
      <c r="F1074">
        <v>31.2287055129121</v>
      </c>
      <c r="G1074">
        <v>94</v>
      </c>
      <c r="H1074">
        <v>5</v>
      </c>
      <c r="I1074">
        <v>53</v>
      </c>
      <c r="J1074">
        <v>3</v>
      </c>
      <c r="K1074">
        <v>0</v>
      </c>
      <c r="L1074" t="str">
        <f t="shared" si="208"/>
        <v>C1073</v>
      </c>
      <c r="M1074" t="str">
        <f t="shared" si="209"/>
        <v>Female</v>
      </c>
      <c r="N1074" t="str">
        <f t="shared" si="210"/>
        <v>Master's</v>
      </c>
      <c r="O1074" t="str">
        <f t="shared" si="211"/>
        <v>Mid Level</v>
      </c>
      <c r="P1074" t="str">
        <f t="shared" si="212"/>
        <v>Strong</v>
      </c>
      <c r="Q1074" t="str">
        <f t="shared" si="213"/>
        <v>Beginner</v>
      </c>
      <c r="R1074" t="str">
        <f t="shared" si="214"/>
        <v>Good</v>
      </c>
      <c r="S1074" t="str">
        <f t="shared" si="215"/>
        <v>Not Hired</v>
      </c>
      <c r="T1074">
        <f t="shared" si="216"/>
        <v>48</v>
      </c>
      <c r="U1074" t="str">
        <f t="shared" si="217"/>
        <v>Needs Improvement</v>
      </c>
      <c r="V1074" t="str">
        <f t="shared" si="218"/>
        <v>Interview</v>
      </c>
      <c r="W1074" t="str">
        <f t="shared" si="219"/>
        <v>Technical Skills</v>
      </c>
      <c r="X1074" t="str">
        <f t="shared" si="220"/>
        <v>Strengthen technical skills and practical knowledge</v>
      </c>
    </row>
    <row r="1075" spans="1:24" x14ac:dyDescent="0.3">
      <c r="A1075">
        <v>34</v>
      </c>
      <c r="B1075">
        <v>1</v>
      </c>
      <c r="C1075">
        <v>3</v>
      </c>
      <c r="D1075">
        <v>7</v>
      </c>
      <c r="E1075">
        <v>5</v>
      </c>
      <c r="F1075">
        <v>27.388103266822299</v>
      </c>
      <c r="G1075">
        <v>84</v>
      </c>
      <c r="H1075">
        <v>25</v>
      </c>
      <c r="I1075">
        <v>25</v>
      </c>
      <c r="J1075">
        <v>2</v>
      </c>
      <c r="K1075">
        <v>0</v>
      </c>
      <c r="L1075" t="str">
        <f t="shared" si="208"/>
        <v>C1074</v>
      </c>
      <c r="M1075" t="str">
        <f t="shared" si="209"/>
        <v>Female</v>
      </c>
      <c r="N1075" t="str">
        <f t="shared" si="210"/>
        <v>Master's</v>
      </c>
      <c r="O1075" t="str">
        <f t="shared" si="211"/>
        <v>Senior Level</v>
      </c>
      <c r="P1075" t="str">
        <f t="shared" si="212"/>
        <v>Strong</v>
      </c>
      <c r="Q1075" t="str">
        <f t="shared" si="213"/>
        <v>Beginner</v>
      </c>
      <c r="R1075" t="str">
        <f t="shared" si="214"/>
        <v>Needs Improvement</v>
      </c>
      <c r="S1075" t="str">
        <f t="shared" si="215"/>
        <v>Not Hired</v>
      </c>
      <c r="T1075">
        <f t="shared" si="216"/>
        <v>48</v>
      </c>
      <c r="U1075" t="str">
        <f t="shared" si="217"/>
        <v>Needs Improvement</v>
      </c>
      <c r="V1075" t="str">
        <f t="shared" si="218"/>
        <v>Interview</v>
      </c>
      <c r="W1075" t="str">
        <f t="shared" si="219"/>
        <v>Technical Skills</v>
      </c>
      <c r="X1075" t="str">
        <f t="shared" si="220"/>
        <v>Strengthen technical skills and practical knowledge</v>
      </c>
    </row>
    <row r="1076" spans="1:24" x14ac:dyDescent="0.3">
      <c r="A1076">
        <v>24</v>
      </c>
      <c r="B1076">
        <v>1</v>
      </c>
      <c r="C1076">
        <v>3</v>
      </c>
      <c r="D1076">
        <v>1</v>
      </c>
      <c r="E1076">
        <v>4</v>
      </c>
      <c r="F1076">
        <v>28.872048358179899</v>
      </c>
      <c r="G1076">
        <v>97</v>
      </c>
      <c r="H1076">
        <v>74</v>
      </c>
      <c r="I1076">
        <v>84</v>
      </c>
      <c r="J1076">
        <v>3</v>
      </c>
      <c r="K1076">
        <v>1</v>
      </c>
      <c r="L1076" t="str">
        <f t="shared" si="208"/>
        <v>C1075</v>
      </c>
      <c r="M1076" t="str">
        <f t="shared" si="209"/>
        <v>Female</v>
      </c>
      <c r="N1076" t="str">
        <f t="shared" si="210"/>
        <v>Master's</v>
      </c>
      <c r="O1076" t="str">
        <f t="shared" si="211"/>
        <v>Entry Level</v>
      </c>
      <c r="P1076" t="str">
        <f t="shared" si="212"/>
        <v>Strong</v>
      </c>
      <c r="Q1076" t="str">
        <f t="shared" si="213"/>
        <v>Intermediate</v>
      </c>
      <c r="R1076" t="str">
        <f t="shared" si="214"/>
        <v>Strong</v>
      </c>
      <c r="S1076" t="str">
        <f t="shared" si="215"/>
        <v>Hired</v>
      </c>
      <c r="T1076">
        <f t="shared" si="216"/>
        <v>73</v>
      </c>
      <c r="U1076" t="str">
        <f t="shared" si="217"/>
        <v>Developing</v>
      </c>
      <c r="V1076" t="str">
        <f t="shared" si="218"/>
        <v>Interview</v>
      </c>
      <c r="W1076" t="str">
        <f t="shared" si="219"/>
        <v>Technical Skills</v>
      </c>
      <c r="X1076" t="str">
        <f t="shared" si="220"/>
        <v>Strengthen technical skills and practical knowledge</v>
      </c>
    </row>
    <row r="1077" spans="1:24" x14ac:dyDescent="0.3">
      <c r="A1077">
        <v>40</v>
      </c>
      <c r="B1077">
        <v>1</v>
      </c>
      <c r="C1077">
        <v>2</v>
      </c>
      <c r="D1077">
        <v>8</v>
      </c>
      <c r="E1077">
        <v>3</v>
      </c>
      <c r="F1077">
        <v>49.916540383862298</v>
      </c>
      <c r="G1077">
        <v>63</v>
      </c>
      <c r="H1077">
        <v>87</v>
      </c>
      <c r="I1077">
        <v>93</v>
      </c>
      <c r="J1077">
        <v>3</v>
      </c>
      <c r="K1077">
        <v>0</v>
      </c>
      <c r="L1077" t="str">
        <f t="shared" si="208"/>
        <v>C1076</v>
      </c>
      <c r="M1077" t="str">
        <f t="shared" si="209"/>
        <v>Female</v>
      </c>
      <c r="N1077" t="str">
        <f t="shared" si="210"/>
        <v>Bachelor's Type 2</v>
      </c>
      <c r="O1077" t="str">
        <f t="shared" si="211"/>
        <v>Senior Level</v>
      </c>
      <c r="P1077" t="str">
        <f t="shared" si="212"/>
        <v>Average</v>
      </c>
      <c r="Q1077" t="str">
        <f t="shared" si="213"/>
        <v>Advanced</v>
      </c>
      <c r="R1077" t="str">
        <f t="shared" si="214"/>
        <v>Strong</v>
      </c>
      <c r="S1077" t="str">
        <f t="shared" si="215"/>
        <v>Not Hired</v>
      </c>
      <c r="T1077">
        <f t="shared" si="216"/>
        <v>74</v>
      </c>
      <c r="U1077" t="str">
        <f t="shared" si="217"/>
        <v>Developing</v>
      </c>
      <c r="V1077" t="str">
        <f t="shared" si="218"/>
        <v>Personality</v>
      </c>
      <c r="W1077" t="str">
        <f t="shared" si="219"/>
        <v>Interview Preparation</v>
      </c>
      <c r="X1077" t="str">
        <f t="shared" si="220"/>
        <v>Improve interview preparation and communication</v>
      </c>
    </row>
    <row r="1078" spans="1:24" x14ac:dyDescent="0.3">
      <c r="A1078">
        <v>33</v>
      </c>
      <c r="B1078">
        <v>0</v>
      </c>
      <c r="C1078">
        <v>2</v>
      </c>
      <c r="D1078">
        <v>5</v>
      </c>
      <c r="E1078">
        <v>3</v>
      </c>
      <c r="F1078">
        <v>39.658384587347904</v>
      </c>
      <c r="G1078">
        <v>78</v>
      </c>
      <c r="H1078">
        <v>92</v>
      </c>
      <c r="I1078">
        <v>91</v>
      </c>
      <c r="J1078">
        <v>2</v>
      </c>
      <c r="K1078">
        <v>0</v>
      </c>
      <c r="L1078" t="str">
        <f t="shared" si="208"/>
        <v>C1077</v>
      </c>
      <c r="M1078" t="str">
        <f t="shared" si="209"/>
        <v>Male</v>
      </c>
      <c r="N1078" t="str">
        <f t="shared" si="210"/>
        <v>Bachelor's Type 2</v>
      </c>
      <c r="O1078" t="str">
        <f t="shared" si="211"/>
        <v>Mid Level</v>
      </c>
      <c r="P1078" t="str">
        <f t="shared" si="212"/>
        <v>Strong</v>
      </c>
      <c r="Q1078" t="str">
        <f t="shared" si="213"/>
        <v>Advanced</v>
      </c>
      <c r="R1078" t="str">
        <f t="shared" si="214"/>
        <v>Strong</v>
      </c>
      <c r="S1078" t="str">
        <f t="shared" si="215"/>
        <v>Not Hired</v>
      </c>
      <c r="T1078">
        <f t="shared" si="216"/>
        <v>77</v>
      </c>
      <c r="U1078" t="str">
        <f t="shared" si="217"/>
        <v>Job Ready</v>
      </c>
      <c r="V1078" t="str">
        <f t="shared" si="218"/>
        <v>Technical Skills</v>
      </c>
      <c r="W1078" t="str">
        <f t="shared" si="219"/>
        <v>Interview Preparation</v>
      </c>
      <c r="X1078" t="str">
        <f t="shared" si="220"/>
        <v>Improve interview preparation and communication</v>
      </c>
    </row>
    <row r="1079" spans="1:24" x14ac:dyDescent="0.3">
      <c r="A1079">
        <v>21</v>
      </c>
      <c r="B1079">
        <v>0</v>
      </c>
      <c r="C1079">
        <v>1</v>
      </c>
      <c r="D1079">
        <v>12</v>
      </c>
      <c r="E1079">
        <v>3</v>
      </c>
      <c r="F1079">
        <v>6.3132952396197899</v>
      </c>
      <c r="G1079">
        <v>77</v>
      </c>
      <c r="H1079">
        <v>2</v>
      </c>
      <c r="I1079">
        <v>99</v>
      </c>
      <c r="J1079">
        <v>2</v>
      </c>
      <c r="K1079">
        <v>0</v>
      </c>
      <c r="L1079" t="str">
        <f t="shared" si="208"/>
        <v>C1078</v>
      </c>
      <c r="M1079" t="str">
        <f t="shared" si="209"/>
        <v>Male</v>
      </c>
      <c r="N1079" t="str">
        <f t="shared" si="210"/>
        <v>Bachelor's Type 1</v>
      </c>
      <c r="O1079" t="str">
        <f t="shared" si="211"/>
        <v>Senior Level</v>
      </c>
      <c r="P1079" t="str">
        <f t="shared" si="212"/>
        <v>Strong</v>
      </c>
      <c r="Q1079" t="str">
        <f t="shared" si="213"/>
        <v>Beginner</v>
      </c>
      <c r="R1079" t="str">
        <f t="shared" si="214"/>
        <v>Strong</v>
      </c>
      <c r="S1079" t="str">
        <f t="shared" si="215"/>
        <v>Not Hired</v>
      </c>
      <c r="T1079">
        <f t="shared" si="216"/>
        <v>58</v>
      </c>
      <c r="U1079" t="str">
        <f t="shared" si="217"/>
        <v>Developing</v>
      </c>
      <c r="V1079" t="str">
        <f t="shared" si="218"/>
        <v>Personality</v>
      </c>
      <c r="W1079" t="str">
        <f t="shared" si="219"/>
        <v>Technical Skills</v>
      </c>
      <c r="X1079" t="str">
        <f t="shared" si="220"/>
        <v>Strengthen technical skills and practical knowledge</v>
      </c>
    </row>
    <row r="1080" spans="1:24" x14ac:dyDescent="0.3">
      <c r="A1080">
        <v>30</v>
      </c>
      <c r="B1080">
        <v>0</v>
      </c>
      <c r="C1080">
        <v>1</v>
      </c>
      <c r="D1080">
        <v>8</v>
      </c>
      <c r="E1080">
        <v>5</v>
      </c>
      <c r="F1080">
        <v>39.921420339069897</v>
      </c>
      <c r="G1080">
        <v>18</v>
      </c>
      <c r="H1080">
        <v>51</v>
      </c>
      <c r="I1080">
        <v>25</v>
      </c>
      <c r="J1080">
        <v>2</v>
      </c>
      <c r="K1080">
        <v>0</v>
      </c>
      <c r="L1080" t="str">
        <f t="shared" si="208"/>
        <v>C1079</v>
      </c>
      <c r="M1080" t="str">
        <f t="shared" si="209"/>
        <v>Male</v>
      </c>
      <c r="N1080" t="str">
        <f t="shared" si="210"/>
        <v>Bachelor's Type 1</v>
      </c>
      <c r="O1080" t="str">
        <f t="shared" si="211"/>
        <v>Senior Level</v>
      </c>
      <c r="P1080" t="str">
        <f t="shared" si="212"/>
        <v>Low</v>
      </c>
      <c r="Q1080" t="str">
        <f t="shared" si="213"/>
        <v>Intermediate</v>
      </c>
      <c r="R1080" t="str">
        <f t="shared" si="214"/>
        <v>Needs Improvement</v>
      </c>
      <c r="S1080" t="str">
        <f t="shared" si="215"/>
        <v>Not Hired</v>
      </c>
      <c r="T1080">
        <f t="shared" si="216"/>
        <v>36</v>
      </c>
      <c r="U1080" t="str">
        <f t="shared" si="217"/>
        <v>Needs Improvement</v>
      </c>
      <c r="V1080" t="str">
        <f t="shared" si="218"/>
        <v>Technical Skills</v>
      </c>
      <c r="W1080" t="str">
        <f t="shared" si="219"/>
        <v>Interview Preparation</v>
      </c>
      <c r="X1080" t="str">
        <f t="shared" si="220"/>
        <v>Improve interview preparation and communication</v>
      </c>
    </row>
    <row r="1081" spans="1:24" x14ac:dyDescent="0.3">
      <c r="A1081">
        <v>38</v>
      </c>
      <c r="B1081">
        <v>0</v>
      </c>
      <c r="C1081">
        <v>3</v>
      </c>
      <c r="D1081">
        <v>15</v>
      </c>
      <c r="E1081">
        <v>3</v>
      </c>
      <c r="F1081">
        <v>9.5269024449112898</v>
      </c>
      <c r="G1081">
        <v>14</v>
      </c>
      <c r="H1081">
        <v>73</v>
      </c>
      <c r="I1081">
        <v>33</v>
      </c>
      <c r="J1081">
        <v>2</v>
      </c>
      <c r="K1081">
        <v>0</v>
      </c>
      <c r="L1081" t="str">
        <f t="shared" si="208"/>
        <v>C1080</v>
      </c>
      <c r="M1081" t="str">
        <f t="shared" si="209"/>
        <v>Male</v>
      </c>
      <c r="N1081" t="str">
        <f t="shared" si="210"/>
        <v>Master's</v>
      </c>
      <c r="O1081" t="str">
        <f t="shared" si="211"/>
        <v>Senior Level</v>
      </c>
      <c r="P1081" t="str">
        <f t="shared" si="212"/>
        <v>Low</v>
      </c>
      <c r="Q1081" t="str">
        <f t="shared" si="213"/>
        <v>Intermediate</v>
      </c>
      <c r="R1081" t="str">
        <f t="shared" si="214"/>
        <v>Needs Improvement</v>
      </c>
      <c r="S1081" t="str">
        <f t="shared" si="215"/>
        <v>Not Hired</v>
      </c>
      <c r="T1081">
        <f t="shared" si="216"/>
        <v>51</v>
      </c>
      <c r="U1081" t="str">
        <f t="shared" si="217"/>
        <v>Developing</v>
      </c>
      <c r="V1081" t="str">
        <f t="shared" si="218"/>
        <v>Technical Skills</v>
      </c>
      <c r="W1081" t="str">
        <f t="shared" si="219"/>
        <v>Interview Preparation</v>
      </c>
      <c r="X1081" t="str">
        <f t="shared" si="220"/>
        <v>Improve interview preparation and communication</v>
      </c>
    </row>
    <row r="1082" spans="1:24" x14ac:dyDescent="0.3">
      <c r="A1082">
        <v>26</v>
      </c>
      <c r="B1082">
        <v>1</v>
      </c>
      <c r="C1082">
        <v>3</v>
      </c>
      <c r="D1082">
        <v>1</v>
      </c>
      <c r="E1082">
        <v>1</v>
      </c>
      <c r="F1082">
        <v>23.367527450281202</v>
      </c>
      <c r="G1082">
        <v>5</v>
      </c>
      <c r="H1082">
        <v>59</v>
      </c>
      <c r="I1082">
        <v>7</v>
      </c>
      <c r="J1082">
        <v>1</v>
      </c>
      <c r="K1082">
        <v>1</v>
      </c>
      <c r="L1082" t="str">
        <f t="shared" si="208"/>
        <v>C1081</v>
      </c>
      <c r="M1082" t="str">
        <f t="shared" si="209"/>
        <v>Female</v>
      </c>
      <c r="N1082" t="str">
        <f t="shared" si="210"/>
        <v>Master's</v>
      </c>
      <c r="O1082" t="str">
        <f t="shared" si="211"/>
        <v>Entry Level</v>
      </c>
      <c r="P1082" t="str">
        <f t="shared" si="212"/>
        <v>Low</v>
      </c>
      <c r="Q1082" t="str">
        <f t="shared" si="213"/>
        <v>Intermediate</v>
      </c>
      <c r="R1082" t="str">
        <f t="shared" si="214"/>
        <v>Needs Improvement</v>
      </c>
      <c r="S1082" t="str">
        <f t="shared" si="215"/>
        <v>Hired</v>
      </c>
      <c r="T1082">
        <f t="shared" si="216"/>
        <v>25</v>
      </c>
      <c r="U1082" t="str">
        <f t="shared" si="217"/>
        <v>Needs Improvement</v>
      </c>
      <c r="V1082" t="str">
        <f t="shared" si="218"/>
        <v>Technical Skills</v>
      </c>
      <c r="W1082" t="str">
        <f t="shared" si="219"/>
        <v>Interview Preparation</v>
      </c>
      <c r="X1082" t="str">
        <f t="shared" si="220"/>
        <v>Improve interview preparation and communication</v>
      </c>
    </row>
    <row r="1083" spans="1:24" x14ac:dyDescent="0.3">
      <c r="A1083">
        <v>25</v>
      </c>
      <c r="B1083">
        <v>1</v>
      </c>
      <c r="C1083">
        <v>2</v>
      </c>
      <c r="D1083">
        <v>2</v>
      </c>
      <c r="E1083">
        <v>3</v>
      </c>
      <c r="F1083">
        <v>11.522983608826699</v>
      </c>
      <c r="G1083">
        <v>72</v>
      </c>
      <c r="H1083">
        <v>62</v>
      </c>
      <c r="I1083">
        <v>9</v>
      </c>
      <c r="J1083">
        <v>3</v>
      </c>
      <c r="K1083">
        <v>0</v>
      </c>
      <c r="L1083" t="str">
        <f t="shared" si="208"/>
        <v>C1082</v>
      </c>
      <c r="M1083" t="str">
        <f t="shared" si="209"/>
        <v>Female</v>
      </c>
      <c r="N1083" t="str">
        <f t="shared" si="210"/>
        <v>Bachelor's Type 2</v>
      </c>
      <c r="O1083" t="str">
        <f t="shared" si="211"/>
        <v>Entry Level</v>
      </c>
      <c r="P1083" t="str">
        <f t="shared" si="212"/>
        <v>Average</v>
      </c>
      <c r="Q1083" t="str">
        <f t="shared" si="213"/>
        <v>Intermediate</v>
      </c>
      <c r="R1083" t="str">
        <f t="shared" si="214"/>
        <v>Needs Improvement</v>
      </c>
      <c r="S1083" t="str">
        <f t="shared" si="215"/>
        <v>Not Hired</v>
      </c>
      <c r="T1083">
        <f t="shared" si="216"/>
        <v>47</v>
      </c>
      <c r="U1083" t="str">
        <f t="shared" si="217"/>
        <v>Needs Improvement</v>
      </c>
      <c r="V1083" t="str">
        <f t="shared" si="218"/>
        <v>Interview</v>
      </c>
      <c r="W1083" t="str">
        <f t="shared" si="219"/>
        <v>Personality &amp; Communication</v>
      </c>
      <c r="X1083" t="str">
        <f t="shared" si="220"/>
        <v>Work on communication and personality development</v>
      </c>
    </row>
    <row r="1084" spans="1:24" x14ac:dyDescent="0.3">
      <c r="A1084">
        <v>47</v>
      </c>
      <c r="B1084">
        <v>1</v>
      </c>
      <c r="C1084">
        <v>3</v>
      </c>
      <c r="D1084">
        <v>11</v>
      </c>
      <c r="E1084">
        <v>4</v>
      </c>
      <c r="F1084">
        <v>35.4791532766614</v>
      </c>
      <c r="G1084">
        <v>100</v>
      </c>
      <c r="H1084">
        <v>64</v>
      </c>
      <c r="I1084">
        <v>47</v>
      </c>
      <c r="J1084">
        <v>2</v>
      </c>
      <c r="K1084">
        <v>1</v>
      </c>
      <c r="L1084" t="str">
        <f t="shared" si="208"/>
        <v>C1083</v>
      </c>
      <c r="M1084" t="str">
        <f t="shared" si="209"/>
        <v>Female</v>
      </c>
      <c r="N1084" t="str">
        <f t="shared" si="210"/>
        <v>Master's</v>
      </c>
      <c r="O1084" t="str">
        <f t="shared" si="211"/>
        <v>Senior Level</v>
      </c>
      <c r="P1084" t="str">
        <f t="shared" si="212"/>
        <v>Strong</v>
      </c>
      <c r="Q1084" t="str">
        <f t="shared" si="213"/>
        <v>Intermediate</v>
      </c>
      <c r="R1084" t="str">
        <f t="shared" si="214"/>
        <v>Needs Improvement</v>
      </c>
      <c r="S1084" t="str">
        <f t="shared" si="215"/>
        <v>Hired</v>
      </c>
      <c r="T1084">
        <f t="shared" si="216"/>
        <v>73</v>
      </c>
      <c r="U1084" t="str">
        <f t="shared" si="217"/>
        <v>Developing</v>
      </c>
      <c r="V1084" t="str">
        <f t="shared" si="218"/>
        <v>Interview</v>
      </c>
      <c r="W1084" t="str">
        <f t="shared" si="219"/>
        <v>Personality &amp; Communication</v>
      </c>
      <c r="X1084" t="str">
        <f t="shared" si="220"/>
        <v>Work on communication and personality development</v>
      </c>
    </row>
    <row r="1085" spans="1:24" x14ac:dyDescent="0.3">
      <c r="A1085">
        <v>21</v>
      </c>
      <c r="B1085">
        <v>0</v>
      </c>
      <c r="C1085">
        <v>2</v>
      </c>
      <c r="D1085">
        <v>7</v>
      </c>
      <c r="E1085">
        <v>1</v>
      </c>
      <c r="F1085">
        <v>44.865486809651699</v>
      </c>
      <c r="G1085">
        <v>83</v>
      </c>
      <c r="H1085">
        <v>51</v>
      </c>
      <c r="I1085">
        <v>54</v>
      </c>
      <c r="J1085">
        <v>2</v>
      </c>
      <c r="K1085">
        <v>0</v>
      </c>
      <c r="L1085" t="str">
        <f t="shared" si="208"/>
        <v>C1084</v>
      </c>
      <c r="M1085" t="str">
        <f t="shared" si="209"/>
        <v>Male</v>
      </c>
      <c r="N1085" t="str">
        <f t="shared" si="210"/>
        <v>Bachelor's Type 2</v>
      </c>
      <c r="O1085" t="str">
        <f t="shared" si="211"/>
        <v>Senior Level</v>
      </c>
      <c r="P1085" t="str">
        <f t="shared" si="212"/>
        <v>Strong</v>
      </c>
      <c r="Q1085" t="str">
        <f t="shared" si="213"/>
        <v>Intermediate</v>
      </c>
      <c r="R1085" t="str">
        <f t="shared" si="214"/>
        <v>Good</v>
      </c>
      <c r="S1085" t="str">
        <f t="shared" si="215"/>
        <v>Not Hired</v>
      </c>
      <c r="T1085">
        <f t="shared" si="216"/>
        <v>61</v>
      </c>
      <c r="U1085" t="str">
        <f t="shared" si="217"/>
        <v>Developing</v>
      </c>
      <c r="V1085" t="str">
        <f t="shared" si="218"/>
        <v>Interview</v>
      </c>
      <c r="W1085" t="str">
        <f t="shared" si="219"/>
        <v>Technical Skills</v>
      </c>
      <c r="X1085" t="str">
        <f t="shared" si="220"/>
        <v>Strengthen technical skills and practical knowledge</v>
      </c>
    </row>
    <row r="1086" spans="1:24" x14ac:dyDescent="0.3">
      <c r="A1086">
        <v>25</v>
      </c>
      <c r="B1086">
        <v>1</v>
      </c>
      <c r="C1086">
        <v>2</v>
      </c>
      <c r="D1086">
        <v>0</v>
      </c>
      <c r="E1086">
        <v>3</v>
      </c>
      <c r="F1086">
        <v>15.518094268334</v>
      </c>
      <c r="G1086">
        <v>97</v>
      </c>
      <c r="H1086">
        <v>89</v>
      </c>
      <c r="I1086">
        <v>53</v>
      </c>
      <c r="J1086">
        <v>2</v>
      </c>
      <c r="K1086">
        <v>0</v>
      </c>
      <c r="L1086" t="str">
        <f t="shared" si="208"/>
        <v>C1085</v>
      </c>
      <c r="M1086" t="str">
        <f t="shared" si="209"/>
        <v>Female</v>
      </c>
      <c r="N1086" t="str">
        <f t="shared" si="210"/>
        <v>Bachelor's Type 2</v>
      </c>
      <c r="O1086" t="str">
        <f t="shared" si="211"/>
        <v>Entry Level</v>
      </c>
      <c r="P1086" t="str">
        <f t="shared" si="212"/>
        <v>Strong</v>
      </c>
      <c r="Q1086" t="str">
        <f t="shared" si="213"/>
        <v>Advanced</v>
      </c>
      <c r="R1086" t="str">
        <f t="shared" si="214"/>
        <v>Good</v>
      </c>
      <c r="S1086" t="str">
        <f t="shared" si="215"/>
        <v>Not Hired</v>
      </c>
      <c r="T1086">
        <f t="shared" si="216"/>
        <v>69</v>
      </c>
      <c r="U1086" t="str">
        <f t="shared" si="217"/>
        <v>Developing</v>
      </c>
      <c r="V1086" t="str">
        <f t="shared" si="218"/>
        <v>Interview</v>
      </c>
      <c r="W1086" t="str">
        <f t="shared" si="219"/>
        <v>Personality &amp; Communication</v>
      </c>
      <c r="X1086" t="str">
        <f t="shared" si="220"/>
        <v>Work on communication and personality development</v>
      </c>
    </row>
    <row r="1087" spans="1:24" x14ac:dyDescent="0.3">
      <c r="A1087">
        <v>37</v>
      </c>
      <c r="B1087">
        <v>1</v>
      </c>
      <c r="C1087">
        <v>2</v>
      </c>
      <c r="D1087">
        <v>14</v>
      </c>
      <c r="E1087">
        <v>3</v>
      </c>
      <c r="F1087">
        <v>5.1005370604093798</v>
      </c>
      <c r="G1087">
        <v>37</v>
      </c>
      <c r="H1087">
        <v>75</v>
      </c>
      <c r="I1087">
        <v>77</v>
      </c>
      <c r="J1087">
        <v>2</v>
      </c>
      <c r="K1087">
        <v>0</v>
      </c>
      <c r="L1087" t="str">
        <f t="shared" si="208"/>
        <v>C1086</v>
      </c>
      <c r="M1087" t="str">
        <f t="shared" si="209"/>
        <v>Female</v>
      </c>
      <c r="N1087" t="str">
        <f t="shared" si="210"/>
        <v>Bachelor's Type 2</v>
      </c>
      <c r="O1087" t="str">
        <f t="shared" si="211"/>
        <v>Senior Level</v>
      </c>
      <c r="P1087" t="str">
        <f t="shared" si="212"/>
        <v>Low</v>
      </c>
      <c r="Q1087" t="str">
        <f t="shared" si="213"/>
        <v>Advanced</v>
      </c>
      <c r="R1087" t="str">
        <f t="shared" si="214"/>
        <v>Strong</v>
      </c>
      <c r="S1087" t="str">
        <f t="shared" si="215"/>
        <v>Not Hired</v>
      </c>
      <c r="T1087">
        <f t="shared" si="216"/>
        <v>66</v>
      </c>
      <c r="U1087" t="str">
        <f t="shared" si="217"/>
        <v>Developing</v>
      </c>
      <c r="V1087" t="str">
        <f t="shared" si="218"/>
        <v>Personality</v>
      </c>
      <c r="W1087" t="str">
        <f t="shared" si="219"/>
        <v>Interview Preparation</v>
      </c>
      <c r="X1087" t="str">
        <f t="shared" si="220"/>
        <v>Improve interview preparation and communication</v>
      </c>
    </row>
    <row r="1088" spans="1:24" x14ac:dyDescent="0.3">
      <c r="A1088">
        <v>21</v>
      </c>
      <c r="B1088">
        <v>1</v>
      </c>
      <c r="C1088">
        <v>4</v>
      </c>
      <c r="D1088">
        <v>9</v>
      </c>
      <c r="E1088">
        <v>2</v>
      </c>
      <c r="F1088">
        <v>15.924654903748101</v>
      </c>
      <c r="G1088">
        <v>25</v>
      </c>
      <c r="H1088">
        <v>13</v>
      </c>
      <c r="I1088">
        <v>39</v>
      </c>
      <c r="J1088">
        <v>3</v>
      </c>
      <c r="K1088">
        <v>0</v>
      </c>
      <c r="L1088" t="str">
        <f t="shared" si="208"/>
        <v>C1087</v>
      </c>
      <c r="M1088" t="str">
        <f t="shared" si="209"/>
        <v>Female</v>
      </c>
      <c r="N1088" t="str">
        <f t="shared" si="210"/>
        <v>PhD</v>
      </c>
      <c r="O1088" t="str">
        <f t="shared" si="211"/>
        <v>Senior Level</v>
      </c>
      <c r="P1088" t="str">
        <f t="shared" si="212"/>
        <v>Low</v>
      </c>
      <c r="Q1088" t="str">
        <f t="shared" si="213"/>
        <v>Beginner</v>
      </c>
      <c r="R1088" t="str">
        <f t="shared" si="214"/>
        <v>Needs Improvement</v>
      </c>
      <c r="S1088" t="str">
        <f t="shared" si="215"/>
        <v>Not Hired</v>
      </c>
      <c r="T1088">
        <f t="shared" si="216"/>
        <v>33</v>
      </c>
      <c r="U1088" t="str">
        <f t="shared" si="217"/>
        <v>Needs Improvement</v>
      </c>
      <c r="V1088" t="str">
        <f t="shared" si="218"/>
        <v>Personality</v>
      </c>
      <c r="W1088" t="str">
        <f t="shared" si="219"/>
        <v>Technical Skills</v>
      </c>
      <c r="X1088" t="str">
        <f t="shared" si="220"/>
        <v>Strengthen technical skills and practical knowledge</v>
      </c>
    </row>
    <row r="1089" spans="1:24" x14ac:dyDescent="0.3">
      <c r="A1089">
        <v>37</v>
      </c>
      <c r="B1089">
        <v>0</v>
      </c>
      <c r="C1089">
        <v>1</v>
      </c>
      <c r="D1089">
        <v>14</v>
      </c>
      <c r="E1089">
        <v>5</v>
      </c>
      <c r="F1089">
        <v>34.618092896609703</v>
      </c>
      <c r="G1089">
        <v>81</v>
      </c>
      <c r="H1089">
        <v>88</v>
      </c>
      <c r="I1089">
        <v>14</v>
      </c>
      <c r="J1089">
        <v>2</v>
      </c>
      <c r="K1089">
        <v>0</v>
      </c>
      <c r="L1089" t="str">
        <f t="shared" si="208"/>
        <v>C1088</v>
      </c>
      <c r="M1089" t="str">
        <f t="shared" si="209"/>
        <v>Male</v>
      </c>
      <c r="N1089" t="str">
        <f t="shared" si="210"/>
        <v>Bachelor's Type 1</v>
      </c>
      <c r="O1089" t="str">
        <f t="shared" si="211"/>
        <v>Senior Level</v>
      </c>
      <c r="P1089" t="str">
        <f t="shared" si="212"/>
        <v>Strong</v>
      </c>
      <c r="Q1089" t="str">
        <f t="shared" si="213"/>
        <v>Advanced</v>
      </c>
      <c r="R1089" t="str">
        <f t="shared" si="214"/>
        <v>Needs Improvement</v>
      </c>
      <c r="S1089" t="str">
        <f t="shared" si="215"/>
        <v>Not Hired</v>
      </c>
      <c r="T1089">
        <f t="shared" si="216"/>
        <v>70</v>
      </c>
      <c r="U1089" t="str">
        <f t="shared" si="217"/>
        <v>Developing</v>
      </c>
      <c r="V1089" t="str">
        <f t="shared" si="218"/>
        <v>Technical Skills</v>
      </c>
      <c r="W1089" t="str">
        <f t="shared" si="219"/>
        <v>Personality &amp; Communication</v>
      </c>
      <c r="X1089" t="str">
        <f t="shared" si="220"/>
        <v>Work on communication and personality development</v>
      </c>
    </row>
    <row r="1090" spans="1:24" x14ac:dyDescent="0.3">
      <c r="A1090">
        <v>49</v>
      </c>
      <c r="B1090">
        <v>1</v>
      </c>
      <c r="C1090">
        <v>4</v>
      </c>
      <c r="D1090">
        <v>14</v>
      </c>
      <c r="E1090">
        <v>1</v>
      </c>
      <c r="F1090">
        <v>17.438006377722498</v>
      </c>
      <c r="G1090">
        <v>91</v>
      </c>
      <c r="H1090">
        <v>71</v>
      </c>
      <c r="I1090">
        <v>80</v>
      </c>
      <c r="J1090">
        <v>1</v>
      </c>
      <c r="K1090">
        <v>1</v>
      </c>
      <c r="L1090" t="str">
        <f t="shared" si="208"/>
        <v>C1089</v>
      </c>
      <c r="M1090" t="str">
        <f t="shared" si="209"/>
        <v>Female</v>
      </c>
      <c r="N1090" t="str">
        <f t="shared" si="210"/>
        <v>PhD</v>
      </c>
      <c r="O1090" t="str">
        <f t="shared" si="211"/>
        <v>Senior Level</v>
      </c>
      <c r="P1090" t="str">
        <f t="shared" si="212"/>
        <v>Strong</v>
      </c>
      <c r="Q1090" t="str">
        <f t="shared" si="213"/>
        <v>Intermediate</v>
      </c>
      <c r="R1090" t="str">
        <f t="shared" si="214"/>
        <v>Strong</v>
      </c>
      <c r="S1090" t="str">
        <f t="shared" si="215"/>
        <v>Hired</v>
      </c>
      <c r="T1090">
        <f t="shared" si="216"/>
        <v>84</v>
      </c>
      <c r="U1090" t="str">
        <f t="shared" si="217"/>
        <v>Job Ready</v>
      </c>
      <c r="V1090" t="str">
        <f t="shared" si="218"/>
        <v>Interview</v>
      </c>
      <c r="W1090" t="str">
        <f t="shared" si="219"/>
        <v>Technical Skills</v>
      </c>
      <c r="X1090" t="str">
        <f t="shared" si="220"/>
        <v>Strengthen technical skills and practical knowledge</v>
      </c>
    </row>
    <row r="1091" spans="1:24" x14ac:dyDescent="0.3">
      <c r="A1091">
        <v>34</v>
      </c>
      <c r="B1091">
        <v>0</v>
      </c>
      <c r="C1091">
        <v>3</v>
      </c>
      <c r="D1091">
        <v>14</v>
      </c>
      <c r="E1091">
        <v>2</v>
      </c>
      <c r="F1091">
        <v>14.9056083776901</v>
      </c>
      <c r="G1091">
        <v>50</v>
      </c>
      <c r="H1091">
        <v>67</v>
      </c>
      <c r="I1091">
        <v>17</v>
      </c>
      <c r="J1091">
        <v>1</v>
      </c>
      <c r="K1091">
        <v>1</v>
      </c>
      <c r="L1091" t="str">
        <f t="shared" ref="L1091:L1154" si="221">"C"&amp;TEXT(ROW()-1,"000")</f>
        <v>C1090</v>
      </c>
      <c r="M1091" t="str">
        <f t="shared" ref="M1091:M1154" si="222">IF(B1091=0,"Male","Female")</f>
        <v>Male</v>
      </c>
      <c r="N1091" t="str">
        <f t="shared" ref="N1091:N1154" si="223">IF(C1091=1,"Bachelor's Type 1",IF(C1091=2,"Bachelor's Type 2",IF(C1091=3,"Master's","PhD")))</f>
        <v>Master's</v>
      </c>
      <c r="O1091" t="str">
        <f t="shared" ref="O1091:O1154" si="224">IF(D1091&lt;=2,"Entry Level",IF(D1091&lt;=6,"Mid Level","Senior Level"))</f>
        <v>Senior Level</v>
      </c>
      <c r="P1091" t="str">
        <f t="shared" ref="P1091:P1154" si="225">IF(G1091&lt;50,"Low",IF(G1091&lt;75,"Average","Strong"))</f>
        <v>Average</v>
      </c>
      <c r="Q1091" t="str">
        <f t="shared" ref="Q1091:Q1154" si="226">IF(H1091&lt;50,"Beginner",IF(H1091&lt;75,"Intermediate","Advanced"))</f>
        <v>Intermediate</v>
      </c>
      <c r="R1091" t="str">
        <f t="shared" ref="R1091:R1154" si="227">IF(I1091&lt;50,"Needs Improvement",IF(I1091&lt;75,"Good","Strong"))</f>
        <v>Needs Improvement</v>
      </c>
      <c r="S1091" t="str">
        <f t="shared" ref="S1091:S1154" si="228">IF(K1091=1,"Hired","Not Hired")</f>
        <v>Hired</v>
      </c>
      <c r="T1091">
        <f t="shared" ref="T1091:T1154" si="229">ROUND((G1091*30%)+(H1091*30%)+(I1091*20%)+((D1091/15)*100*15%)+(IF(C1091&lt;=2,50,IF(C1091=3,75,100))*5%),0)</f>
        <v>56</v>
      </c>
      <c r="U1091" t="str">
        <f t="shared" ref="U1091:U1154" si="230">IF(T1091&lt;50,"Needs Improvement",IF(T1091&lt;75,"Developing","Job Ready"))</f>
        <v>Developing</v>
      </c>
      <c r="V1091" t="str">
        <f t="shared" ref="V1091:V1154" si="231">IF(AND(G1091&gt;=H1091,G1091&gt;=I1091),"Interview",IF(H1091&gt;=I1091,"Technical Skills","Personality"))</f>
        <v>Technical Skills</v>
      </c>
      <c r="W1091" t="str">
        <f t="shared" ref="W1091:W1154" si="232">IF(AND(G1091&lt;=H1091,G1091&lt;=I1091),"Interview Preparation",IF(H1091&lt;=I1091,"Technical Skills","Personality &amp; Communication"))</f>
        <v>Personality &amp; Communication</v>
      </c>
      <c r="X1091" t="str">
        <f t="shared" ref="X1091:X1154" si="233">IF(W1091="Interview Preparation","Improve interview preparation and communication",IF(W1091="Technical Skills","Strengthen technical skills and practical knowledge","Work on communication and personality development"))</f>
        <v>Work on communication and personality development</v>
      </c>
    </row>
    <row r="1092" spans="1:24" x14ac:dyDescent="0.3">
      <c r="A1092">
        <v>46</v>
      </c>
      <c r="B1092">
        <v>0</v>
      </c>
      <c r="C1092">
        <v>1</v>
      </c>
      <c r="D1092">
        <v>6</v>
      </c>
      <c r="E1092">
        <v>4</v>
      </c>
      <c r="F1092">
        <v>10.2217595292132</v>
      </c>
      <c r="G1092">
        <v>72</v>
      </c>
      <c r="H1092">
        <v>27</v>
      </c>
      <c r="I1092">
        <v>95</v>
      </c>
      <c r="J1092">
        <v>3</v>
      </c>
      <c r="K1092">
        <v>0</v>
      </c>
      <c r="L1092" t="str">
        <f t="shared" si="221"/>
        <v>C1091</v>
      </c>
      <c r="M1092" t="str">
        <f t="shared" si="222"/>
        <v>Male</v>
      </c>
      <c r="N1092" t="str">
        <f t="shared" si="223"/>
        <v>Bachelor's Type 1</v>
      </c>
      <c r="O1092" t="str">
        <f t="shared" si="224"/>
        <v>Mid Level</v>
      </c>
      <c r="P1092" t="str">
        <f t="shared" si="225"/>
        <v>Average</v>
      </c>
      <c r="Q1092" t="str">
        <f t="shared" si="226"/>
        <v>Beginner</v>
      </c>
      <c r="R1092" t="str">
        <f t="shared" si="227"/>
        <v>Strong</v>
      </c>
      <c r="S1092" t="str">
        <f t="shared" si="228"/>
        <v>Not Hired</v>
      </c>
      <c r="T1092">
        <f t="shared" si="229"/>
        <v>57</v>
      </c>
      <c r="U1092" t="str">
        <f t="shared" si="230"/>
        <v>Developing</v>
      </c>
      <c r="V1092" t="str">
        <f t="shared" si="231"/>
        <v>Personality</v>
      </c>
      <c r="W1092" t="str">
        <f t="shared" si="232"/>
        <v>Technical Skills</v>
      </c>
      <c r="X1092" t="str">
        <f t="shared" si="233"/>
        <v>Strengthen technical skills and practical knowledge</v>
      </c>
    </row>
    <row r="1093" spans="1:24" x14ac:dyDescent="0.3">
      <c r="A1093">
        <v>38</v>
      </c>
      <c r="B1093">
        <v>0</v>
      </c>
      <c r="C1093">
        <v>2</v>
      </c>
      <c r="D1093">
        <v>6</v>
      </c>
      <c r="E1093">
        <v>5</v>
      </c>
      <c r="F1093">
        <v>25.875821343721601</v>
      </c>
      <c r="G1093">
        <v>95</v>
      </c>
      <c r="H1093">
        <v>70</v>
      </c>
      <c r="I1093">
        <v>22</v>
      </c>
      <c r="J1093">
        <v>2</v>
      </c>
      <c r="K1093">
        <v>0</v>
      </c>
      <c r="L1093" t="str">
        <f t="shared" si="221"/>
        <v>C1092</v>
      </c>
      <c r="M1093" t="str">
        <f t="shared" si="222"/>
        <v>Male</v>
      </c>
      <c r="N1093" t="str">
        <f t="shared" si="223"/>
        <v>Bachelor's Type 2</v>
      </c>
      <c r="O1093" t="str">
        <f t="shared" si="224"/>
        <v>Mid Level</v>
      </c>
      <c r="P1093" t="str">
        <f t="shared" si="225"/>
        <v>Strong</v>
      </c>
      <c r="Q1093" t="str">
        <f t="shared" si="226"/>
        <v>Intermediate</v>
      </c>
      <c r="R1093" t="str">
        <f t="shared" si="227"/>
        <v>Needs Improvement</v>
      </c>
      <c r="S1093" t="str">
        <f t="shared" si="228"/>
        <v>Not Hired</v>
      </c>
      <c r="T1093">
        <f t="shared" si="229"/>
        <v>62</v>
      </c>
      <c r="U1093" t="str">
        <f t="shared" si="230"/>
        <v>Developing</v>
      </c>
      <c r="V1093" t="str">
        <f t="shared" si="231"/>
        <v>Interview</v>
      </c>
      <c r="W1093" t="str">
        <f t="shared" si="232"/>
        <v>Personality &amp; Communication</v>
      </c>
      <c r="X1093" t="str">
        <f t="shared" si="233"/>
        <v>Work on communication and personality development</v>
      </c>
    </row>
    <row r="1094" spans="1:24" x14ac:dyDescent="0.3">
      <c r="A1094">
        <v>50</v>
      </c>
      <c r="B1094">
        <v>0</v>
      </c>
      <c r="C1094">
        <v>3</v>
      </c>
      <c r="D1094">
        <v>12</v>
      </c>
      <c r="E1094">
        <v>1</v>
      </c>
      <c r="F1094">
        <v>14.797441407859299</v>
      </c>
      <c r="G1094">
        <v>52</v>
      </c>
      <c r="H1094">
        <v>9</v>
      </c>
      <c r="I1094">
        <v>61</v>
      </c>
      <c r="J1094">
        <v>3</v>
      </c>
      <c r="K1094">
        <v>0</v>
      </c>
      <c r="L1094" t="str">
        <f t="shared" si="221"/>
        <v>C1093</v>
      </c>
      <c r="M1094" t="str">
        <f t="shared" si="222"/>
        <v>Male</v>
      </c>
      <c r="N1094" t="str">
        <f t="shared" si="223"/>
        <v>Master's</v>
      </c>
      <c r="O1094" t="str">
        <f t="shared" si="224"/>
        <v>Senior Level</v>
      </c>
      <c r="P1094" t="str">
        <f t="shared" si="225"/>
        <v>Average</v>
      </c>
      <c r="Q1094" t="str">
        <f t="shared" si="226"/>
        <v>Beginner</v>
      </c>
      <c r="R1094" t="str">
        <f t="shared" si="227"/>
        <v>Good</v>
      </c>
      <c r="S1094" t="str">
        <f t="shared" si="228"/>
        <v>Not Hired</v>
      </c>
      <c r="T1094">
        <f t="shared" si="229"/>
        <v>46</v>
      </c>
      <c r="U1094" t="str">
        <f t="shared" si="230"/>
        <v>Needs Improvement</v>
      </c>
      <c r="V1094" t="str">
        <f t="shared" si="231"/>
        <v>Personality</v>
      </c>
      <c r="W1094" t="str">
        <f t="shared" si="232"/>
        <v>Technical Skills</v>
      </c>
      <c r="X1094" t="str">
        <f t="shared" si="233"/>
        <v>Strengthen technical skills and practical knowledge</v>
      </c>
    </row>
    <row r="1095" spans="1:24" x14ac:dyDescent="0.3">
      <c r="A1095">
        <v>21</v>
      </c>
      <c r="B1095">
        <v>1</v>
      </c>
      <c r="C1095">
        <v>2</v>
      </c>
      <c r="D1095">
        <v>0</v>
      </c>
      <c r="E1095">
        <v>3</v>
      </c>
      <c r="F1095">
        <v>37.550517456974099</v>
      </c>
      <c r="G1095">
        <v>55</v>
      </c>
      <c r="H1095">
        <v>56</v>
      </c>
      <c r="I1095">
        <v>45</v>
      </c>
      <c r="J1095">
        <v>1</v>
      </c>
      <c r="K1095">
        <v>0</v>
      </c>
      <c r="L1095" t="str">
        <f t="shared" si="221"/>
        <v>C1094</v>
      </c>
      <c r="M1095" t="str">
        <f t="shared" si="222"/>
        <v>Female</v>
      </c>
      <c r="N1095" t="str">
        <f t="shared" si="223"/>
        <v>Bachelor's Type 2</v>
      </c>
      <c r="O1095" t="str">
        <f t="shared" si="224"/>
        <v>Entry Level</v>
      </c>
      <c r="P1095" t="str">
        <f t="shared" si="225"/>
        <v>Average</v>
      </c>
      <c r="Q1095" t="str">
        <f t="shared" si="226"/>
        <v>Intermediate</v>
      </c>
      <c r="R1095" t="str">
        <f t="shared" si="227"/>
        <v>Needs Improvement</v>
      </c>
      <c r="S1095" t="str">
        <f t="shared" si="228"/>
        <v>Not Hired</v>
      </c>
      <c r="T1095">
        <f t="shared" si="229"/>
        <v>45</v>
      </c>
      <c r="U1095" t="str">
        <f t="shared" si="230"/>
        <v>Needs Improvement</v>
      </c>
      <c r="V1095" t="str">
        <f t="shared" si="231"/>
        <v>Technical Skills</v>
      </c>
      <c r="W1095" t="str">
        <f t="shared" si="232"/>
        <v>Personality &amp; Communication</v>
      </c>
      <c r="X1095" t="str">
        <f t="shared" si="233"/>
        <v>Work on communication and personality development</v>
      </c>
    </row>
    <row r="1096" spans="1:24" x14ac:dyDescent="0.3">
      <c r="A1096">
        <v>39</v>
      </c>
      <c r="B1096">
        <v>0</v>
      </c>
      <c r="C1096">
        <v>4</v>
      </c>
      <c r="D1096">
        <v>15</v>
      </c>
      <c r="E1096">
        <v>1</v>
      </c>
      <c r="F1096">
        <v>4.8311200996101302</v>
      </c>
      <c r="G1096">
        <v>58</v>
      </c>
      <c r="H1096">
        <v>99</v>
      </c>
      <c r="I1096">
        <v>86</v>
      </c>
      <c r="J1096">
        <v>1</v>
      </c>
      <c r="K1096">
        <v>1</v>
      </c>
      <c r="L1096" t="str">
        <f t="shared" si="221"/>
        <v>C1095</v>
      </c>
      <c r="M1096" t="str">
        <f t="shared" si="222"/>
        <v>Male</v>
      </c>
      <c r="N1096" t="str">
        <f t="shared" si="223"/>
        <v>PhD</v>
      </c>
      <c r="O1096" t="str">
        <f t="shared" si="224"/>
        <v>Senior Level</v>
      </c>
      <c r="P1096" t="str">
        <f t="shared" si="225"/>
        <v>Average</v>
      </c>
      <c r="Q1096" t="str">
        <f t="shared" si="226"/>
        <v>Advanced</v>
      </c>
      <c r="R1096" t="str">
        <f t="shared" si="227"/>
        <v>Strong</v>
      </c>
      <c r="S1096" t="str">
        <f t="shared" si="228"/>
        <v>Hired</v>
      </c>
      <c r="T1096">
        <f t="shared" si="229"/>
        <v>84</v>
      </c>
      <c r="U1096" t="str">
        <f t="shared" si="230"/>
        <v>Job Ready</v>
      </c>
      <c r="V1096" t="str">
        <f t="shared" si="231"/>
        <v>Technical Skills</v>
      </c>
      <c r="W1096" t="str">
        <f t="shared" si="232"/>
        <v>Interview Preparation</v>
      </c>
      <c r="X1096" t="str">
        <f t="shared" si="233"/>
        <v>Improve interview preparation and communication</v>
      </c>
    </row>
    <row r="1097" spans="1:24" x14ac:dyDescent="0.3">
      <c r="A1097">
        <v>44</v>
      </c>
      <c r="B1097">
        <v>0</v>
      </c>
      <c r="C1097">
        <v>4</v>
      </c>
      <c r="D1097">
        <v>8</v>
      </c>
      <c r="E1097">
        <v>3</v>
      </c>
      <c r="F1097">
        <v>34.201651655565797</v>
      </c>
      <c r="G1097">
        <v>69</v>
      </c>
      <c r="H1097">
        <v>65</v>
      </c>
      <c r="I1097">
        <v>98</v>
      </c>
      <c r="J1097">
        <v>1</v>
      </c>
      <c r="K1097">
        <v>1</v>
      </c>
      <c r="L1097" t="str">
        <f t="shared" si="221"/>
        <v>C1096</v>
      </c>
      <c r="M1097" t="str">
        <f t="shared" si="222"/>
        <v>Male</v>
      </c>
      <c r="N1097" t="str">
        <f t="shared" si="223"/>
        <v>PhD</v>
      </c>
      <c r="O1097" t="str">
        <f t="shared" si="224"/>
        <v>Senior Level</v>
      </c>
      <c r="P1097" t="str">
        <f t="shared" si="225"/>
        <v>Average</v>
      </c>
      <c r="Q1097" t="str">
        <f t="shared" si="226"/>
        <v>Intermediate</v>
      </c>
      <c r="R1097" t="str">
        <f t="shared" si="227"/>
        <v>Strong</v>
      </c>
      <c r="S1097" t="str">
        <f t="shared" si="228"/>
        <v>Hired</v>
      </c>
      <c r="T1097">
        <f t="shared" si="229"/>
        <v>73</v>
      </c>
      <c r="U1097" t="str">
        <f t="shared" si="230"/>
        <v>Developing</v>
      </c>
      <c r="V1097" t="str">
        <f t="shared" si="231"/>
        <v>Personality</v>
      </c>
      <c r="W1097" t="str">
        <f t="shared" si="232"/>
        <v>Technical Skills</v>
      </c>
      <c r="X1097" t="str">
        <f t="shared" si="233"/>
        <v>Strengthen technical skills and practical knowledge</v>
      </c>
    </row>
    <row r="1098" spans="1:24" x14ac:dyDescent="0.3">
      <c r="A1098">
        <v>25</v>
      </c>
      <c r="B1098">
        <v>1</v>
      </c>
      <c r="C1098">
        <v>2</v>
      </c>
      <c r="D1098">
        <v>7</v>
      </c>
      <c r="E1098">
        <v>5</v>
      </c>
      <c r="F1098">
        <v>12.8780007283884</v>
      </c>
      <c r="G1098">
        <v>77</v>
      </c>
      <c r="H1098">
        <v>89</v>
      </c>
      <c r="I1098">
        <v>38</v>
      </c>
      <c r="J1098">
        <v>2</v>
      </c>
      <c r="K1098">
        <v>0</v>
      </c>
      <c r="L1098" t="str">
        <f t="shared" si="221"/>
        <v>C1097</v>
      </c>
      <c r="M1098" t="str">
        <f t="shared" si="222"/>
        <v>Female</v>
      </c>
      <c r="N1098" t="str">
        <f t="shared" si="223"/>
        <v>Bachelor's Type 2</v>
      </c>
      <c r="O1098" t="str">
        <f t="shared" si="224"/>
        <v>Senior Level</v>
      </c>
      <c r="P1098" t="str">
        <f t="shared" si="225"/>
        <v>Strong</v>
      </c>
      <c r="Q1098" t="str">
        <f t="shared" si="226"/>
        <v>Advanced</v>
      </c>
      <c r="R1098" t="str">
        <f t="shared" si="227"/>
        <v>Needs Improvement</v>
      </c>
      <c r="S1098" t="str">
        <f t="shared" si="228"/>
        <v>Not Hired</v>
      </c>
      <c r="T1098">
        <f t="shared" si="229"/>
        <v>67</v>
      </c>
      <c r="U1098" t="str">
        <f t="shared" si="230"/>
        <v>Developing</v>
      </c>
      <c r="V1098" t="str">
        <f t="shared" si="231"/>
        <v>Technical Skills</v>
      </c>
      <c r="W1098" t="str">
        <f t="shared" si="232"/>
        <v>Personality &amp; Communication</v>
      </c>
      <c r="X1098" t="str">
        <f t="shared" si="233"/>
        <v>Work on communication and personality development</v>
      </c>
    </row>
    <row r="1099" spans="1:24" x14ac:dyDescent="0.3">
      <c r="A1099">
        <v>20</v>
      </c>
      <c r="B1099">
        <v>1</v>
      </c>
      <c r="C1099">
        <v>2</v>
      </c>
      <c r="D1099">
        <v>3</v>
      </c>
      <c r="E1099">
        <v>3</v>
      </c>
      <c r="F1099">
        <v>25.463963052580102</v>
      </c>
      <c r="G1099">
        <v>91</v>
      </c>
      <c r="H1099">
        <v>49</v>
      </c>
      <c r="I1099">
        <v>14</v>
      </c>
      <c r="J1099">
        <v>2</v>
      </c>
      <c r="K1099">
        <v>0</v>
      </c>
      <c r="L1099" t="str">
        <f t="shared" si="221"/>
        <v>C1098</v>
      </c>
      <c r="M1099" t="str">
        <f t="shared" si="222"/>
        <v>Female</v>
      </c>
      <c r="N1099" t="str">
        <f t="shared" si="223"/>
        <v>Bachelor's Type 2</v>
      </c>
      <c r="O1099" t="str">
        <f t="shared" si="224"/>
        <v>Mid Level</v>
      </c>
      <c r="P1099" t="str">
        <f t="shared" si="225"/>
        <v>Strong</v>
      </c>
      <c r="Q1099" t="str">
        <f t="shared" si="226"/>
        <v>Beginner</v>
      </c>
      <c r="R1099" t="str">
        <f t="shared" si="227"/>
        <v>Needs Improvement</v>
      </c>
      <c r="S1099" t="str">
        <f t="shared" si="228"/>
        <v>Not Hired</v>
      </c>
      <c r="T1099">
        <f t="shared" si="229"/>
        <v>50</v>
      </c>
      <c r="U1099" t="str">
        <f t="shared" si="230"/>
        <v>Developing</v>
      </c>
      <c r="V1099" t="str">
        <f t="shared" si="231"/>
        <v>Interview</v>
      </c>
      <c r="W1099" t="str">
        <f t="shared" si="232"/>
        <v>Personality &amp; Communication</v>
      </c>
      <c r="X1099" t="str">
        <f t="shared" si="233"/>
        <v>Work on communication and personality development</v>
      </c>
    </row>
    <row r="1100" spans="1:24" x14ac:dyDescent="0.3">
      <c r="A1100">
        <v>43</v>
      </c>
      <c r="B1100">
        <v>0</v>
      </c>
      <c r="C1100">
        <v>4</v>
      </c>
      <c r="D1100">
        <v>9</v>
      </c>
      <c r="E1100">
        <v>4</v>
      </c>
      <c r="F1100">
        <v>15.304496101563</v>
      </c>
      <c r="G1100">
        <v>57</v>
      </c>
      <c r="H1100">
        <v>13</v>
      </c>
      <c r="I1100">
        <v>52</v>
      </c>
      <c r="J1100">
        <v>1</v>
      </c>
      <c r="K1100">
        <v>1</v>
      </c>
      <c r="L1100" t="str">
        <f t="shared" si="221"/>
        <v>C1099</v>
      </c>
      <c r="M1100" t="str">
        <f t="shared" si="222"/>
        <v>Male</v>
      </c>
      <c r="N1100" t="str">
        <f t="shared" si="223"/>
        <v>PhD</v>
      </c>
      <c r="O1100" t="str">
        <f t="shared" si="224"/>
        <v>Senior Level</v>
      </c>
      <c r="P1100" t="str">
        <f t="shared" si="225"/>
        <v>Average</v>
      </c>
      <c r="Q1100" t="str">
        <f t="shared" si="226"/>
        <v>Beginner</v>
      </c>
      <c r="R1100" t="str">
        <f t="shared" si="227"/>
        <v>Good</v>
      </c>
      <c r="S1100" t="str">
        <f t="shared" si="228"/>
        <v>Hired</v>
      </c>
      <c r="T1100">
        <f t="shared" si="229"/>
        <v>45</v>
      </c>
      <c r="U1100" t="str">
        <f t="shared" si="230"/>
        <v>Needs Improvement</v>
      </c>
      <c r="V1100" t="str">
        <f t="shared" si="231"/>
        <v>Interview</v>
      </c>
      <c r="W1100" t="str">
        <f t="shared" si="232"/>
        <v>Technical Skills</v>
      </c>
      <c r="X1100" t="str">
        <f t="shared" si="233"/>
        <v>Strengthen technical skills and practical knowledge</v>
      </c>
    </row>
    <row r="1101" spans="1:24" x14ac:dyDescent="0.3">
      <c r="A1101">
        <v>34</v>
      </c>
      <c r="B1101">
        <v>1</v>
      </c>
      <c r="C1101">
        <v>2</v>
      </c>
      <c r="D1101">
        <v>10</v>
      </c>
      <c r="E1101">
        <v>3</v>
      </c>
      <c r="F1101">
        <v>37.138433800539701</v>
      </c>
      <c r="G1101">
        <v>87</v>
      </c>
      <c r="H1101">
        <v>15</v>
      </c>
      <c r="I1101">
        <v>87</v>
      </c>
      <c r="J1101">
        <v>2</v>
      </c>
      <c r="K1101">
        <v>0</v>
      </c>
      <c r="L1101" t="str">
        <f t="shared" si="221"/>
        <v>C1100</v>
      </c>
      <c r="M1101" t="str">
        <f t="shared" si="222"/>
        <v>Female</v>
      </c>
      <c r="N1101" t="str">
        <f t="shared" si="223"/>
        <v>Bachelor's Type 2</v>
      </c>
      <c r="O1101" t="str">
        <f t="shared" si="224"/>
        <v>Senior Level</v>
      </c>
      <c r="P1101" t="str">
        <f t="shared" si="225"/>
        <v>Strong</v>
      </c>
      <c r="Q1101" t="str">
        <f t="shared" si="226"/>
        <v>Beginner</v>
      </c>
      <c r="R1101" t="str">
        <f t="shared" si="227"/>
        <v>Strong</v>
      </c>
      <c r="S1101" t="str">
        <f t="shared" si="228"/>
        <v>Not Hired</v>
      </c>
      <c r="T1101">
        <f t="shared" si="229"/>
        <v>61</v>
      </c>
      <c r="U1101" t="str">
        <f t="shared" si="230"/>
        <v>Developing</v>
      </c>
      <c r="V1101" t="str">
        <f t="shared" si="231"/>
        <v>Interview</v>
      </c>
      <c r="W1101" t="str">
        <f t="shared" si="232"/>
        <v>Technical Skills</v>
      </c>
      <c r="X1101" t="str">
        <f t="shared" si="233"/>
        <v>Strengthen technical skills and practical knowledge</v>
      </c>
    </row>
    <row r="1102" spans="1:24" x14ac:dyDescent="0.3">
      <c r="A1102">
        <v>47</v>
      </c>
      <c r="B1102">
        <v>0</v>
      </c>
      <c r="C1102">
        <v>1</v>
      </c>
      <c r="D1102">
        <v>4</v>
      </c>
      <c r="E1102">
        <v>4</v>
      </c>
      <c r="F1102">
        <v>48.265352012581801</v>
      </c>
      <c r="G1102">
        <v>12</v>
      </c>
      <c r="H1102">
        <v>53</v>
      </c>
      <c r="I1102">
        <v>63</v>
      </c>
      <c r="J1102">
        <v>2</v>
      </c>
      <c r="K1102">
        <v>0</v>
      </c>
      <c r="L1102" t="str">
        <f t="shared" si="221"/>
        <v>C1101</v>
      </c>
      <c r="M1102" t="str">
        <f t="shared" si="222"/>
        <v>Male</v>
      </c>
      <c r="N1102" t="str">
        <f t="shared" si="223"/>
        <v>Bachelor's Type 1</v>
      </c>
      <c r="O1102" t="str">
        <f t="shared" si="224"/>
        <v>Mid Level</v>
      </c>
      <c r="P1102" t="str">
        <f t="shared" si="225"/>
        <v>Low</v>
      </c>
      <c r="Q1102" t="str">
        <f t="shared" si="226"/>
        <v>Intermediate</v>
      </c>
      <c r="R1102" t="str">
        <f t="shared" si="227"/>
        <v>Good</v>
      </c>
      <c r="S1102" t="str">
        <f t="shared" si="228"/>
        <v>Not Hired</v>
      </c>
      <c r="T1102">
        <f t="shared" si="229"/>
        <v>39</v>
      </c>
      <c r="U1102" t="str">
        <f t="shared" si="230"/>
        <v>Needs Improvement</v>
      </c>
      <c r="V1102" t="str">
        <f t="shared" si="231"/>
        <v>Personality</v>
      </c>
      <c r="W1102" t="str">
        <f t="shared" si="232"/>
        <v>Interview Preparation</v>
      </c>
      <c r="X1102" t="str">
        <f t="shared" si="233"/>
        <v>Improve interview preparation and communication</v>
      </c>
    </row>
    <row r="1103" spans="1:24" x14ac:dyDescent="0.3">
      <c r="A1103">
        <v>49</v>
      </c>
      <c r="B1103">
        <v>0</v>
      </c>
      <c r="C1103">
        <v>1</v>
      </c>
      <c r="D1103">
        <v>1</v>
      </c>
      <c r="E1103">
        <v>5</v>
      </c>
      <c r="F1103">
        <v>46.853838973490603</v>
      </c>
      <c r="G1103">
        <v>42</v>
      </c>
      <c r="H1103">
        <v>42</v>
      </c>
      <c r="I1103">
        <v>62</v>
      </c>
      <c r="J1103">
        <v>1</v>
      </c>
      <c r="K1103">
        <v>0</v>
      </c>
      <c r="L1103" t="str">
        <f t="shared" si="221"/>
        <v>C1102</v>
      </c>
      <c r="M1103" t="str">
        <f t="shared" si="222"/>
        <v>Male</v>
      </c>
      <c r="N1103" t="str">
        <f t="shared" si="223"/>
        <v>Bachelor's Type 1</v>
      </c>
      <c r="O1103" t="str">
        <f t="shared" si="224"/>
        <v>Entry Level</v>
      </c>
      <c r="P1103" t="str">
        <f t="shared" si="225"/>
        <v>Low</v>
      </c>
      <c r="Q1103" t="str">
        <f t="shared" si="226"/>
        <v>Beginner</v>
      </c>
      <c r="R1103" t="str">
        <f t="shared" si="227"/>
        <v>Good</v>
      </c>
      <c r="S1103" t="str">
        <f t="shared" si="228"/>
        <v>Not Hired</v>
      </c>
      <c r="T1103">
        <f t="shared" si="229"/>
        <v>41</v>
      </c>
      <c r="U1103" t="str">
        <f t="shared" si="230"/>
        <v>Needs Improvement</v>
      </c>
      <c r="V1103" t="str">
        <f t="shared" si="231"/>
        <v>Personality</v>
      </c>
      <c r="W1103" t="str">
        <f t="shared" si="232"/>
        <v>Interview Preparation</v>
      </c>
      <c r="X1103" t="str">
        <f t="shared" si="233"/>
        <v>Improve interview preparation and communication</v>
      </c>
    </row>
    <row r="1104" spans="1:24" x14ac:dyDescent="0.3">
      <c r="A1104">
        <v>42</v>
      </c>
      <c r="B1104">
        <v>0</v>
      </c>
      <c r="C1104">
        <v>2</v>
      </c>
      <c r="D1104">
        <v>12</v>
      </c>
      <c r="E1104">
        <v>5</v>
      </c>
      <c r="F1104">
        <v>30.171310757204498</v>
      </c>
      <c r="G1104">
        <v>75</v>
      </c>
      <c r="H1104">
        <v>41</v>
      </c>
      <c r="I1104">
        <v>91</v>
      </c>
      <c r="J1104">
        <v>2</v>
      </c>
      <c r="K1104">
        <v>0</v>
      </c>
      <c r="L1104" t="str">
        <f t="shared" si="221"/>
        <v>C1103</v>
      </c>
      <c r="M1104" t="str">
        <f t="shared" si="222"/>
        <v>Male</v>
      </c>
      <c r="N1104" t="str">
        <f t="shared" si="223"/>
        <v>Bachelor's Type 2</v>
      </c>
      <c r="O1104" t="str">
        <f t="shared" si="224"/>
        <v>Senior Level</v>
      </c>
      <c r="P1104" t="str">
        <f t="shared" si="225"/>
        <v>Strong</v>
      </c>
      <c r="Q1104" t="str">
        <f t="shared" si="226"/>
        <v>Beginner</v>
      </c>
      <c r="R1104" t="str">
        <f t="shared" si="227"/>
        <v>Strong</v>
      </c>
      <c r="S1104" t="str">
        <f t="shared" si="228"/>
        <v>Not Hired</v>
      </c>
      <c r="T1104">
        <f t="shared" si="229"/>
        <v>68</v>
      </c>
      <c r="U1104" t="str">
        <f t="shared" si="230"/>
        <v>Developing</v>
      </c>
      <c r="V1104" t="str">
        <f t="shared" si="231"/>
        <v>Personality</v>
      </c>
      <c r="W1104" t="str">
        <f t="shared" si="232"/>
        <v>Technical Skills</v>
      </c>
      <c r="X1104" t="str">
        <f t="shared" si="233"/>
        <v>Strengthen technical skills and practical knowledge</v>
      </c>
    </row>
    <row r="1105" spans="1:24" x14ac:dyDescent="0.3">
      <c r="A1105">
        <v>29</v>
      </c>
      <c r="B1105">
        <v>0</v>
      </c>
      <c r="C1105">
        <v>4</v>
      </c>
      <c r="D1105">
        <v>15</v>
      </c>
      <c r="E1105">
        <v>1</v>
      </c>
      <c r="F1105">
        <v>24.130515162848901</v>
      </c>
      <c r="G1105">
        <v>50</v>
      </c>
      <c r="H1105">
        <v>80</v>
      </c>
      <c r="I1105">
        <v>79</v>
      </c>
      <c r="J1105">
        <v>2</v>
      </c>
      <c r="K1105">
        <v>1</v>
      </c>
      <c r="L1105" t="str">
        <f t="shared" si="221"/>
        <v>C1104</v>
      </c>
      <c r="M1105" t="str">
        <f t="shared" si="222"/>
        <v>Male</v>
      </c>
      <c r="N1105" t="str">
        <f t="shared" si="223"/>
        <v>PhD</v>
      </c>
      <c r="O1105" t="str">
        <f t="shared" si="224"/>
        <v>Senior Level</v>
      </c>
      <c r="P1105" t="str">
        <f t="shared" si="225"/>
        <v>Average</v>
      </c>
      <c r="Q1105" t="str">
        <f t="shared" si="226"/>
        <v>Advanced</v>
      </c>
      <c r="R1105" t="str">
        <f t="shared" si="227"/>
        <v>Strong</v>
      </c>
      <c r="S1105" t="str">
        <f t="shared" si="228"/>
        <v>Hired</v>
      </c>
      <c r="T1105">
        <f t="shared" si="229"/>
        <v>75</v>
      </c>
      <c r="U1105" t="str">
        <f t="shared" si="230"/>
        <v>Job Ready</v>
      </c>
      <c r="V1105" t="str">
        <f t="shared" si="231"/>
        <v>Technical Skills</v>
      </c>
      <c r="W1105" t="str">
        <f t="shared" si="232"/>
        <v>Interview Preparation</v>
      </c>
      <c r="X1105" t="str">
        <f t="shared" si="233"/>
        <v>Improve interview preparation and communication</v>
      </c>
    </row>
    <row r="1106" spans="1:24" x14ac:dyDescent="0.3">
      <c r="A1106">
        <v>38</v>
      </c>
      <c r="B1106">
        <v>1</v>
      </c>
      <c r="C1106">
        <v>3</v>
      </c>
      <c r="D1106">
        <v>8</v>
      </c>
      <c r="E1106">
        <v>4</v>
      </c>
      <c r="F1106">
        <v>41.915025471969003</v>
      </c>
      <c r="G1106">
        <v>18</v>
      </c>
      <c r="H1106">
        <v>21</v>
      </c>
      <c r="I1106">
        <v>15</v>
      </c>
      <c r="J1106">
        <v>1</v>
      </c>
      <c r="K1106">
        <v>1</v>
      </c>
      <c r="L1106" t="str">
        <f t="shared" si="221"/>
        <v>C1105</v>
      </c>
      <c r="M1106" t="str">
        <f t="shared" si="222"/>
        <v>Female</v>
      </c>
      <c r="N1106" t="str">
        <f t="shared" si="223"/>
        <v>Master's</v>
      </c>
      <c r="O1106" t="str">
        <f t="shared" si="224"/>
        <v>Senior Level</v>
      </c>
      <c r="P1106" t="str">
        <f t="shared" si="225"/>
        <v>Low</v>
      </c>
      <c r="Q1106" t="str">
        <f t="shared" si="226"/>
        <v>Beginner</v>
      </c>
      <c r="R1106" t="str">
        <f t="shared" si="227"/>
        <v>Needs Improvement</v>
      </c>
      <c r="S1106" t="str">
        <f t="shared" si="228"/>
        <v>Hired</v>
      </c>
      <c r="T1106">
        <f t="shared" si="229"/>
        <v>26</v>
      </c>
      <c r="U1106" t="str">
        <f t="shared" si="230"/>
        <v>Needs Improvement</v>
      </c>
      <c r="V1106" t="str">
        <f t="shared" si="231"/>
        <v>Technical Skills</v>
      </c>
      <c r="W1106" t="str">
        <f t="shared" si="232"/>
        <v>Personality &amp; Communication</v>
      </c>
      <c r="X1106" t="str">
        <f t="shared" si="233"/>
        <v>Work on communication and personality development</v>
      </c>
    </row>
    <row r="1107" spans="1:24" x14ac:dyDescent="0.3">
      <c r="A1107">
        <v>36</v>
      </c>
      <c r="B1107">
        <v>0</v>
      </c>
      <c r="C1107">
        <v>2</v>
      </c>
      <c r="D1107">
        <v>14</v>
      </c>
      <c r="E1107">
        <v>4</v>
      </c>
      <c r="F1107">
        <v>35.166318131386497</v>
      </c>
      <c r="G1107">
        <v>20</v>
      </c>
      <c r="H1107">
        <v>67</v>
      </c>
      <c r="I1107">
        <v>69</v>
      </c>
      <c r="J1107">
        <v>1</v>
      </c>
      <c r="K1107">
        <v>1</v>
      </c>
      <c r="L1107" t="str">
        <f t="shared" si="221"/>
        <v>C1106</v>
      </c>
      <c r="M1107" t="str">
        <f t="shared" si="222"/>
        <v>Male</v>
      </c>
      <c r="N1107" t="str">
        <f t="shared" si="223"/>
        <v>Bachelor's Type 2</v>
      </c>
      <c r="O1107" t="str">
        <f t="shared" si="224"/>
        <v>Senior Level</v>
      </c>
      <c r="P1107" t="str">
        <f t="shared" si="225"/>
        <v>Low</v>
      </c>
      <c r="Q1107" t="str">
        <f t="shared" si="226"/>
        <v>Intermediate</v>
      </c>
      <c r="R1107" t="str">
        <f t="shared" si="227"/>
        <v>Good</v>
      </c>
      <c r="S1107" t="str">
        <f t="shared" si="228"/>
        <v>Hired</v>
      </c>
      <c r="T1107">
        <f t="shared" si="229"/>
        <v>56</v>
      </c>
      <c r="U1107" t="str">
        <f t="shared" si="230"/>
        <v>Developing</v>
      </c>
      <c r="V1107" t="str">
        <f t="shared" si="231"/>
        <v>Personality</v>
      </c>
      <c r="W1107" t="str">
        <f t="shared" si="232"/>
        <v>Interview Preparation</v>
      </c>
      <c r="X1107" t="str">
        <f t="shared" si="233"/>
        <v>Improve interview preparation and communication</v>
      </c>
    </row>
    <row r="1108" spans="1:24" x14ac:dyDescent="0.3">
      <c r="A1108">
        <v>24</v>
      </c>
      <c r="B1108">
        <v>1</v>
      </c>
      <c r="C1108">
        <v>1</v>
      </c>
      <c r="D1108">
        <v>11</v>
      </c>
      <c r="E1108">
        <v>2</v>
      </c>
      <c r="F1108">
        <v>10.1782057108466</v>
      </c>
      <c r="G1108">
        <v>90</v>
      </c>
      <c r="H1108">
        <v>18</v>
      </c>
      <c r="I1108">
        <v>65</v>
      </c>
      <c r="J1108">
        <v>2</v>
      </c>
      <c r="K1108">
        <v>0</v>
      </c>
      <c r="L1108" t="str">
        <f t="shared" si="221"/>
        <v>C1107</v>
      </c>
      <c r="M1108" t="str">
        <f t="shared" si="222"/>
        <v>Female</v>
      </c>
      <c r="N1108" t="str">
        <f t="shared" si="223"/>
        <v>Bachelor's Type 1</v>
      </c>
      <c r="O1108" t="str">
        <f t="shared" si="224"/>
        <v>Senior Level</v>
      </c>
      <c r="P1108" t="str">
        <f t="shared" si="225"/>
        <v>Strong</v>
      </c>
      <c r="Q1108" t="str">
        <f t="shared" si="226"/>
        <v>Beginner</v>
      </c>
      <c r="R1108" t="str">
        <f t="shared" si="227"/>
        <v>Good</v>
      </c>
      <c r="S1108" t="str">
        <f t="shared" si="228"/>
        <v>Not Hired</v>
      </c>
      <c r="T1108">
        <f t="shared" si="229"/>
        <v>59</v>
      </c>
      <c r="U1108" t="str">
        <f t="shared" si="230"/>
        <v>Developing</v>
      </c>
      <c r="V1108" t="str">
        <f t="shared" si="231"/>
        <v>Interview</v>
      </c>
      <c r="W1108" t="str">
        <f t="shared" si="232"/>
        <v>Technical Skills</v>
      </c>
      <c r="X1108" t="str">
        <f t="shared" si="233"/>
        <v>Strengthen technical skills and practical knowledge</v>
      </c>
    </row>
    <row r="1109" spans="1:24" x14ac:dyDescent="0.3">
      <c r="A1109">
        <v>48</v>
      </c>
      <c r="B1109">
        <v>1</v>
      </c>
      <c r="C1109">
        <v>2</v>
      </c>
      <c r="D1109">
        <v>11</v>
      </c>
      <c r="E1109">
        <v>2</v>
      </c>
      <c r="F1109">
        <v>42.045960680649998</v>
      </c>
      <c r="G1109">
        <v>82</v>
      </c>
      <c r="H1109">
        <v>65</v>
      </c>
      <c r="I1109">
        <v>12</v>
      </c>
      <c r="J1109">
        <v>2</v>
      </c>
      <c r="K1109">
        <v>0</v>
      </c>
      <c r="L1109" t="str">
        <f t="shared" si="221"/>
        <v>C1108</v>
      </c>
      <c r="M1109" t="str">
        <f t="shared" si="222"/>
        <v>Female</v>
      </c>
      <c r="N1109" t="str">
        <f t="shared" si="223"/>
        <v>Bachelor's Type 2</v>
      </c>
      <c r="O1109" t="str">
        <f t="shared" si="224"/>
        <v>Senior Level</v>
      </c>
      <c r="P1109" t="str">
        <f t="shared" si="225"/>
        <v>Strong</v>
      </c>
      <c r="Q1109" t="str">
        <f t="shared" si="226"/>
        <v>Intermediate</v>
      </c>
      <c r="R1109" t="str">
        <f t="shared" si="227"/>
        <v>Needs Improvement</v>
      </c>
      <c r="S1109" t="str">
        <f t="shared" si="228"/>
        <v>Not Hired</v>
      </c>
      <c r="T1109">
        <f t="shared" si="229"/>
        <v>60</v>
      </c>
      <c r="U1109" t="str">
        <f t="shared" si="230"/>
        <v>Developing</v>
      </c>
      <c r="V1109" t="str">
        <f t="shared" si="231"/>
        <v>Interview</v>
      </c>
      <c r="W1109" t="str">
        <f t="shared" si="232"/>
        <v>Personality &amp; Communication</v>
      </c>
      <c r="X1109" t="str">
        <f t="shared" si="233"/>
        <v>Work on communication and personality development</v>
      </c>
    </row>
    <row r="1110" spans="1:24" x14ac:dyDescent="0.3">
      <c r="A1110">
        <v>23</v>
      </c>
      <c r="B1110">
        <v>1</v>
      </c>
      <c r="C1110">
        <v>3</v>
      </c>
      <c r="D1110">
        <v>5</v>
      </c>
      <c r="E1110">
        <v>2</v>
      </c>
      <c r="F1110">
        <v>22.444219469735501</v>
      </c>
      <c r="G1110">
        <v>23</v>
      </c>
      <c r="H1110">
        <v>38</v>
      </c>
      <c r="I1110">
        <v>46</v>
      </c>
      <c r="J1110">
        <v>3</v>
      </c>
      <c r="K1110">
        <v>0</v>
      </c>
      <c r="L1110" t="str">
        <f t="shared" si="221"/>
        <v>C1109</v>
      </c>
      <c r="M1110" t="str">
        <f t="shared" si="222"/>
        <v>Female</v>
      </c>
      <c r="N1110" t="str">
        <f t="shared" si="223"/>
        <v>Master's</v>
      </c>
      <c r="O1110" t="str">
        <f t="shared" si="224"/>
        <v>Mid Level</v>
      </c>
      <c r="P1110" t="str">
        <f t="shared" si="225"/>
        <v>Low</v>
      </c>
      <c r="Q1110" t="str">
        <f t="shared" si="226"/>
        <v>Beginner</v>
      </c>
      <c r="R1110" t="str">
        <f t="shared" si="227"/>
        <v>Needs Improvement</v>
      </c>
      <c r="S1110" t="str">
        <f t="shared" si="228"/>
        <v>Not Hired</v>
      </c>
      <c r="T1110">
        <f t="shared" si="229"/>
        <v>36</v>
      </c>
      <c r="U1110" t="str">
        <f t="shared" si="230"/>
        <v>Needs Improvement</v>
      </c>
      <c r="V1110" t="str">
        <f t="shared" si="231"/>
        <v>Personality</v>
      </c>
      <c r="W1110" t="str">
        <f t="shared" si="232"/>
        <v>Interview Preparation</v>
      </c>
      <c r="X1110" t="str">
        <f t="shared" si="233"/>
        <v>Improve interview preparation and communication</v>
      </c>
    </row>
    <row r="1111" spans="1:24" x14ac:dyDescent="0.3">
      <c r="A1111">
        <v>29</v>
      </c>
      <c r="B1111">
        <v>1</v>
      </c>
      <c r="C1111">
        <v>1</v>
      </c>
      <c r="D1111">
        <v>2</v>
      </c>
      <c r="E1111">
        <v>3</v>
      </c>
      <c r="F1111">
        <v>10.449282998558701</v>
      </c>
      <c r="G1111">
        <v>25</v>
      </c>
      <c r="H1111">
        <v>72</v>
      </c>
      <c r="I1111">
        <v>8</v>
      </c>
      <c r="J1111">
        <v>2</v>
      </c>
      <c r="K1111">
        <v>0</v>
      </c>
      <c r="L1111" t="str">
        <f t="shared" si="221"/>
        <v>C1110</v>
      </c>
      <c r="M1111" t="str">
        <f t="shared" si="222"/>
        <v>Female</v>
      </c>
      <c r="N1111" t="str">
        <f t="shared" si="223"/>
        <v>Bachelor's Type 1</v>
      </c>
      <c r="O1111" t="str">
        <f t="shared" si="224"/>
        <v>Entry Level</v>
      </c>
      <c r="P1111" t="str">
        <f t="shared" si="225"/>
        <v>Low</v>
      </c>
      <c r="Q1111" t="str">
        <f t="shared" si="226"/>
        <v>Intermediate</v>
      </c>
      <c r="R1111" t="str">
        <f t="shared" si="227"/>
        <v>Needs Improvement</v>
      </c>
      <c r="S1111" t="str">
        <f t="shared" si="228"/>
        <v>Not Hired</v>
      </c>
      <c r="T1111">
        <f t="shared" si="229"/>
        <v>35</v>
      </c>
      <c r="U1111" t="str">
        <f t="shared" si="230"/>
        <v>Needs Improvement</v>
      </c>
      <c r="V1111" t="str">
        <f t="shared" si="231"/>
        <v>Technical Skills</v>
      </c>
      <c r="W1111" t="str">
        <f t="shared" si="232"/>
        <v>Personality &amp; Communication</v>
      </c>
      <c r="X1111" t="str">
        <f t="shared" si="233"/>
        <v>Work on communication and personality development</v>
      </c>
    </row>
    <row r="1112" spans="1:24" x14ac:dyDescent="0.3">
      <c r="A1112">
        <v>43</v>
      </c>
      <c r="B1112">
        <v>0</v>
      </c>
      <c r="C1112">
        <v>2</v>
      </c>
      <c r="D1112">
        <v>11</v>
      </c>
      <c r="E1112">
        <v>2</v>
      </c>
      <c r="F1112">
        <v>15.089867519824599</v>
      </c>
      <c r="G1112">
        <v>44</v>
      </c>
      <c r="H1112">
        <v>18</v>
      </c>
      <c r="I1112">
        <v>62</v>
      </c>
      <c r="J1112">
        <v>1</v>
      </c>
      <c r="K1112">
        <v>1</v>
      </c>
      <c r="L1112" t="str">
        <f t="shared" si="221"/>
        <v>C1111</v>
      </c>
      <c r="M1112" t="str">
        <f t="shared" si="222"/>
        <v>Male</v>
      </c>
      <c r="N1112" t="str">
        <f t="shared" si="223"/>
        <v>Bachelor's Type 2</v>
      </c>
      <c r="O1112" t="str">
        <f t="shared" si="224"/>
        <v>Senior Level</v>
      </c>
      <c r="P1112" t="str">
        <f t="shared" si="225"/>
        <v>Low</v>
      </c>
      <c r="Q1112" t="str">
        <f t="shared" si="226"/>
        <v>Beginner</v>
      </c>
      <c r="R1112" t="str">
        <f t="shared" si="227"/>
        <v>Good</v>
      </c>
      <c r="S1112" t="str">
        <f t="shared" si="228"/>
        <v>Hired</v>
      </c>
      <c r="T1112">
        <f t="shared" si="229"/>
        <v>45</v>
      </c>
      <c r="U1112" t="str">
        <f t="shared" si="230"/>
        <v>Needs Improvement</v>
      </c>
      <c r="V1112" t="str">
        <f t="shared" si="231"/>
        <v>Personality</v>
      </c>
      <c r="W1112" t="str">
        <f t="shared" si="232"/>
        <v>Technical Skills</v>
      </c>
      <c r="X1112" t="str">
        <f t="shared" si="233"/>
        <v>Strengthen technical skills and practical knowledge</v>
      </c>
    </row>
    <row r="1113" spans="1:24" x14ac:dyDescent="0.3">
      <c r="A1113">
        <v>36</v>
      </c>
      <c r="B1113">
        <v>1</v>
      </c>
      <c r="C1113">
        <v>1</v>
      </c>
      <c r="D1113">
        <v>6</v>
      </c>
      <c r="E1113">
        <v>4</v>
      </c>
      <c r="F1113">
        <v>14.3763515124171</v>
      </c>
      <c r="G1113">
        <v>27</v>
      </c>
      <c r="H1113">
        <v>15</v>
      </c>
      <c r="I1113">
        <v>33</v>
      </c>
      <c r="J1113">
        <v>3</v>
      </c>
      <c r="K1113">
        <v>0</v>
      </c>
      <c r="L1113" t="str">
        <f t="shared" si="221"/>
        <v>C1112</v>
      </c>
      <c r="M1113" t="str">
        <f t="shared" si="222"/>
        <v>Female</v>
      </c>
      <c r="N1113" t="str">
        <f t="shared" si="223"/>
        <v>Bachelor's Type 1</v>
      </c>
      <c r="O1113" t="str">
        <f t="shared" si="224"/>
        <v>Mid Level</v>
      </c>
      <c r="P1113" t="str">
        <f t="shared" si="225"/>
        <v>Low</v>
      </c>
      <c r="Q1113" t="str">
        <f t="shared" si="226"/>
        <v>Beginner</v>
      </c>
      <c r="R1113" t="str">
        <f t="shared" si="227"/>
        <v>Needs Improvement</v>
      </c>
      <c r="S1113" t="str">
        <f t="shared" si="228"/>
        <v>Not Hired</v>
      </c>
      <c r="T1113">
        <f t="shared" si="229"/>
        <v>28</v>
      </c>
      <c r="U1113" t="str">
        <f t="shared" si="230"/>
        <v>Needs Improvement</v>
      </c>
      <c r="V1113" t="str">
        <f t="shared" si="231"/>
        <v>Personality</v>
      </c>
      <c r="W1113" t="str">
        <f t="shared" si="232"/>
        <v>Technical Skills</v>
      </c>
      <c r="X1113" t="str">
        <f t="shared" si="233"/>
        <v>Strengthen technical skills and practical knowledge</v>
      </c>
    </row>
    <row r="1114" spans="1:24" x14ac:dyDescent="0.3">
      <c r="A1114">
        <v>29</v>
      </c>
      <c r="B1114">
        <v>0</v>
      </c>
      <c r="C1114">
        <v>2</v>
      </c>
      <c r="D1114">
        <v>8</v>
      </c>
      <c r="E1114">
        <v>3</v>
      </c>
      <c r="F1114">
        <v>26.960348730172999</v>
      </c>
      <c r="G1114">
        <v>81</v>
      </c>
      <c r="H1114">
        <v>53</v>
      </c>
      <c r="I1114">
        <v>80</v>
      </c>
      <c r="J1114">
        <v>3</v>
      </c>
      <c r="K1114">
        <v>1</v>
      </c>
      <c r="L1114" t="str">
        <f t="shared" si="221"/>
        <v>C1113</v>
      </c>
      <c r="M1114" t="str">
        <f t="shared" si="222"/>
        <v>Male</v>
      </c>
      <c r="N1114" t="str">
        <f t="shared" si="223"/>
        <v>Bachelor's Type 2</v>
      </c>
      <c r="O1114" t="str">
        <f t="shared" si="224"/>
        <v>Senior Level</v>
      </c>
      <c r="P1114" t="str">
        <f t="shared" si="225"/>
        <v>Strong</v>
      </c>
      <c r="Q1114" t="str">
        <f t="shared" si="226"/>
        <v>Intermediate</v>
      </c>
      <c r="R1114" t="str">
        <f t="shared" si="227"/>
        <v>Strong</v>
      </c>
      <c r="S1114" t="str">
        <f t="shared" si="228"/>
        <v>Hired</v>
      </c>
      <c r="T1114">
        <f t="shared" si="229"/>
        <v>67</v>
      </c>
      <c r="U1114" t="str">
        <f t="shared" si="230"/>
        <v>Developing</v>
      </c>
      <c r="V1114" t="str">
        <f t="shared" si="231"/>
        <v>Interview</v>
      </c>
      <c r="W1114" t="str">
        <f t="shared" si="232"/>
        <v>Technical Skills</v>
      </c>
      <c r="X1114" t="str">
        <f t="shared" si="233"/>
        <v>Strengthen technical skills and practical knowledge</v>
      </c>
    </row>
    <row r="1115" spans="1:24" x14ac:dyDescent="0.3">
      <c r="A1115">
        <v>36</v>
      </c>
      <c r="B1115">
        <v>1</v>
      </c>
      <c r="C1115">
        <v>4</v>
      </c>
      <c r="D1115">
        <v>2</v>
      </c>
      <c r="E1115">
        <v>5</v>
      </c>
      <c r="F1115">
        <v>12.7185045338937</v>
      </c>
      <c r="G1115">
        <v>99</v>
      </c>
      <c r="H1115">
        <v>24</v>
      </c>
      <c r="I1115">
        <v>90</v>
      </c>
      <c r="J1115">
        <v>2</v>
      </c>
      <c r="K1115">
        <v>0</v>
      </c>
      <c r="L1115" t="str">
        <f t="shared" si="221"/>
        <v>C1114</v>
      </c>
      <c r="M1115" t="str">
        <f t="shared" si="222"/>
        <v>Female</v>
      </c>
      <c r="N1115" t="str">
        <f t="shared" si="223"/>
        <v>PhD</v>
      </c>
      <c r="O1115" t="str">
        <f t="shared" si="224"/>
        <v>Entry Level</v>
      </c>
      <c r="P1115" t="str">
        <f t="shared" si="225"/>
        <v>Strong</v>
      </c>
      <c r="Q1115" t="str">
        <f t="shared" si="226"/>
        <v>Beginner</v>
      </c>
      <c r="R1115" t="str">
        <f t="shared" si="227"/>
        <v>Strong</v>
      </c>
      <c r="S1115" t="str">
        <f t="shared" si="228"/>
        <v>Not Hired</v>
      </c>
      <c r="T1115">
        <f t="shared" si="229"/>
        <v>62</v>
      </c>
      <c r="U1115" t="str">
        <f t="shared" si="230"/>
        <v>Developing</v>
      </c>
      <c r="V1115" t="str">
        <f t="shared" si="231"/>
        <v>Interview</v>
      </c>
      <c r="W1115" t="str">
        <f t="shared" si="232"/>
        <v>Technical Skills</v>
      </c>
      <c r="X1115" t="str">
        <f t="shared" si="233"/>
        <v>Strengthen technical skills and practical knowledge</v>
      </c>
    </row>
    <row r="1116" spans="1:24" x14ac:dyDescent="0.3">
      <c r="A1116">
        <v>47</v>
      </c>
      <c r="B1116">
        <v>1</v>
      </c>
      <c r="C1116">
        <v>2</v>
      </c>
      <c r="D1116">
        <v>15</v>
      </c>
      <c r="E1116">
        <v>1</v>
      </c>
      <c r="F1116">
        <v>7.1783243700788004</v>
      </c>
      <c r="G1116">
        <v>28</v>
      </c>
      <c r="H1116">
        <v>17</v>
      </c>
      <c r="I1116">
        <v>28</v>
      </c>
      <c r="J1116">
        <v>3</v>
      </c>
      <c r="K1116">
        <v>0</v>
      </c>
      <c r="L1116" t="str">
        <f t="shared" si="221"/>
        <v>C1115</v>
      </c>
      <c r="M1116" t="str">
        <f t="shared" si="222"/>
        <v>Female</v>
      </c>
      <c r="N1116" t="str">
        <f t="shared" si="223"/>
        <v>Bachelor's Type 2</v>
      </c>
      <c r="O1116" t="str">
        <f t="shared" si="224"/>
        <v>Senior Level</v>
      </c>
      <c r="P1116" t="str">
        <f t="shared" si="225"/>
        <v>Low</v>
      </c>
      <c r="Q1116" t="str">
        <f t="shared" si="226"/>
        <v>Beginner</v>
      </c>
      <c r="R1116" t="str">
        <f t="shared" si="227"/>
        <v>Needs Improvement</v>
      </c>
      <c r="S1116" t="str">
        <f t="shared" si="228"/>
        <v>Not Hired</v>
      </c>
      <c r="T1116">
        <f t="shared" si="229"/>
        <v>37</v>
      </c>
      <c r="U1116" t="str">
        <f t="shared" si="230"/>
        <v>Needs Improvement</v>
      </c>
      <c r="V1116" t="str">
        <f t="shared" si="231"/>
        <v>Interview</v>
      </c>
      <c r="W1116" t="str">
        <f t="shared" si="232"/>
        <v>Technical Skills</v>
      </c>
      <c r="X1116" t="str">
        <f t="shared" si="233"/>
        <v>Strengthen technical skills and practical knowledge</v>
      </c>
    </row>
    <row r="1117" spans="1:24" x14ac:dyDescent="0.3">
      <c r="A1117">
        <v>39</v>
      </c>
      <c r="B1117">
        <v>0</v>
      </c>
      <c r="C1117">
        <v>2</v>
      </c>
      <c r="D1117">
        <v>1</v>
      </c>
      <c r="E1117">
        <v>2</v>
      </c>
      <c r="F1117">
        <v>7.1845425306880299</v>
      </c>
      <c r="G1117">
        <v>16</v>
      </c>
      <c r="H1117">
        <v>22</v>
      </c>
      <c r="I1117">
        <v>36</v>
      </c>
      <c r="J1117">
        <v>2</v>
      </c>
      <c r="K1117">
        <v>0</v>
      </c>
      <c r="L1117" t="str">
        <f t="shared" si="221"/>
        <v>C1116</v>
      </c>
      <c r="M1117" t="str">
        <f t="shared" si="222"/>
        <v>Male</v>
      </c>
      <c r="N1117" t="str">
        <f t="shared" si="223"/>
        <v>Bachelor's Type 2</v>
      </c>
      <c r="O1117" t="str">
        <f t="shared" si="224"/>
        <v>Entry Level</v>
      </c>
      <c r="P1117" t="str">
        <f t="shared" si="225"/>
        <v>Low</v>
      </c>
      <c r="Q1117" t="str">
        <f t="shared" si="226"/>
        <v>Beginner</v>
      </c>
      <c r="R1117" t="str">
        <f t="shared" si="227"/>
        <v>Needs Improvement</v>
      </c>
      <c r="S1117" t="str">
        <f t="shared" si="228"/>
        <v>Not Hired</v>
      </c>
      <c r="T1117">
        <f t="shared" si="229"/>
        <v>22</v>
      </c>
      <c r="U1117" t="str">
        <f t="shared" si="230"/>
        <v>Needs Improvement</v>
      </c>
      <c r="V1117" t="str">
        <f t="shared" si="231"/>
        <v>Personality</v>
      </c>
      <c r="W1117" t="str">
        <f t="shared" si="232"/>
        <v>Interview Preparation</v>
      </c>
      <c r="X1117" t="str">
        <f t="shared" si="233"/>
        <v>Improve interview preparation and communication</v>
      </c>
    </row>
    <row r="1118" spans="1:24" x14ac:dyDescent="0.3">
      <c r="A1118">
        <v>43</v>
      </c>
      <c r="B1118">
        <v>0</v>
      </c>
      <c r="C1118">
        <v>2</v>
      </c>
      <c r="D1118">
        <v>15</v>
      </c>
      <c r="E1118">
        <v>5</v>
      </c>
      <c r="F1118">
        <v>30.163809856954799</v>
      </c>
      <c r="G1118">
        <v>67</v>
      </c>
      <c r="H1118">
        <v>84</v>
      </c>
      <c r="I1118">
        <v>42</v>
      </c>
      <c r="J1118">
        <v>2</v>
      </c>
      <c r="K1118">
        <v>0</v>
      </c>
      <c r="L1118" t="str">
        <f t="shared" si="221"/>
        <v>C1117</v>
      </c>
      <c r="M1118" t="str">
        <f t="shared" si="222"/>
        <v>Male</v>
      </c>
      <c r="N1118" t="str">
        <f t="shared" si="223"/>
        <v>Bachelor's Type 2</v>
      </c>
      <c r="O1118" t="str">
        <f t="shared" si="224"/>
        <v>Senior Level</v>
      </c>
      <c r="P1118" t="str">
        <f t="shared" si="225"/>
        <v>Average</v>
      </c>
      <c r="Q1118" t="str">
        <f t="shared" si="226"/>
        <v>Advanced</v>
      </c>
      <c r="R1118" t="str">
        <f t="shared" si="227"/>
        <v>Needs Improvement</v>
      </c>
      <c r="S1118" t="str">
        <f t="shared" si="228"/>
        <v>Not Hired</v>
      </c>
      <c r="T1118">
        <f t="shared" si="229"/>
        <v>71</v>
      </c>
      <c r="U1118" t="str">
        <f t="shared" si="230"/>
        <v>Developing</v>
      </c>
      <c r="V1118" t="str">
        <f t="shared" si="231"/>
        <v>Technical Skills</v>
      </c>
      <c r="W1118" t="str">
        <f t="shared" si="232"/>
        <v>Personality &amp; Communication</v>
      </c>
      <c r="X1118" t="str">
        <f t="shared" si="233"/>
        <v>Work on communication and personality development</v>
      </c>
    </row>
    <row r="1119" spans="1:24" x14ac:dyDescent="0.3">
      <c r="A1119">
        <v>24</v>
      </c>
      <c r="B1119">
        <v>0</v>
      </c>
      <c r="C1119">
        <v>4</v>
      </c>
      <c r="D1119">
        <v>6</v>
      </c>
      <c r="E1119">
        <v>4</v>
      </c>
      <c r="F1119">
        <v>37.7379644424689</v>
      </c>
      <c r="G1119">
        <v>43</v>
      </c>
      <c r="H1119">
        <v>10</v>
      </c>
      <c r="I1119">
        <v>85</v>
      </c>
      <c r="J1119">
        <v>2</v>
      </c>
      <c r="K1119">
        <v>0</v>
      </c>
      <c r="L1119" t="str">
        <f t="shared" si="221"/>
        <v>C1118</v>
      </c>
      <c r="M1119" t="str">
        <f t="shared" si="222"/>
        <v>Male</v>
      </c>
      <c r="N1119" t="str">
        <f t="shared" si="223"/>
        <v>PhD</v>
      </c>
      <c r="O1119" t="str">
        <f t="shared" si="224"/>
        <v>Mid Level</v>
      </c>
      <c r="P1119" t="str">
        <f t="shared" si="225"/>
        <v>Low</v>
      </c>
      <c r="Q1119" t="str">
        <f t="shared" si="226"/>
        <v>Beginner</v>
      </c>
      <c r="R1119" t="str">
        <f t="shared" si="227"/>
        <v>Strong</v>
      </c>
      <c r="S1119" t="str">
        <f t="shared" si="228"/>
        <v>Not Hired</v>
      </c>
      <c r="T1119">
        <f t="shared" si="229"/>
        <v>44</v>
      </c>
      <c r="U1119" t="str">
        <f t="shared" si="230"/>
        <v>Needs Improvement</v>
      </c>
      <c r="V1119" t="str">
        <f t="shared" si="231"/>
        <v>Personality</v>
      </c>
      <c r="W1119" t="str">
        <f t="shared" si="232"/>
        <v>Technical Skills</v>
      </c>
      <c r="X1119" t="str">
        <f t="shared" si="233"/>
        <v>Strengthen technical skills and practical knowledge</v>
      </c>
    </row>
    <row r="1120" spans="1:24" x14ac:dyDescent="0.3">
      <c r="A1120">
        <v>21</v>
      </c>
      <c r="B1120">
        <v>1</v>
      </c>
      <c r="C1120">
        <v>1</v>
      </c>
      <c r="D1120">
        <v>6</v>
      </c>
      <c r="E1120">
        <v>1</v>
      </c>
      <c r="F1120">
        <v>17.076650441917</v>
      </c>
      <c r="G1120">
        <v>60</v>
      </c>
      <c r="H1120">
        <v>38</v>
      </c>
      <c r="I1120">
        <v>63</v>
      </c>
      <c r="J1120">
        <v>2</v>
      </c>
      <c r="K1120">
        <v>0</v>
      </c>
      <c r="L1120" t="str">
        <f t="shared" si="221"/>
        <v>C1119</v>
      </c>
      <c r="M1120" t="str">
        <f t="shared" si="222"/>
        <v>Female</v>
      </c>
      <c r="N1120" t="str">
        <f t="shared" si="223"/>
        <v>Bachelor's Type 1</v>
      </c>
      <c r="O1120" t="str">
        <f t="shared" si="224"/>
        <v>Mid Level</v>
      </c>
      <c r="P1120" t="str">
        <f t="shared" si="225"/>
        <v>Average</v>
      </c>
      <c r="Q1120" t="str">
        <f t="shared" si="226"/>
        <v>Beginner</v>
      </c>
      <c r="R1120" t="str">
        <f t="shared" si="227"/>
        <v>Good</v>
      </c>
      <c r="S1120" t="str">
        <f t="shared" si="228"/>
        <v>Not Hired</v>
      </c>
      <c r="T1120">
        <f t="shared" si="229"/>
        <v>51</v>
      </c>
      <c r="U1120" t="str">
        <f t="shared" si="230"/>
        <v>Developing</v>
      </c>
      <c r="V1120" t="str">
        <f t="shared" si="231"/>
        <v>Personality</v>
      </c>
      <c r="W1120" t="str">
        <f t="shared" si="232"/>
        <v>Technical Skills</v>
      </c>
      <c r="X1120" t="str">
        <f t="shared" si="233"/>
        <v>Strengthen technical skills and practical knowledge</v>
      </c>
    </row>
    <row r="1121" spans="1:24" x14ac:dyDescent="0.3">
      <c r="A1121">
        <v>25</v>
      </c>
      <c r="B1121">
        <v>1</v>
      </c>
      <c r="C1121">
        <v>2</v>
      </c>
      <c r="D1121">
        <v>3</v>
      </c>
      <c r="E1121">
        <v>5</v>
      </c>
      <c r="F1121">
        <v>2.7325354907008501</v>
      </c>
      <c r="G1121">
        <v>92</v>
      </c>
      <c r="H1121">
        <v>67</v>
      </c>
      <c r="I1121">
        <v>23</v>
      </c>
      <c r="J1121">
        <v>1</v>
      </c>
      <c r="K1121">
        <v>1</v>
      </c>
      <c r="L1121" t="str">
        <f t="shared" si="221"/>
        <v>C1120</v>
      </c>
      <c r="M1121" t="str">
        <f t="shared" si="222"/>
        <v>Female</v>
      </c>
      <c r="N1121" t="str">
        <f t="shared" si="223"/>
        <v>Bachelor's Type 2</v>
      </c>
      <c r="O1121" t="str">
        <f t="shared" si="224"/>
        <v>Mid Level</v>
      </c>
      <c r="P1121" t="str">
        <f t="shared" si="225"/>
        <v>Strong</v>
      </c>
      <c r="Q1121" t="str">
        <f t="shared" si="226"/>
        <v>Intermediate</v>
      </c>
      <c r="R1121" t="str">
        <f t="shared" si="227"/>
        <v>Needs Improvement</v>
      </c>
      <c r="S1121" t="str">
        <f t="shared" si="228"/>
        <v>Hired</v>
      </c>
      <c r="T1121">
        <f t="shared" si="229"/>
        <v>58</v>
      </c>
      <c r="U1121" t="str">
        <f t="shared" si="230"/>
        <v>Developing</v>
      </c>
      <c r="V1121" t="str">
        <f t="shared" si="231"/>
        <v>Interview</v>
      </c>
      <c r="W1121" t="str">
        <f t="shared" si="232"/>
        <v>Personality &amp; Communication</v>
      </c>
      <c r="X1121" t="str">
        <f t="shared" si="233"/>
        <v>Work on communication and personality development</v>
      </c>
    </row>
    <row r="1122" spans="1:24" x14ac:dyDescent="0.3">
      <c r="A1122">
        <v>40</v>
      </c>
      <c r="B1122">
        <v>0</v>
      </c>
      <c r="C1122">
        <v>2</v>
      </c>
      <c r="D1122">
        <v>10</v>
      </c>
      <c r="E1122">
        <v>1</v>
      </c>
      <c r="F1122">
        <v>7.3612443468505298</v>
      </c>
      <c r="G1122">
        <v>67</v>
      </c>
      <c r="H1122">
        <v>24</v>
      </c>
      <c r="I1122">
        <v>70</v>
      </c>
      <c r="J1122">
        <v>3</v>
      </c>
      <c r="K1122">
        <v>0</v>
      </c>
      <c r="L1122" t="str">
        <f t="shared" si="221"/>
        <v>C1121</v>
      </c>
      <c r="M1122" t="str">
        <f t="shared" si="222"/>
        <v>Male</v>
      </c>
      <c r="N1122" t="str">
        <f t="shared" si="223"/>
        <v>Bachelor's Type 2</v>
      </c>
      <c r="O1122" t="str">
        <f t="shared" si="224"/>
        <v>Senior Level</v>
      </c>
      <c r="P1122" t="str">
        <f t="shared" si="225"/>
        <v>Average</v>
      </c>
      <c r="Q1122" t="str">
        <f t="shared" si="226"/>
        <v>Beginner</v>
      </c>
      <c r="R1122" t="str">
        <f t="shared" si="227"/>
        <v>Good</v>
      </c>
      <c r="S1122" t="str">
        <f t="shared" si="228"/>
        <v>Not Hired</v>
      </c>
      <c r="T1122">
        <f t="shared" si="229"/>
        <v>54</v>
      </c>
      <c r="U1122" t="str">
        <f t="shared" si="230"/>
        <v>Developing</v>
      </c>
      <c r="V1122" t="str">
        <f t="shared" si="231"/>
        <v>Personality</v>
      </c>
      <c r="W1122" t="str">
        <f t="shared" si="232"/>
        <v>Technical Skills</v>
      </c>
      <c r="X1122" t="str">
        <f t="shared" si="233"/>
        <v>Strengthen technical skills and practical knowledge</v>
      </c>
    </row>
    <row r="1123" spans="1:24" x14ac:dyDescent="0.3">
      <c r="A1123">
        <v>21</v>
      </c>
      <c r="B1123">
        <v>0</v>
      </c>
      <c r="C1123">
        <v>3</v>
      </c>
      <c r="D1123">
        <v>8</v>
      </c>
      <c r="E1123">
        <v>2</v>
      </c>
      <c r="F1123">
        <v>46.734728016852799</v>
      </c>
      <c r="G1123">
        <v>73</v>
      </c>
      <c r="H1123">
        <v>62</v>
      </c>
      <c r="I1123">
        <v>33</v>
      </c>
      <c r="J1123">
        <v>3</v>
      </c>
      <c r="K1123">
        <v>1</v>
      </c>
      <c r="L1123" t="str">
        <f t="shared" si="221"/>
        <v>C1122</v>
      </c>
      <c r="M1123" t="str">
        <f t="shared" si="222"/>
        <v>Male</v>
      </c>
      <c r="N1123" t="str">
        <f t="shared" si="223"/>
        <v>Master's</v>
      </c>
      <c r="O1123" t="str">
        <f t="shared" si="224"/>
        <v>Senior Level</v>
      </c>
      <c r="P1123" t="str">
        <f t="shared" si="225"/>
        <v>Average</v>
      </c>
      <c r="Q1123" t="str">
        <f t="shared" si="226"/>
        <v>Intermediate</v>
      </c>
      <c r="R1123" t="str">
        <f t="shared" si="227"/>
        <v>Needs Improvement</v>
      </c>
      <c r="S1123" t="str">
        <f t="shared" si="228"/>
        <v>Hired</v>
      </c>
      <c r="T1123">
        <f t="shared" si="229"/>
        <v>59</v>
      </c>
      <c r="U1123" t="str">
        <f t="shared" si="230"/>
        <v>Developing</v>
      </c>
      <c r="V1123" t="str">
        <f t="shared" si="231"/>
        <v>Interview</v>
      </c>
      <c r="W1123" t="str">
        <f t="shared" si="232"/>
        <v>Personality &amp; Communication</v>
      </c>
      <c r="X1123" t="str">
        <f t="shared" si="233"/>
        <v>Work on communication and personality development</v>
      </c>
    </row>
    <row r="1124" spans="1:24" x14ac:dyDescent="0.3">
      <c r="A1124">
        <v>32</v>
      </c>
      <c r="B1124">
        <v>0</v>
      </c>
      <c r="C1124">
        <v>2</v>
      </c>
      <c r="D1124">
        <v>15</v>
      </c>
      <c r="E1124">
        <v>4</v>
      </c>
      <c r="F1124">
        <v>25.677182979472601</v>
      </c>
      <c r="G1124">
        <v>24</v>
      </c>
      <c r="H1124">
        <v>95</v>
      </c>
      <c r="I1124">
        <v>47</v>
      </c>
      <c r="J1124">
        <v>2</v>
      </c>
      <c r="K1124">
        <v>0</v>
      </c>
      <c r="L1124" t="str">
        <f t="shared" si="221"/>
        <v>C1123</v>
      </c>
      <c r="M1124" t="str">
        <f t="shared" si="222"/>
        <v>Male</v>
      </c>
      <c r="N1124" t="str">
        <f t="shared" si="223"/>
        <v>Bachelor's Type 2</v>
      </c>
      <c r="O1124" t="str">
        <f t="shared" si="224"/>
        <v>Senior Level</v>
      </c>
      <c r="P1124" t="str">
        <f t="shared" si="225"/>
        <v>Low</v>
      </c>
      <c r="Q1124" t="str">
        <f t="shared" si="226"/>
        <v>Advanced</v>
      </c>
      <c r="R1124" t="str">
        <f t="shared" si="227"/>
        <v>Needs Improvement</v>
      </c>
      <c r="S1124" t="str">
        <f t="shared" si="228"/>
        <v>Not Hired</v>
      </c>
      <c r="T1124">
        <f t="shared" si="229"/>
        <v>63</v>
      </c>
      <c r="U1124" t="str">
        <f t="shared" si="230"/>
        <v>Developing</v>
      </c>
      <c r="V1124" t="str">
        <f t="shared" si="231"/>
        <v>Technical Skills</v>
      </c>
      <c r="W1124" t="str">
        <f t="shared" si="232"/>
        <v>Interview Preparation</v>
      </c>
      <c r="X1124" t="str">
        <f t="shared" si="233"/>
        <v>Improve interview preparation and communication</v>
      </c>
    </row>
    <row r="1125" spans="1:24" x14ac:dyDescent="0.3">
      <c r="A1125">
        <v>49</v>
      </c>
      <c r="B1125">
        <v>0</v>
      </c>
      <c r="C1125">
        <v>1</v>
      </c>
      <c r="D1125">
        <v>13</v>
      </c>
      <c r="E1125">
        <v>1</v>
      </c>
      <c r="F1125">
        <v>23.678640480758698</v>
      </c>
      <c r="G1125">
        <v>94</v>
      </c>
      <c r="H1125">
        <v>29</v>
      </c>
      <c r="I1125">
        <v>11</v>
      </c>
      <c r="J1125">
        <v>2</v>
      </c>
      <c r="K1125">
        <v>0</v>
      </c>
      <c r="L1125" t="str">
        <f t="shared" si="221"/>
        <v>C1124</v>
      </c>
      <c r="M1125" t="str">
        <f t="shared" si="222"/>
        <v>Male</v>
      </c>
      <c r="N1125" t="str">
        <f t="shared" si="223"/>
        <v>Bachelor's Type 1</v>
      </c>
      <c r="O1125" t="str">
        <f t="shared" si="224"/>
        <v>Senior Level</v>
      </c>
      <c r="P1125" t="str">
        <f t="shared" si="225"/>
        <v>Strong</v>
      </c>
      <c r="Q1125" t="str">
        <f t="shared" si="226"/>
        <v>Beginner</v>
      </c>
      <c r="R1125" t="str">
        <f t="shared" si="227"/>
        <v>Needs Improvement</v>
      </c>
      <c r="S1125" t="str">
        <f t="shared" si="228"/>
        <v>Not Hired</v>
      </c>
      <c r="T1125">
        <f t="shared" si="229"/>
        <v>55</v>
      </c>
      <c r="U1125" t="str">
        <f t="shared" si="230"/>
        <v>Developing</v>
      </c>
      <c r="V1125" t="str">
        <f t="shared" si="231"/>
        <v>Interview</v>
      </c>
      <c r="W1125" t="str">
        <f t="shared" si="232"/>
        <v>Personality &amp; Communication</v>
      </c>
      <c r="X1125" t="str">
        <f t="shared" si="233"/>
        <v>Work on communication and personality development</v>
      </c>
    </row>
    <row r="1126" spans="1:24" x14ac:dyDescent="0.3">
      <c r="A1126">
        <v>30</v>
      </c>
      <c r="B1126">
        <v>1</v>
      </c>
      <c r="C1126">
        <v>2</v>
      </c>
      <c r="D1126">
        <v>7</v>
      </c>
      <c r="E1126">
        <v>5</v>
      </c>
      <c r="F1126">
        <v>2.9024589155045399</v>
      </c>
      <c r="G1126">
        <v>66</v>
      </c>
      <c r="H1126">
        <v>44</v>
      </c>
      <c r="I1126">
        <v>22</v>
      </c>
      <c r="J1126">
        <v>1</v>
      </c>
      <c r="K1126">
        <v>0</v>
      </c>
      <c r="L1126" t="str">
        <f t="shared" si="221"/>
        <v>C1125</v>
      </c>
      <c r="M1126" t="str">
        <f t="shared" si="222"/>
        <v>Female</v>
      </c>
      <c r="N1126" t="str">
        <f t="shared" si="223"/>
        <v>Bachelor's Type 2</v>
      </c>
      <c r="O1126" t="str">
        <f t="shared" si="224"/>
        <v>Senior Level</v>
      </c>
      <c r="P1126" t="str">
        <f t="shared" si="225"/>
        <v>Average</v>
      </c>
      <c r="Q1126" t="str">
        <f t="shared" si="226"/>
        <v>Beginner</v>
      </c>
      <c r="R1126" t="str">
        <f t="shared" si="227"/>
        <v>Needs Improvement</v>
      </c>
      <c r="S1126" t="str">
        <f t="shared" si="228"/>
        <v>Not Hired</v>
      </c>
      <c r="T1126">
        <f t="shared" si="229"/>
        <v>47</v>
      </c>
      <c r="U1126" t="str">
        <f t="shared" si="230"/>
        <v>Needs Improvement</v>
      </c>
      <c r="V1126" t="str">
        <f t="shared" si="231"/>
        <v>Interview</v>
      </c>
      <c r="W1126" t="str">
        <f t="shared" si="232"/>
        <v>Personality &amp; Communication</v>
      </c>
      <c r="X1126" t="str">
        <f t="shared" si="233"/>
        <v>Work on communication and personality development</v>
      </c>
    </row>
    <row r="1127" spans="1:24" x14ac:dyDescent="0.3">
      <c r="A1127">
        <v>30</v>
      </c>
      <c r="B1127">
        <v>0</v>
      </c>
      <c r="C1127">
        <v>3</v>
      </c>
      <c r="D1127">
        <v>12</v>
      </c>
      <c r="E1127">
        <v>2</v>
      </c>
      <c r="F1127">
        <v>37.4318511158449</v>
      </c>
      <c r="G1127">
        <v>1</v>
      </c>
      <c r="H1127">
        <v>89</v>
      </c>
      <c r="I1127">
        <v>78</v>
      </c>
      <c r="J1127">
        <v>1</v>
      </c>
      <c r="K1127">
        <v>1</v>
      </c>
      <c r="L1127" t="str">
        <f t="shared" si="221"/>
        <v>C1126</v>
      </c>
      <c r="M1127" t="str">
        <f t="shared" si="222"/>
        <v>Male</v>
      </c>
      <c r="N1127" t="str">
        <f t="shared" si="223"/>
        <v>Master's</v>
      </c>
      <c r="O1127" t="str">
        <f t="shared" si="224"/>
        <v>Senior Level</v>
      </c>
      <c r="P1127" t="str">
        <f t="shared" si="225"/>
        <v>Low</v>
      </c>
      <c r="Q1127" t="str">
        <f t="shared" si="226"/>
        <v>Advanced</v>
      </c>
      <c r="R1127" t="str">
        <f t="shared" si="227"/>
        <v>Strong</v>
      </c>
      <c r="S1127" t="str">
        <f t="shared" si="228"/>
        <v>Hired</v>
      </c>
      <c r="T1127">
        <f t="shared" si="229"/>
        <v>58</v>
      </c>
      <c r="U1127" t="str">
        <f t="shared" si="230"/>
        <v>Developing</v>
      </c>
      <c r="V1127" t="str">
        <f t="shared" si="231"/>
        <v>Technical Skills</v>
      </c>
      <c r="W1127" t="str">
        <f t="shared" si="232"/>
        <v>Interview Preparation</v>
      </c>
      <c r="X1127" t="str">
        <f t="shared" si="233"/>
        <v>Improve interview preparation and communication</v>
      </c>
    </row>
    <row r="1128" spans="1:24" x14ac:dyDescent="0.3">
      <c r="A1128">
        <v>35</v>
      </c>
      <c r="B1128">
        <v>0</v>
      </c>
      <c r="C1128">
        <v>1</v>
      </c>
      <c r="D1128">
        <v>12</v>
      </c>
      <c r="E1128">
        <v>2</v>
      </c>
      <c r="F1128">
        <v>27.4034040466039</v>
      </c>
      <c r="G1128">
        <v>88</v>
      </c>
      <c r="H1128">
        <v>60</v>
      </c>
      <c r="I1128">
        <v>96</v>
      </c>
      <c r="J1128">
        <v>1</v>
      </c>
      <c r="K1128">
        <v>1</v>
      </c>
      <c r="L1128" t="str">
        <f t="shared" si="221"/>
        <v>C1127</v>
      </c>
      <c r="M1128" t="str">
        <f t="shared" si="222"/>
        <v>Male</v>
      </c>
      <c r="N1128" t="str">
        <f t="shared" si="223"/>
        <v>Bachelor's Type 1</v>
      </c>
      <c r="O1128" t="str">
        <f t="shared" si="224"/>
        <v>Senior Level</v>
      </c>
      <c r="P1128" t="str">
        <f t="shared" si="225"/>
        <v>Strong</v>
      </c>
      <c r="Q1128" t="str">
        <f t="shared" si="226"/>
        <v>Intermediate</v>
      </c>
      <c r="R1128" t="str">
        <f t="shared" si="227"/>
        <v>Strong</v>
      </c>
      <c r="S1128" t="str">
        <f t="shared" si="228"/>
        <v>Hired</v>
      </c>
      <c r="T1128">
        <f t="shared" si="229"/>
        <v>78</v>
      </c>
      <c r="U1128" t="str">
        <f t="shared" si="230"/>
        <v>Job Ready</v>
      </c>
      <c r="V1128" t="str">
        <f t="shared" si="231"/>
        <v>Personality</v>
      </c>
      <c r="W1128" t="str">
        <f t="shared" si="232"/>
        <v>Technical Skills</v>
      </c>
      <c r="X1128" t="str">
        <f t="shared" si="233"/>
        <v>Strengthen technical skills and practical knowledge</v>
      </c>
    </row>
    <row r="1129" spans="1:24" x14ac:dyDescent="0.3">
      <c r="A1129">
        <v>30</v>
      </c>
      <c r="B1129">
        <v>0</v>
      </c>
      <c r="C1129">
        <v>3</v>
      </c>
      <c r="D1129">
        <v>0</v>
      </c>
      <c r="E1129">
        <v>5</v>
      </c>
      <c r="F1129">
        <v>11.104046804326</v>
      </c>
      <c r="G1129">
        <v>48</v>
      </c>
      <c r="H1129">
        <v>99</v>
      </c>
      <c r="I1129">
        <v>12</v>
      </c>
      <c r="J1129">
        <v>2</v>
      </c>
      <c r="K1129">
        <v>0</v>
      </c>
      <c r="L1129" t="str">
        <f t="shared" si="221"/>
        <v>C1128</v>
      </c>
      <c r="M1129" t="str">
        <f t="shared" si="222"/>
        <v>Male</v>
      </c>
      <c r="N1129" t="str">
        <f t="shared" si="223"/>
        <v>Master's</v>
      </c>
      <c r="O1129" t="str">
        <f t="shared" si="224"/>
        <v>Entry Level</v>
      </c>
      <c r="P1129" t="str">
        <f t="shared" si="225"/>
        <v>Low</v>
      </c>
      <c r="Q1129" t="str">
        <f t="shared" si="226"/>
        <v>Advanced</v>
      </c>
      <c r="R1129" t="str">
        <f t="shared" si="227"/>
        <v>Needs Improvement</v>
      </c>
      <c r="S1129" t="str">
        <f t="shared" si="228"/>
        <v>Not Hired</v>
      </c>
      <c r="T1129">
        <f t="shared" si="229"/>
        <v>50</v>
      </c>
      <c r="U1129" t="str">
        <f t="shared" si="230"/>
        <v>Developing</v>
      </c>
      <c r="V1129" t="str">
        <f t="shared" si="231"/>
        <v>Technical Skills</v>
      </c>
      <c r="W1129" t="str">
        <f t="shared" si="232"/>
        <v>Personality &amp; Communication</v>
      </c>
      <c r="X1129" t="str">
        <f t="shared" si="233"/>
        <v>Work on communication and personality development</v>
      </c>
    </row>
    <row r="1130" spans="1:24" x14ac:dyDescent="0.3">
      <c r="A1130">
        <v>38</v>
      </c>
      <c r="B1130">
        <v>0</v>
      </c>
      <c r="C1130">
        <v>1</v>
      </c>
      <c r="D1130">
        <v>0</v>
      </c>
      <c r="E1130">
        <v>5</v>
      </c>
      <c r="F1130">
        <v>6.5036880090528504</v>
      </c>
      <c r="G1130">
        <v>69</v>
      </c>
      <c r="H1130">
        <v>50</v>
      </c>
      <c r="I1130">
        <v>86</v>
      </c>
      <c r="J1130">
        <v>3</v>
      </c>
      <c r="K1130">
        <v>0</v>
      </c>
      <c r="L1130" t="str">
        <f t="shared" si="221"/>
        <v>C1129</v>
      </c>
      <c r="M1130" t="str">
        <f t="shared" si="222"/>
        <v>Male</v>
      </c>
      <c r="N1130" t="str">
        <f t="shared" si="223"/>
        <v>Bachelor's Type 1</v>
      </c>
      <c r="O1130" t="str">
        <f t="shared" si="224"/>
        <v>Entry Level</v>
      </c>
      <c r="P1130" t="str">
        <f t="shared" si="225"/>
        <v>Average</v>
      </c>
      <c r="Q1130" t="str">
        <f t="shared" si="226"/>
        <v>Intermediate</v>
      </c>
      <c r="R1130" t="str">
        <f t="shared" si="227"/>
        <v>Strong</v>
      </c>
      <c r="S1130" t="str">
        <f t="shared" si="228"/>
        <v>Not Hired</v>
      </c>
      <c r="T1130">
        <f t="shared" si="229"/>
        <v>55</v>
      </c>
      <c r="U1130" t="str">
        <f t="shared" si="230"/>
        <v>Developing</v>
      </c>
      <c r="V1130" t="str">
        <f t="shared" si="231"/>
        <v>Personality</v>
      </c>
      <c r="W1130" t="str">
        <f t="shared" si="232"/>
        <v>Technical Skills</v>
      </c>
      <c r="X1130" t="str">
        <f t="shared" si="233"/>
        <v>Strengthen technical skills and practical knowledge</v>
      </c>
    </row>
    <row r="1131" spans="1:24" x14ac:dyDescent="0.3">
      <c r="A1131">
        <v>34</v>
      </c>
      <c r="B1131">
        <v>1</v>
      </c>
      <c r="C1131">
        <v>2</v>
      </c>
      <c r="D1131">
        <v>4</v>
      </c>
      <c r="E1131">
        <v>1</v>
      </c>
      <c r="F1131">
        <v>20.169393181599901</v>
      </c>
      <c r="G1131">
        <v>25</v>
      </c>
      <c r="H1131">
        <v>97</v>
      </c>
      <c r="I1131">
        <v>95</v>
      </c>
      <c r="J1131">
        <v>1</v>
      </c>
      <c r="K1131">
        <v>1</v>
      </c>
      <c r="L1131" t="str">
        <f t="shared" si="221"/>
        <v>C1130</v>
      </c>
      <c r="M1131" t="str">
        <f t="shared" si="222"/>
        <v>Female</v>
      </c>
      <c r="N1131" t="str">
        <f t="shared" si="223"/>
        <v>Bachelor's Type 2</v>
      </c>
      <c r="O1131" t="str">
        <f t="shared" si="224"/>
        <v>Mid Level</v>
      </c>
      <c r="P1131" t="str">
        <f t="shared" si="225"/>
        <v>Low</v>
      </c>
      <c r="Q1131" t="str">
        <f t="shared" si="226"/>
        <v>Advanced</v>
      </c>
      <c r="R1131" t="str">
        <f t="shared" si="227"/>
        <v>Strong</v>
      </c>
      <c r="S1131" t="str">
        <f t="shared" si="228"/>
        <v>Hired</v>
      </c>
      <c r="T1131">
        <f t="shared" si="229"/>
        <v>62</v>
      </c>
      <c r="U1131" t="str">
        <f t="shared" si="230"/>
        <v>Developing</v>
      </c>
      <c r="V1131" t="str">
        <f t="shared" si="231"/>
        <v>Technical Skills</v>
      </c>
      <c r="W1131" t="str">
        <f t="shared" si="232"/>
        <v>Interview Preparation</v>
      </c>
      <c r="X1131" t="str">
        <f t="shared" si="233"/>
        <v>Improve interview preparation and communication</v>
      </c>
    </row>
    <row r="1132" spans="1:24" x14ac:dyDescent="0.3">
      <c r="A1132">
        <v>44</v>
      </c>
      <c r="B1132">
        <v>0</v>
      </c>
      <c r="C1132">
        <v>2</v>
      </c>
      <c r="D1132">
        <v>5</v>
      </c>
      <c r="E1132">
        <v>3</v>
      </c>
      <c r="F1132">
        <v>42.858098209751198</v>
      </c>
      <c r="G1132">
        <v>71</v>
      </c>
      <c r="H1132">
        <v>8</v>
      </c>
      <c r="I1132">
        <v>44</v>
      </c>
      <c r="J1132">
        <v>1</v>
      </c>
      <c r="K1132">
        <v>0</v>
      </c>
      <c r="L1132" t="str">
        <f t="shared" si="221"/>
        <v>C1131</v>
      </c>
      <c r="M1132" t="str">
        <f t="shared" si="222"/>
        <v>Male</v>
      </c>
      <c r="N1132" t="str">
        <f t="shared" si="223"/>
        <v>Bachelor's Type 2</v>
      </c>
      <c r="O1132" t="str">
        <f t="shared" si="224"/>
        <v>Mid Level</v>
      </c>
      <c r="P1132" t="str">
        <f t="shared" si="225"/>
        <v>Average</v>
      </c>
      <c r="Q1132" t="str">
        <f t="shared" si="226"/>
        <v>Beginner</v>
      </c>
      <c r="R1132" t="str">
        <f t="shared" si="227"/>
        <v>Needs Improvement</v>
      </c>
      <c r="S1132" t="str">
        <f t="shared" si="228"/>
        <v>Not Hired</v>
      </c>
      <c r="T1132">
        <f t="shared" si="229"/>
        <v>40</v>
      </c>
      <c r="U1132" t="str">
        <f t="shared" si="230"/>
        <v>Needs Improvement</v>
      </c>
      <c r="V1132" t="str">
        <f t="shared" si="231"/>
        <v>Interview</v>
      </c>
      <c r="W1132" t="str">
        <f t="shared" si="232"/>
        <v>Technical Skills</v>
      </c>
      <c r="X1132" t="str">
        <f t="shared" si="233"/>
        <v>Strengthen technical skills and practical knowledge</v>
      </c>
    </row>
    <row r="1133" spans="1:24" x14ac:dyDescent="0.3">
      <c r="A1133">
        <v>42</v>
      </c>
      <c r="B1133">
        <v>1</v>
      </c>
      <c r="C1133">
        <v>3</v>
      </c>
      <c r="D1133">
        <v>2</v>
      </c>
      <c r="E1133">
        <v>2</v>
      </c>
      <c r="F1133">
        <v>44.264727960051196</v>
      </c>
      <c r="G1133">
        <v>98</v>
      </c>
      <c r="H1133">
        <v>75</v>
      </c>
      <c r="I1133">
        <v>98</v>
      </c>
      <c r="J1133">
        <v>2</v>
      </c>
      <c r="K1133">
        <v>1</v>
      </c>
      <c r="L1133" t="str">
        <f t="shared" si="221"/>
        <v>C1132</v>
      </c>
      <c r="M1133" t="str">
        <f t="shared" si="222"/>
        <v>Female</v>
      </c>
      <c r="N1133" t="str">
        <f t="shared" si="223"/>
        <v>Master's</v>
      </c>
      <c r="O1133" t="str">
        <f t="shared" si="224"/>
        <v>Entry Level</v>
      </c>
      <c r="P1133" t="str">
        <f t="shared" si="225"/>
        <v>Strong</v>
      </c>
      <c r="Q1133" t="str">
        <f t="shared" si="226"/>
        <v>Advanced</v>
      </c>
      <c r="R1133" t="str">
        <f t="shared" si="227"/>
        <v>Strong</v>
      </c>
      <c r="S1133" t="str">
        <f t="shared" si="228"/>
        <v>Hired</v>
      </c>
      <c r="T1133">
        <f t="shared" si="229"/>
        <v>77</v>
      </c>
      <c r="U1133" t="str">
        <f t="shared" si="230"/>
        <v>Job Ready</v>
      </c>
      <c r="V1133" t="str">
        <f t="shared" si="231"/>
        <v>Interview</v>
      </c>
      <c r="W1133" t="str">
        <f t="shared" si="232"/>
        <v>Technical Skills</v>
      </c>
      <c r="X1133" t="str">
        <f t="shared" si="233"/>
        <v>Strengthen technical skills and practical knowledge</v>
      </c>
    </row>
    <row r="1134" spans="1:24" x14ac:dyDescent="0.3">
      <c r="A1134">
        <v>42</v>
      </c>
      <c r="B1134">
        <v>0</v>
      </c>
      <c r="C1134">
        <v>2</v>
      </c>
      <c r="D1134">
        <v>12</v>
      </c>
      <c r="E1134">
        <v>1</v>
      </c>
      <c r="F1134">
        <v>31.142319019781802</v>
      </c>
      <c r="G1134">
        <v>26</v>
      </c>
      <c r="H1134">
        <v>1</v>
      </c>
      <c r="I1134">
        <v>64</v>
      </c>
      <c r="J1134">
        <v>1</v>
      </c>
      <c r="K1134">
        <v>1</v>
      </c>
      <c r="L1134" t="str">
        <f t="shared" si="221"/>
        <v>C1133</v>
      </c>
      <c r="M1134" t="str">
        <f t="shared" si="222"/>
        <v>Male</v>
      </c>
      <c r="N1134" t="str">
        <f t="shared" si="223"/>
        <v>Bachelor's Type 2</v>
      </c>
      <c r="O1134" t="str">
        <f t="shared" si="224"/>
        <v>Senior Level</v>
      </c>
      <c r="P1134" t="str">
        <f t="shared" si="225"/>
        <v>Low</v>
      </c>
      <c r="Q1134" t="str">
        <f t="shared" si="226"/>
        <v>Beginner</v>
      </c>
      <c r="R1134" t="str">
        <f t="shared" si="227"/>
        <v>Good</v>
      </c>
      <c r="S1134" t="str">
        <f t="shared" si="228"/>
        <v>Hired</v>
      </c>
      <c r="T1134">
        <f t="shared" si="229"/>
        <v>35</v>
      </c>
      <c r="U1134" t="str">
        <f t="shared" si="230"/>
        <v>Needs Improvement</v>
      </c>
      <c r="V1134" t="str">
        <f t="shared" si="231"/>
        <v>Personality</v>
      </c>
      <c r="W1134" t="str">
        <f t="shared" si="232"/>
        <v>Technical Skills</v>
      </c>
      <c r="X1134" t="str">
        <f t="shared" si="233"/>
        <v>Strengthen technical skills and practical knowledge</v>
      </c>
    </row>
    <row r="1135" spans="1:24" x14ac:dyDescent="0.3">
      <c r="A1135">
        <v>35</v>
      </c>
      <c r="B1135">
        <v>0</v>
      </c>
      <c r="C1135">
        <v>3</v>
      </c>
      <c r="D1135">
        <v>8</v>
      </c>
      <c r="E1135">
        <v>5</v>
      </c>
      <c r="F1135">
        <v>37.376821361507098</v>
      </c>
      <c r="G1135">
        <v>88</v>
      </c>
      <c r="H1135">
        <v>4</v>
      </c>
      <c r="I1135">
        <v>46</v>
      </c>
      <c r="J1135">
        <v>3</v>
      </c>
      <c r="K1135">
        <v>0</v>
      </c>
      <c r="L1135" t="str">
        <f t="shared" si="221"/>
        <v>C1134</v>
      </c>
      <c r="M1135" t="str">
        <f t="shared" si="222"/>
        <v>Male</v>
      </c>
      <c r="N1135" t="str">
        <f t="shared" si="223"/>
        <v>Master's</v>
      </c>
      <c r="O1135" t="str">
        <f t="shared" si="224"/>
        <v>Senior Level</v>
      </c>
      <c r="P1135" t="str">
        <f t="shared" si="225"/>
        <v>Strong</v>
      </c>
      <c r="Q1135" t="str">
        <f t="shared" si="226"/>
        <v>Beginner</v>
      </c>
      <c r="R1135" t="str">
        <f t="shared" si="227"/>
        <v>Needs Improvement</v>
      </c>
      <c r="S1135" t="str">
        <f t="shared" si="228"/>
        <v>Not Hired</v>
      </c>
      <c r="T1135">
        <f t="shared" si="229"/>
        <v>49</v>
      </c>
      <c r="U1135" t="str">
        <f t="shared" si="230"/>
        <v>Needs Improvement</v>
      </c>
      <c r="V1135" t="str">
        <f t="shared" si="231"/>
        <v>Interview</v>
      </c>
      <c r="W1135" t="str">
        <f t="shared" si="232"/>
        <v>Technical Skills</v>
      </c>
      <c r="X1135" t="str">
        <f t="shared" si="233"/>
        <v>Strengthen technical skills and practical knowledge</v>
      </c>
    </row>
    <row r="1136" spans="1:24" x14ac:dyDescent="0.3">
      <c r="A1136">
        <v>50</v>
      </c>
      <c r="B1136">
        <v>1</v>
      </c>
      <c r="C1136">
        <v>3</v>
      </c>
      <c r="D1136">
        <v>11</v>
      </c>
      <c r="E1136">
        <v>1</v>
      </c>
      <c r="F1136">
        <v>6.7577893701435103</v>
      </c>
      <c r="G1136">
        <v>17</v>
      </c>
      <c r="H1136">
        <v>61</v>
      </c>
      <c r="I1136">
        <v>57</v>
      </c>
      <c r="J1136">
        <v>2</v>
      </c>
      <c r="K1136">
        <v>0</v>
      </c>
      <c r="L1136" t="str">
        <f t="shared" si="221"/>
        <v>C1135</v>
      </c>
      <c r="M1136" t="str">
        <f t="shared" si="222"/>
        <v>Female</v>
      </c>
      <c r="N1136" t="str">
        <f t="shared" si="223"/>
        <v>Master's</v>
      </c>
      <c r="O1136" t="str">
        <f t="shared" si="224"/>
        <v>Senior Level</v>
      </c>
      <c r="P1136" t="str">
        <f t="shared" si="225"/>
        <v>Low</v>
      </c>
      <c r="Q1136" t="str">
        <f t="shared" si="226"/>
        <v>Intermediate</v>
      </c>
      <c r="R1136" t="str">
        <f t="shared" si="227"/>
        <v>Good</v>
      </c>
      <c r="S1136" t="str">
        <f t="shared" si="228"/>
        <v>Not Hired</v>
      </c>
      <c r="T1136">
        <f t="shared" si="229"/>
        <v>50</v>
      </c>
      <c r="U1136" t="str">
        <f t="shared" si="230"/>
        <v>Developing</v>
      </c>
      <c r="V1136" t="str">
        <f t="shared" si="231"/>
        <v>Technical Skills</v>
      </c>
      <c r="W1136" t="str">
        <f t="shared" si="232"/>
        <v>Interview Preparation</v>
      </c>
      <c r="X1136" t="str">
        <f t="shared" si="233"/>
        <v>Improve interview preparation and communication</v>
      </c>
    </row>
    <row r="1137" spans="1:24" x14ac:dyDescent="0.3">
      <c r="A1137">
        <v>30</v>
      </c>
      <c r="B1137">
        <v>0</v>
      </c>
      <c r="C1137">
        <v>2</v>
      </c>
      <c r="D1137">
        <v>9</v>
      </c>
      <c r="E1137">
        <v>5</v>
      </c>
      <c r="F1137">
        <v>30.406303273392702</v>
      </c>
      <c r="G1137">
        <v>53</v>
      </c>
      <c r="H1137">
        <v>68</v>
      </c>
      <c r="I1137">
        <v>4</v>
      </c>
      <c r="J1137">
        <v>1</v>
      </c>
      <c r="K1137">
        <v>1</v>
      </c>
      <c r="L1137" t="str">
        <f t="shared" si="221"/>
        <v>C1136</v>
      </c>
      <c r="M1137" t="str">
        <f t="shared" si="222"/>
        <v>Male</v>
      </c>
      <c r="N1137" t="str">
        <f t="shared" si="223"/>
        <v>Bachelor's Type 2</v>
      </c>
      <c r="O1137" t="str">
        <f t="shared" si="224"/>
        <v>Senior Level</v>
      </c>
      <c r="P1137" t="str">
        <f t="shared" si="225"/>
        <v>Average</v>
      </c>
      <c r="Q1137" t="str">
        <f t="shared" si="226"/>
        <v>Intermediate</v>
      </c>
      <c r="R1137" t="str">
        <f t="shared" si="227"/>
        <v>Needs Improvement</v>
      </c>
      <c r="S1137" t="str">
        <f t="shared" si="228"/>
        <v>Hired</v>
      </c>
      <c r="T1137">
        <f t="shared" si="229"/>
        <v>49</v>
      </c>
      <c r="U1137" t="str">
        <f t="shared" si="230"/>
        <v>Needs Improvement</v>
      </c>
      <c r="V1137" t="str">
        <f t="shared" si="231"/>
        <v>Technical Skills</v>
      </c>
      <c r="W1137" t="str">
        <f t="shared" si="232"/>
        <v>Personality &amp; Communication</v>
      </c>
      <c r="X1137" t="str">
        <f t="shared" si="233"/>
        <v>Work on communication and personality development</v>
      </c>
    </row>
    <row r="1138" spans="1:24" x14ac:dyDescent="0.3">
      <c r="A1138">
        <v>41</v>
      </c>
      <c r="B1138">
        <v>1</v>
      </c>
      <c r="C1138">
        <v>3</v>
      </c>
      <c r="D1138">
        <v>13</v>
      </c>
      <c r="E1138">
        <v>4</v>
      </c>
      <c r="F1138">
        <v>34.348285174358999</v>
      </c>
      <c r="G1138">
        <v>0</v>
      </c>
      <c r="H1138">
        <v>51</v>
      </c>
      <c r="I1138">
        <v>76</v>
      </c>
      <c r="J1138">
        <v>1</v>
      </c>
      <c r="K1138">
        <v>1</v>
      </c>
      <c r="L1138" t="str">
        <f t="shared" si="221"/>
        <v>C1137</v>
      </c>
      <c r="M1138" t="str">
        <f t="shared" si="222"/>
        <v>Female</v>
      </c>
      <c r="N1138" t="str">
        <f t="shared" si="223"/>
        <v>Master's</v>
      </c>
      <c r="O1138" t="str">
        <f t="shared" si="224"/>
        <v>Senior Level</v>
      </c>
      <c r="P1138" t="str">
        <f t="shared" si="225"/>
        <v>Low</v>
      </c>
      <c r="Q1138" t="str">
        <f t="shared" si="226"/>
        <v>Intermediate</v>
      </c>
      <c r="R1138" t="str">
        <f t="shared" si="227"/>
        <v>Strong</v>
      </c>
      <c r="S1138" t="str">
        <f t="shared" si="228"/>
        <v>Hired</v>
      </c>
      <c r="T1138">
        <f t="shared" si="229"/>
        <v>47</v>
      </c>
      <c r="U1138" t="str">
        <f t="shared" si="230"/>
        <v>Needs Improvement</v>
      </c>
      <c r="V1138" t="str">
        <f t="shared" si="231"/>
        <v>Personality</v>
      </c>
      <c r="W1138" t="str">
        <f t="shared" si="232"/>
        <v>Interview Preparation</v>
      </c>
      <c r="X1138" t="str">
        <f t="shared" si="233"/>
        <v>Improve interview preparation and communication</v>
      </c>
    </row>
    <row r="1139" spans="1:24" x14ac:dyDescent="0.3">
      <c r="A1139">
        <v>35</v>
      </c>
      <c r="B1139">
        <v>1</v>
      </c>
      <c r="C1139">
        <v>3</v>
      </c>
      <c r="D1139">
        <v>14</v>
      </c>
      <c r="E1139">
        <v>5</v>
      </c>
      <c r="F1139">
        <v>11.0356421456896</v>
      </c>
      <c r="G1139">
        <v>60</v>
      </c>
      <c r="H1139">
        <v>85</v>
      </c>
      <c r="I1139">
        <v>4</v>
      </c>
      <c r="J1139">
        <v>1</v>
      </c>
      <c r="K1139">
        <v>1</v>
      </c>
      <c r="L1139" t="str">
        <f t="shared" si="221"/>
        <v>C1138</v>
      </c>
      <c r="M1139" t="str">
        <f t="shared" si="222"/>
        <v>Female</v>
      </c>
      <c r="N1139" t="str">
        <f t="shared" si="223"/>
        <v>Master's</v>
      </c>
      <c r="O1139" t="str">
        <f t="shared" si="224"/>
        <v>Senior Level</v>
      </c>
      <c r="P1139" t="str">
        <f t="shared" si="225"/>
        <v>Average</v>
      </c>
      <c r="Q1139" t="str">
        <f t="shared" si="226"/>
        <v>Advanced</v>
      </c>
      <c r="R1139" t="str">
        <f t="shared" si="227"/>
        <v>Needs Improvement</v>
      </c>
      <c r="S1139" t="str">
        <f t="shared" si="228"/>
        <v>Hired</v>
      </c>
      <c r="T1139">
        <f t="shared" si="229"/>
        <v>62</v>
      </c>
      <c r="U1139" t="str">
        <f t="shared" si="230"/>
        <v>Developing</v>
      </c>
      <c r="V1139" t="str">
        <f t="shared" si="231"/>
        <v>Technical Skills</v>
      </c>
      <c r="W1139" t="str">
        <f t="shared" si="232"/>
        <v>Personality &amp; Communication</v>
      </c>
      <c r="X1139" t="str">
        <f t="shared" si="233"/>
        <v>Work on communication and personality development</v>
      </c>
    </row>
    <row r="1140" spans="1:24" x14ac:dyDescent="0.3">
      <c r="A1140">
        <v>27</v>
      </c>
      <c r="B1140">
        <v>0</v>
      </c>
      <c r="C1140">
        <v>1</v>
      </c>
      <c r="D1140">
        <v>5</v>
      </c>
      <c r="E1140">
        <v>5</v>
      </c>
      <c r="F1140">
        <v>45.0077366455129</v>
      </c>
      <c r="G1140">
        <v>2</v>
      </c>
      <c r="H1140">
        <v>4</v>
      </c>
      <c r="I1140">
        <v>59</v>
      </c>
      <c r="J1140">
        <v>2</v>
      </c>
      <c r="K1140">
        <v>0</v>
      </c>
      <c r="L1140" t="str">
        <f t="shared" si="221"/>
        <v>C1139</v>
      </c>
      <c r="M1140" t="str">
        <f t="shared" si="222"/>
        <v>Male</v>
      </c>
      <c r="N1140" t="str">
        <f t="shared" si="223"/>
        <v>Bachelor's Type 1</v>
      </c>
      <c r="O1140" t="str">
        <f t="shared" si="224"/>
        <v>Mid Level</v>
      </c>
      <c r="P1140" t="str">
        <f t="shared" si="225"/>
        <v>Low</v>
      </c>
      <c r="Q1140" t="str">
        <f t="shared" si="226"/>
        <v>Beginner</v>
      </c>
      <c r="R1140" t="str">
        <f t="shared" si="227"/>
        <v>Good</v>
      </c>
      <c r="S1140" t="str">
        <f t="shared" si="228"/>
        <v>Not Hired</v>
      </c>
      <c r="T1140">
        <f t="shared" si="229"/>
        <v>21</v>
      </c>
      <c r="U1140" t="str">
        <f t="shared" si="230"/>
        <v>Needs Improvement</v>
      </c>
      <c r="V1140" t="str">
        <f t="shared" si="231"/>
        <v>Personality</v>
      </c>
      <c r="W1140" t="str">
        <f t="shared" si="232"/>
        <v>Interview Preparation</v>
      </c>
      <c r="X1140" t="str">
        <f t="shared" si="233"/>
        <v>Improve interview preparation and communication</v>
      </c>
    </row>
    <row r="1141" spans="1:24" x14ac:dyDescent="0.3">
      <c r="A1141">
        <v>23</v>
      </c>
      <c r="B1141">
        <v>1</v>
      </c>
      <c r="C1141">
        <v>2</v>
      </c>
      <c r="D1141">
        <v>3</v>
      </c>
      <c r="E1141">
        <v>5</v>
      </c>
      <c r="F1141">
        <v>10.7498368760509</v>
      </c>
      <c r="G1141">
        <v>67</v>
      </c>
      <c r="H1141">
        <v>58</v>
      </c>
      <c r="I1141">
        <v>95</v>
      </c>
      <c r="J1141">
        <v>1</v>
      </c>
      <c r="K1141">
        <v>1</v>
      </c>
      <c r="L1141" t="str">
        <f t="shared" si="221"/>
        <v>C1140</v>
      </c>
      <c r="M1141" t="str">
        <f t="shared" si="222"/>
        <v>Female</v>
      </c>
      <c r="N1141" t="str">
        <f t="shared" si="223"/>
        <v>Bachelor's Type 2</v>
      </c>
      <c r="O1141" t="str">
        <f t="shared" si="224"/>
        <v>Mid Level</v>
      </c>
      <c r="P1141" t="str">
        <f t="shared" si="225"/>
        <v>Average</v>
      </c>
      <c r="Q1141" t="str">
        <f t="shared" si="226"/>
        <v>Intermediate</v>
      </c>
      <c r="R1141" t="str">
        <f t="shared" si="227"/>
        <v>Strong</v>
      </c>
      <c r="S1141" t="str">
        <f t="shared" si="228"/>
        <v>Hired</v>
      </c>
      <c r="T1141">
        <f t="shared" si="229"/>
        <v>62</v>
      </c>
      <c r="U1141" t="str">
        <f t="shared" si="230"/>
        <v>Developing</v>
      </c>
      <c r="V1141" t="str">
        <f t="shared" si="231"/>
        <v>Personality</v>
      </c>
      <c r="W1141" t="str">
        <f t="shared" si="232"/>
        <v>Technical Skills</v>
      </c>
      <c r="X1141" t="str">
        <f t="shared" si="233"/>
        <v>Strengthen technical skills and practical knowledge</v>
      </c>
    </row>
    <row r="1142" spans="1:24" x14ac:dyDescent="0.3">
      <c r="A1142">
        <v>27</v>
      </c>
      <c r="B1142">
        <v>1</v>
      </c>
      <c r="C1142">
        <v>4</v>
      </c>
      <c r="D1142">
        <v>11</v>
      </c>
      <c r="E1142">
        <v>3</v>
      </c>
      <c r="F1142">
        <v>16.673867992322499</v>
      </c>
      <c r="G1142">
        <v>40</v>
      </c>
      <c r="H1142">
        <v>67</v>
      </c>
      <c r="I1142">
        <v>20</v>
      </c>
      <c r="J1142">
        <v>2</v>
      </c>
      <c r="K1142">
        <v>0</v>
      </c>
      <c r="L1142" t="str">
        <f t="shared" si="221"/>
        <v>C1141</v>
      </c>
      <c r="M1142" t="str">
        <f t="shared" si="222"/>
        <v>Female</v>
      </c>
      <c r="N1142" t="str">
        <f t="shared" si="223"/>
        <v>PhD</v>
      </c>
      <c r="O1142" t="str">
        <f t="shared" si="224"/>
        <v>Senior Level</v>
      </c>
      <c r="P1142" t="str">
        <f t="shared" si="225"/>
        <v>Low</v>
      </c>
      <c r="Q1142" t="str">
        <f t="shared" si="226"/>
        <v>Intermediate</v>
      </c>
      <c r="R1142" t="str">
        <f t="shared" si="227"/>
        <v>Needs Improvement</v>
      </c>
      <c r="S1142" t="str">
        <f t="shared" si="228"/>
        <v>Not Hired</v>
      </c>
      <c r="T1142">
        <f t="shared" si="229"/>
        <v>52</v>
      </c>
      <c r="U1142" t="str">
        <f t="shared" si="230"/>
        <v>Developing</v>
      </c>
      <c r="V1142" t="str">
        <f t="shared" si="231"/>
        <v>Technical Skills</v>
      </c>
      <c r="W1142" t="str">
        <f t="shared" si="232"/>
        <v>Personality &amp; Communication</v>
      </c>
      <c r="X1142" t="str">
        <f t="shared" si="233"/>
        <v>Work on communication and personality development</v>
      </c>
    </row>
    <row r="1143" spans="1:24" x14ac:dyDescent="0.3">
      <c r="A1143">
        <v>23</v>
      </c>
      <c r="B1143">
        <v>1</v>
      </c>
      <c r="C1143">
        <v>1</v>
      </c>
      <c r="D1143">
        <v>6</v>
      </c>
      <c r="E1143">
        <v>5</v>
      </c>
      <c r="F1143">
        <v>32.0278423511729</v>
      </c>
      <c r="G1143">
        <v>36</v>
      </c>
      <c r="H1143">
        <v>8</v>
      </c>
      <c r="I1143">
        <v>23</v>
      </c>
      <c r="J1143">
        <v>2</v>
      </c>
      <c r="K1143">
        <v>0</v>
      </c>
      <c r="L1143" t="str">
        <f t="shared" si="221"/>
        <v>C1142</v>
      </c>
      <c r="M1143" t="str">
        <f t="shared" si="222"/>
        <v>Female</v>
      </c>
      <c r="N1143" t="str">
        <f t="shared" si="223"/>
        <v>Bachelor's Type 1</v>
      </c>
      <c r="O1143" t="str">
        <f t="shared" si="224"/>
        <v>Mid Level</v>
      </c>
      <c r="P1143" t="str">
        <f t="shared" si="225"/>
        <v>Low</v>
      </c>
      <c r="Q1143" t="str">
        <f t="shared" si="226"/>
        <v>Beginner</v>
      </c>
      <c r="R1143" t="str">
        <f t="shared" si="227"/>
        <v>Needs Improvement</v>
      </c>
      <c r="S1143" t="str">
        <f t="shared" si="228"/>
        <v>Not Hired</v>
      </c>
      <c r="T1143">
        <f t="shared" si="229"/>
        <v>26</v>
      </c>
      <c r="U1143" t="str">
        <f t="shared" si="230"/>
        <v>Needs Improvement</v>
      </c>
      <c r="V1143" t="str">
        <f t="shared" si="231"/>
        <v>Interview</v>
      </c>
      <c r="W1143" t="str">
        <f t="shared" si="232"/>
        <v>Technical Skills</v>
      </c>
      <c r="X1143" t="str">
        <f t="shared" si="233"/>
        <v>Strengthen technical skills and practical knowledge</v>
      </c>
    </row>
    <row r="1144" spans="1:24" x14ac:dyDescent="0.3">
      <c r="A1144">
        <v>43</v>
      </c>
      <c r="B1144">
        <v>1</v>
      </c>
      <c r="C1144">
        <v>3</v>
      </c>
      <c r="D1144">
        <v>7</v>
      </c>
      <c r="E1144">
        <v>2</v>
      </c>
      <c r="F1144">
        <v>32.917503256536499</v>
      </c>
      <c r="G1144">
        <v>50</v>
      </c>
      <c r="H1144">
        <v>92</v>
      </c>
      <c r="I1144">
        <v>17</v>
      </c>
      <c r="J1144">
        <v>1</v>
      </c>
      <c r="K1144">
        <v>1</v>
      </c>
      <c r="L1144" t="str">
        <f t="shared" si="221"/>
        <v>C1143</v>
      </c>
      <c r="M1144" t="str">
        <f t="shared" si="222"/>
        <v>Female</v>
      </c>
      <c r="N1144" t="str">
        <f t="shared" si="223"/>
        <v>Master's</v>
      </c>
      <c r="O1144" t="str">
        <f t="shared" si="224"/>
        <v>Senior Level</v>
      </c>
      <c r="P1144" t="str">
        <f t="shared" si="225"/>
        <v>Average</v>
      </c>
      <c r="Q1144" t="str">
        <f t="shared" si="226"/>
        <v>Advanced</v>
      </c>
      <c r="R1144" t="str">
        <f t="shared" si="227"/>
        <v>Needs Improvement</v>
      </c>
      <c r="S1144" t="str">
        <f t="shared" si="228"/>
        <v>Hired</v>
      </c>
      <c r="T1144">
        <f t="shared" si="229"/>
        <v>57</v>
      </c>
      <c r="U1144" t="str">
        <f t="shared" si="230"/>
        <v>Developing</v>
      </c>
      <c r="V1144" t="str">
        <f t="shared" si="231"/>
        <v>Technical Skills</v>
      </c>
      <c r="W1144" t="str">
        <f t="shared" si="232"/>
        <v>Personality &amp; Communication</v>
      </c>
      <c r="X1144" t="str">
        <f t="shared" si="233"/>
        <v>Work on communication and personality development</v>
      </c>
    </row>
    <row r="1145" spans="1:24" x14ac:dyDescent="0.3">
      <c r="A1145">
        <v>44</v>
      </c>
      <c r="B1145">
        <v>1</v>
      </c>
      <c r="C1145">
        <v>4</v>
      </c>
      <c r="D1145">
        <v>8</v>
      </c>
      <c r="E1145">
        <v>2</v>
      </c>
      <c r="F1145">
        <v>35.969237049368303</v>
      </c>
      <c r="G1145">
        <v>14</v>
      </c>
      <c r="H1145">
        <v>21</v>
      </c>
      <c r="I1145">
        <v>20</v>
      </c>
      <c r="J1145">
        <v>1</v>
      </c>
      <c r="K1145">
        <v>1</v>
      </c>
      <c r="L1145" t="str">
        <f t="shared" si="221"/>
        <v>C1144</v>
      </c>
      <c r="M1145" t="str">
        <f t="shared" si="222"/>
        <v>Female</v>
      </c>
      <c r="N1145" t="str">
        <f t="shared" si="223"/>
        <v>PhD</v>
      </c>
      <c r="O1145" t="str">
        <f t="shared" si="224"/>
        <v>Senior Level</v>
      </c>
      <c r="P1145" t="str">
        <f t="shared" si="225"/>
        <v>Low</v>
      </c>
      <c r="Q1145" t="str">
        <f t="shared" si="226"/>
        <v>Beginner</v>
      </c>
      <c r="R1145" t="str">
        <f t="shared" si="227"/>
        <v>Needs Improvement</v>
      </c>
      <c r="S1145" t="str">
        <f t="shared" si="228"/>
        <v>Hired</v>
      </c>
      <c r="T1145">
        <f t="shared" si="229"/>
        <v>28</v>
      </c>
      <c r="U1145" t="str">
        <f t="shared" si="230"/>
        <v>Needs Improvement</v>
      </c>
      <c r="V1145" t="str">
        <f t="shared" si="231"/>
        <v>Technical Skills</v>
      </c>
      <c r="W1145" t="str">
        <f t="shared" si="232"/>
        <v>Interview Preparation</v>
      </c>
      <c r="X1145" t="str">
        <f t="shared" si="233"/>
        <v>Improve interview preparation and communication</v>
      </c>
    </row>
    <row r="1146" spans="1:24" x14ac:dyDescent="0.3">
      <c r="A1146">
        <v>22</v>
      </c>
      <c r="B1146">
        <v>1</v>
      </c>
      <c r="C1146">
        <v>1</v>
      </c>
      <c r="D1146">
        <v>12</v>
      </c>
      <c r="E1146">
        <v>1</v>
      </c>
      <c r="F1146">
        <v>6.6005856534102803</v>
      </c>
      <c r="G1146">
        <v>7</v>
      </c>
      <c r="H1146">
        <v>26</v>
      </c>
      <c r="I1146">
        <v>53</v>
      </c>
      <c r="J1146">
        <v>2</v>
      </c>
      <c r="K1146">
        <v>0</v>
      </c>
      <c r="L1146" t="str">
        <f t="shared" si="221"/>
        <v>C1145</v>
      </c>
      <c r="M1146" t="str">
        <f t="shared" si="222"/>
        <v>Female</v>
      </c>
      <c r="N1146" t="str">
        <f t="shared" si="223"/>
        <v>Bachelor's Type 1</v>
      </c>
      <c r="O1146" t="str">
        <f t="shared" si="224"/>
        <v>Senior Level</v>
      </c>
      <c r="P1146" t="str">
        <f t="shared" si="225"/>
        <v>Low</v>
      </c>
      <c r="Q1146" t="str">
        <f t="shared" si="226"/>
        <v>Beginner</v>
      </c>
      <c r="R1146" t="str">
        <f t="shared" si="227"/>
        <v>Good</v>
      </c>
      <c r="S1146" t="str">
        <f t="shared" si="228"/>
        <v>Not Hired</v>
      </c>
      <c r="T1146">
        <f t="shared" si="229"/>
        <v>35</v>
      </c>
      <c r="U1146" t="str">
        <f t="shared" si="230"/>
        <v>Needs Improvement</v>
      </c>
      <c r="V1146" t="str">
        <f t="shared" si="231"/>
        <v>Personality</v>
      </c>
      <c r="W1146" t="str">
        <f t="shared" si="232"/>
        <v>Interview Preparation</v>
      </c>
      <c r="X1146" t="str">
        <f t="shared" si="233"/>
        <v>Improve interview preparation and communication</v>
      </c>
    </row>
    <row r="1147" spans="1:24" x14ac:dyDescent="0.3">
      <c r="A1147">
        <v>22</v>
      </c>
      <c r="B1147">
        <v>1</v>
      </c>
      <c r="C1147">
        <v>2</v>
      </c>
      <c r="D1147">
        <v>15</v>
      </c>
      <c r="E1147">
        <v>3</v>
      </c>
      <c r="F1147">
        <v>43.473221496427698</v>
      </c>
      <c r="G1147">
        <v>37</v>
      </c>
      <c r="H1147">
        <v>9</v>
      </c>
      <c r="I1147">
        <v>9</v>
      </c>
      <c r="J1147">
        <v>2</v>
      </c>
      <c r="K1147">
        <v>0</v>
      </c>
      <c r="L1147" t="str">
        <f t="shared" si="221"/>
        <v>C1146</v>
      </c>
      <c r="M1147" t="str">
        <f t="shared" si="222"/>
        <v>Female</v>
      </c>
      <c r="N1147" t="str">
        <f t="shared" si="223"/>
        <v>Bachelor's Type 2</v>
      </c>
      <c r="O1147" t="str">
        <f t="shared" si="224"/>
        <v>Senior Level</v>
      </c>
      <c r="P1147" t="str">
        <f t="shared" si="225"/>
        <v>Low</v>
      </c>
      <c r="Q1147" t="str">
        <f t="shared" si="226"/>
        <v>Beginner</v>
      </c>
      <c r="R1147" t="str">
        <f t="shared" si="227"/>
        <v>Needs Improvement</v>
      </c>
      <c r="S1147" t="str">
        <f t="shared" si="228"/>
        <v>Not Hired</v>
      </c>
      <c r="T1147">
        <f t="shared" si="229"/>
        <v>33</v>
      </c>
      <c r="U1147" t="str">
        <f t="shared" si="230"/>
        <v>Needs Improvement</v>
      </c>
      <c r="V1147" t="str">
        <f t="shared" si="231"/>
        <v>Interview</v>
      </c>
      <c r="W1147" t="str">
        <f t="shared" si="232"/>
        <v>Technical Skills</v>
      </c>
      <c r="X1147" t="str">
        <f t="shared" si="233"/>
        <v>Strengthen technical skills and practical knowledge</v>
      </c>
    </row>
    <row r="1148" spans="1:24" x14ac:dyDescent="0.3">
      <c r="A1148">
        <v>46</v>
      </c>
      <c r="B1148">
        <v>1</v>
      </c>
      <c r="C1148">
        <v>2</v>
      </c>
      <c r="D1148">
        <v>10</v>
      </c>
      <c r="E1148">
        <v>1</v>
      </c>
      <c r="F1148">
        <v>27.6423566141629</v>
      </c>
      <c r="G1148">
        <v>82</v>
      </c>
      <c r="H1148">
        <v>79</v>
      </c>
      <c r="I1148">
        <v>23</v>
      </c>
      <c r="J1148">
        <v>3</v>
      </c>
      <c r="K1148">
        <v>0</v>
      </c>
      <c r="L1148" t="str">
        <f t="shared" si="221"/>
        <v>C1147</v>
      </c>
      <c r="M1148" t="str">
        <f t="shared" si="222"/>
        <v>Female</v>
      </c>
      <c r="N1148" t="str">
        <f t="shared" si="223"/>
        <v>Bachelor's Type 2</v>
      </c>
      <c r="O1148" t="str">
        <f t="shared" si="224"/>
        <v>Senior Level</v>
      </c>
      <c r="P1148" t="str">
        <f t="shared" si="225"/>
        <v>Strong</v>
      </c>
      <c r="Q1148" t="str">
        <f t="shared" si="226"/>
        <v>Advanced</v>
      </c>
      <c r="R1148" t="str">
        <f t="shared" si="227"/>
        <v>Needs Improvement</v>
      </c>
      <c r="S1148" t="str">
        <f t="shared" si="228"/>
        <v>Not Hired</v>
      </c>
      <c r="T1148">
        <f t="shared" si="229"/>
        <v>65</v>
      </c>
      <c r="U1148" t="str">
        <f t="shared" si="230"/>
        <v>Developing</v>
      </c>
      <c r="V1148" t="str">
        <f t="shared" si="231"/>
        <v>Interview</v>
      </c>
      <c r="W1148" t="str">
        <f t="shared" si="232"/>
        <v>Personality &amp; Communication</v>
      </c>
      <c r="X1148" t="str">
        <f t="shared" si="233"/>
        <v>Work on communication and personality development</v>
      </c>
    </row>
    <row r="1149" spans="1:24" x14ac:dyDescent="0.3">
      <c r="A1149">
        <v>48</v>
      </c>
      <c r="B1149">
        <v>0</v>
      </c>
      <c r="C1149">
        <v>2</v>
      </c>
      <c r="D1149">
        <v>5</v>
      </c>
      <c r="E1149">
        <v>2</v>
      </c>
      <c r="F1149">
        <v>24.5660897052534</v>
      </c>
      <c r="G1149">
        <v>55</v>
      </c>
      <c r="H1149">
        <v>60</v>
      </c>
      <c r="I1149">
        <v>84</v>
      </c>
      <c r="J1149">
        <v>1</v>
      </c>
      <c r="K1149">
        <v>1</v>
      </c>
      <c r="L1149" t="str">
        <f t="shared" si="221"/>
        <v>C1148</v>
      </c>
      <c r="M1149" t="str">
        <f t="shared" si="222"/>
        <v>Male</v>
      </c>
      <c r="N1149" t="str">
        <f t="shared" si="223"/>
        <v>Bachelor's Type 2</v>
      </c>
      <c r="O1149" t="str">
        <f t="shared" si="224"/>
        <v>Mid Level</v>
      </c>
      <c r="P1149" t="str">
        <f t="shared" si="225"/>
        <v>Average</v>
      </c>
      <c r="Q1149" t="str">
        <f t="shared" si="226"/>
        <v>Intermediate</v>
      </c>
      <c r="R1149" t="str">
        <f t="shared" si="227"/>
        <v>Strong</v>
      </c>
      <c r="S1149" t="str">
        <f t="shared" si="228"/>
        <v>Hired</v>
      </c>
      <c r="T1149">
        <f t="shared" si="229"/>
        <v>59</v>
      </c>
      <c r="U1149" t="str">
        <f t="shared" si="230"/>
        <v>Developing</v>
      </c>
      <c r="V1149" t="str">
        <f t="shared" si="231"/>
        <v>Personality</v>
      </c>
      <c r="W1149" t="str">
        <f t="shared" si="232"/>
        <v>Interview Preparation</v>
      </c>
      <c r="X1149" t="str">
        <f t="shared" si="233"/>
        <v>Improve interview preparation and communication</v>
      </c>
    </row>
    <row r="1150" spans="1:24" x14ac:dyDescent="0.3">
      <c r="A1150">
        <v>37</v>
      </c>
      <c r="B1150">
        <v>0</v>
      </c>
      <c r="C1150">
        <v>1</v>
      </c>
      <c r="D1150">
        <v>14</v>
      </c>
      <c r="E1150">
        <v>2</v>
      </c>
      <c r="F1150">
        <v>50.054881225675402</v>
      </c>
      <c r="G1150">
        <v>46</v>
      </c>
      <c r="H1150">
        <v>50</v>
      </c>
      <c r="I1150">
        <v>88</v>
      </c>
      <c r="J1150">
        <v>1</v>
      </c>
      <c r="K1150">
        <v>1</v>
      </c>
      <c r="L1150" t="str">
        <f t="shared" si="221"/>
        <v>C1149</v>
      </c>
      <c r="M1150" t="str">
        <f t="shared" si="222"/>
        <v>Male</v>
      </c>
      <c r="N1150" t="str">
        <f t="shared" si="223"/>
        <v>Bachelor's Type 1</v>
      </c>
      <c r="O1150" t="str">
        <f t="shared" si="224"/>
        <v>Senior Level</v>
      </c>
      <c r="P1150" t="str">
        <f t="shared" si="225"/>
        <v>Low</v>
      </c>
      <c r="Q1150" t="str">
        <f t="shared" si="226"/>
        <v>Intermediate</v>
      </c>
      <c r="R1150" t="str">
        <f t="shared" si="227"/>
        <v>Strong</v>
      </c>
      <c r="S1150" t="str">
        <f t="shared" si="228"/>
        <v>Hired</v>
      </c>
      <c r="T1150">
        <f t="shared" si="229"/>
        <v>63</v>
      </c>
      <c r="U1150" t="str">
        <f t="shared" si="230"/>
        <v>Developing</v>
      </c>
      <c r="V1150" t="str">
        <f t="shared" si="231"/>
        <v>Personality</v>
      </c>
      <c r="W1150" t="str">
        <f t="shared" si="232"/>
        <v>Interview Preparation</v>
      </c>
      <c r="X1150" t="str">
        <f t="shared" si="233"/>
        <v>Improve interview preparation and communication</v>
      </c>
    </row>
    <row r="1151" spans="1:24" x14ac:dyDescent="0.3">
      <c r="A1151">
        <v>48</v>
      </c>
      <c r="B1151">
        <v>1</v>
      </c>
      <c r="C1151">
        <v>1</v>
      </c>
      <c r="D1151">
        <v>5</v>
      </c>
      <c r="E1151">
        <v>4</v>
      </c>
      <c r="F1151">
        <v>38.018914847050901</v>
      </c>
      <c r="G1151">
        <v>89</v>
      </c>
      <c r="H1151">
        <v>9</v>
      </c>
      <c r="I1151">
        <v>59</v>
      </c>
      <c r="J1151">
        <v>1</v>
      </c>
      <c r="K1151">
        <v>0</v>
      </c>
      <c r="L1151" t="str">
        <f t="shared" si="221"/>
        <v>C1150</v>
      </c>
      <c r="M1151" t="str">
        <f t="shared" si="222"/>
        <v>Female</v>
      </c>
      <c r="N1151" t="str">
        <f t="shared" si="223"/>
        <v>Bachelor's Type 1</v>
      </c>
      <c r="O1151" t="str">
        <f t="shared" si="224"/>
        <v>Mid Level</v>
      </c>
      <c r="P1151" t="str">
        <f t="shared" si="225"/>
        <v>Strong</v>
      </c>
      <c r="Q1151" t="str">
        <f t="shared" si="226"/>
        <v>Beginner</v>
      </c>
      <c r="R1151" t="str">
        <f t="shared" si="227"/>
        <v>Good</v>
      </c>
      <c r="S1151" t="str">
        <f t="shared" si="228"/>
        <v>Not Hired</v>
      </c>
      <c r="T1151">
        <f t="shared" si="229"/>
        <v>49</v>
      </c>
      <c r="U1151" t="str">
        <f t="shared" si="230"/>
        <v>Needs Improvement</v>
      </c>
      <c r="V1151" t="str">
        <f t="shared" si="231"/>
        <v>Interview</v>
      </c>
      <c r="W1151" t="str">
        <f t="shared" si="232"/>
        <v>Technical Skills</v>
      </c>
      <c r="X1151" t="str">
        <f t="shared" si="233"/>
        <v>Strengthen technical skills and practical knowledge</v>
      </c>
    </row>
    <row r="1152" spans="1:24" x14ac:dyDescent="0.3">
      <c r="A1152">
        <v>45</v>
      </c>
      <c r="B1152">
        <v>0</v>
      </c>
      <c r="C1152">
        <v>2</v>
      </c>
      <c r="D1152">
        <v>7</v>
      </c>
      <c r="E1152">
        <v>5</v>
      </c>
      <c r="F1152">
        <v>6.9003013309687402</v>
      </c>
      <c r="G1152">
        <v>9</v>
      </c>
      <c r="H1152">
        <v>5</v>
      </c>
      <c r="I1152">
        <v>56</v>
      </c>
      <c r="J1152">
        <v>2</v>
      </c>
      <c r="K1152">
        <v>0</v>
      </c>
      <c r="L1152" t="str">
        <f t="shared" si="221"/>
        <v>C1151</v>
      </c>
      <c r="M1152" t="str">
        <f t="shared" si="222"/>
        <v>Male</v>
      </c>
      <c r="N1152" t="str">
        <f t="shared" si="223"/>
        <v>Bachelor's Type 2</v>
      </c>
      <c r="O1152" t="str">
        <f t="shared" si="224"/>
        <v>Senior Level</v>
      </c>
      <c r="P1152" t="str">
        <f t="shared" si="225"/>
        <v>Low</v>
      </c>
      <c r="Q1152" t="str">
        <f t="shared" si="226"/>
        <v>Beginner</v>
      </c>
      <c r="R1152" t="str">
        <f t="shared" si="227"/>
        <v>Good</v>
      </c>
      <c r="S1152" t="str">
        <f t="shared" si="228"/>
        <v>Not Hired</v>
      </c>
      <c r="T1152">
        <f t="shared" si="229"/>
        <v>25</v>
      </c>
      <c r="U1152" t="str">
        <f t="shared" si="230"/>
        <v>Needs Improvement</v>
      </c>
      <c r="V1152" t="str">
        <f t="shared" si="231"/>
        <v>Personality</v>
      </c>
      <c r="W1152" t="str">
        <f t="shared" si="232"/>
        <v>Technical Skills</v>
      </c>
      <c r="X1152" t="str">
        <f t="shared" si="233"/>
        <v>Strengthen technical skills and practical knowledge</v>
      </c>
    </row>
    <row r="1153" spans="1:24" x14ac:dyDescent="0.3">
      <c r="A1153">
        <v>38</v>
      </c>
      <c r="B1153">
        <v>1</v>
      </c>
      <c r="C1153">
        <v>3</v>
      </c>
      <c r="D1153">
        <v>11</v>
      </c>
      <c r="E1153">
        <v>2</v>
      </c>
      <c r="F1153">
        <v>38.826958361312002</v>
      </c>
      <c r="G1153">
        <v>77</v>
      </c>
      <c r="H1153">
        <v>61</v>
      </c>
      <c r="I1153">
        <v>22</v>
      </c>
      <c r="J1153">
        <v>2</v>
      </c>
      <c r="K1153">
        <v>1</v>
      </c>
      <c r="L1153" t="str">
        <f t="shared" si="221"/>
        <v>C1152</v>
      </c>
      <c r="M1153" t="str">
        <f t="shared" si="222"/>
        <v>Female</v>
      </c>
      <c r="N1153" t="str">
        <f t="shared" si="223"/>
        <v>Master's</v>
      </c>
      <c r="O1153" t="str">
        <f t="shared" si="224"/>
        <v>Senior Level</v>
      </c>
      <c r="P1153" t="str">
        <f t="shared" si="225"/>
        <v>Strong</v>
      </c>
      <c r="Q1153" t="str">
        <f t="shared" si="226"/>
        <v>Intermediate</v>
      </c>
      <c r="R1153" t="str">
        <f t="shared" si="227"/>
        <v>Needs Improvement</v>
      </c>
      <c r="S1153" t="str">
        <f t="shared" si="228"/>
        <v>Hired</v>
      </c>
      <c r="T1153">
        <f t="shared" si="229"/>
        <v>61</v>
      </c>
      <c r="U1153" t="str">
        <f t="shared" si="230"/>
        <v>Developing</v>
      </c>
      <c r="V1153" t="str">
        <f t="shared" si="231"/>
        <v>Interview</v>
      </c>
      <c r="W1153" t="str">
        <f t="shared" si="232"/>
        <v>Personality &amp; Communication</v>
      </c>
      <c r="X1153" t="str">
        <f t="shared" si="233"/>
        <v>Work on communication and personality development</v>
      </c>
    </row>
    <row r="1154" spans="1:24" x14ac:dyDescent="0.3">
      <c r="A1154">
        <v>38</v>
      </c>
      <c r="B1154">
        <v>1</v>
      </c>
      <c r="C1154">
        <v>3</v>
      </c>
      <c r="D1154">
        <v>4</v>
      </c>
      <c r="E1154">
        <v>1</v>
      </c>
      <c r="F1154">
        <v>5.7624466986434699</v>
      </c>
      <c r="G1154">
        <v>48</v>
      </c>
      <c r="H1154">
        <v>4</v>
      </c>
      <c r="I1154">
        <v>21</v>
      </c>
      <c r="J1154">
        <v>3</v>
      </c>
      <c r="K1154">
        <v>0</v>
      </c>
      <c r="L1154" t="str">
        <f t="shared" si="221"/>
        <v>C1153</v>
      </c>
      <c r="M1154" t="str">
        <f t="shared" si="222"/>
        <v>Female</v>
      </c>
      <c r="N1154" t="str">
        <f t="shared" si="223"/>
        <v>Master's</v>
      </c>
      <c r="O1154" t="str">
        <f t="shared" si="224"/>
        <v>Mid Level</v>
      </c>
      <c r="P1154" t="str">
        <f t="shared" si="225"/>
        <v>Low</v>
      </c>
      <c r="Q1154" t="str">
        <f t="shared" si="226"/>
        <v>Beginner</v>
      </c>
      <c r="R1154" t="str">
        <f t="shared" si="227"/>
        <v>Needs Improvement</v>
      </c>
      <c r="S1154" t="str">
        <f t="shared" si="228"/>
        <v>Not Hired</v>
      </c>
      <c r="T1154">
        <f t="shared" si="229"/>
        <v>28</v>
      </c>
      <c r="U1154" t="str">
        <f t="shared" si="230"/>
        <v>Needs Improvement</v>
      </c>
      <c r="V1154" t="str">
        <f t="shared" si="231"/>
        <v>Interview</v>
      </c>
      <c r="W1154" t="str">
        <f t="shared" si="232"/>
        <v>Technical Skills</v>
      </c>
      <c r="X1154" t="str">
        <f t="shared" si="233"/>
        <v>Strengthen technical skills and practical knowledge</v>
      </c>
    </row>
    <row r="1155" spans="1:24" x14ac:dyDescent="0.3">
      <c r="A1155">
        <v>40</v>
      </c>
      <c r="B1155">
        <v>0</v>
      </c>
      <c r="C1155">
        <v>2</v>
      </c>
      <c r="D1155">
        <v>13</v>
      </c>
      <c r="E1155">
        <v>1</v>
      </c>
      <c r="F1155">
        <v>2.3735281256492402</v>
      </c>
      <c r="G1155">
        <v>40</v>
      </c>
      <c r="H1155">
        <v>69</v>
      </c>
      <c r="I1155">
        <v>67</v>
      </c>
      <c r="J1155">
        <v>2</v>
      </c>
      <c r="K1155">
        <v>0</v>
      </c>
      <c r="L1155" t="str">
        <f t="shared" ref="L1155:L1218" si="234">"C"&amp;TEXT(ROW()-1,"000")</f>
        <v>C1154</v>
      </c>
      <c r="M1155" t="str">
        <f t="shared" ref="M1155:M1218" si="235">IF(B1155=0,"Male","Female")</f>
        <v>Male</v>
      </c>
      <c r="N1155" t="str">
        <f t="shared" ref="N1155:N1218" si="236">IF(C1155=1,"Bachelor's Type 1",IF(C1155=2,"Bachelor's Type 2",IF(C1155=3,"Master's","PhD")))</f>
        <v>Bachelor's Type 2</v>
      </c>
      <c r="O1155" t="str">
        <f t="shared" ref="O1155:O1218" si="237">IF(D1155&lt;=2,"Entry Level",IF(D1155&lt;=6,"Mid Level","Senior Level"))</f>
        <v>Senior Level</v>
      </c>
      <c r="P1155" t="str">
        <f t="shared" ref="P1155:P1218" si="238">IF(G1155&lt;50,"Low",IF(G1155&lt;75,"Average","Strong"))</f>
        <v>Low</v>
      </c>
      <c r="Q1155" t="str">
        <f t="shared" ref="Q1155:Q1218" si="239">IF(H1155&lt;50,"Beginner",IF(H1155&lt;75,"Intermediate","Advanced"))</f>
        <v>Intermediate</v>
      </c>
      <c r="R1155" t="str">
        <f t="shared" ref="R1155:R1218" si="240">IF(I1155&lt;50,"Needs Improvement",IF(I1155&lt;75,"Good","Strong"))</f>
        <v>Good</v>
      </c>
      <c r="S1155" t="str">
        <f t="shared" ref="S1155:S1218" si="241">IF(K1155=1,"Hired","Not Hired")</f>
        <v>Not Hired</v>
      </c>
      <c r="T1155">
        <f t="shared" ref="T1155:T1218" si="242">ROUND((G1155*30%)+(H1155*30%)+(I1155*20%)+((D1155/15)*100*15%)+(IF(C1155&lt;=2,50,IF(C1155=3,75,100))*5%),0)</f>
        <v>62</v>
      </c>
      <c r="U1155" t="str">
        <f t="shared" ref="U1155:U1218" si="243">IF(T1155&lt;50,"Needs Improvement",IF(T1155&lt;75,"Developing","Job Ready"))</f>
        <v>Developing</v>
      </c>
      <c r="V1155" t="str">
        <f t="shared" ref="V1155:V1218" si="244">IF(AND(G1155&gt;=H1155,G1155&gt;=I1155),"Interview",IF(H1155&gt;=I1155,"Technical Skills","Personality"))</f>
        <v>Technical Skills</v>
      </c>
      <c r="W1155" t="str">
        <f t="shared" ref="W1155:W1218" si="245">IF(AND(G1155&lt;=H1155,G1155&lt;=I1155),"Interview Preparation",IF(H1155&lt;=I1155,"Technical Skills","Personality &amp; Communication"))</f>
        <v>Interview Preparation</v>
      </c>
      <c r="X1155" t="str">
        <f t="shared" ref="X1155:X1218" si="246">IF(W1155="Interview Preparation","Improve interview preparation and communication",IF(W1155="Technical Skills","Strengthen technical skills and practical knowledge","Work on communication and personality development"))</f>
        <v>Improve interview preparation and communication</v>
      </c>
    </row>
    <row r="1156" spans="1:24" x14ac:dyDescent="0.3">
      <c r="A1156">
        <v>24</v>
      </c>
      <c r="B1156">
        <v>1</v>
      </c>
      <c r="C1156">
        <v>1</v>
      </c>
      <c r="D1156">
        <v>2</v>
      </c>
      <c r="E1156">
        <v>5</v>
      </c>
      <c r="F1156">
        <v>21.181294763494801</v>
      </c>
      <c r="G1156">
        <v>82</v>
      </c>
      <c r="H1156">
        <v>62</v>
      </c>
      <c r="I1156">
        <v>33</v>
      </c>
      <c r="J1156">
        <v>1</v>
      </c>
      <c r="K1156">
        <v>1</v>
      </c>
      <c r="L1156" t="str">
        <f t="shared" si="234"/>
        <v>C1155</v>
      </c>
      <c r="M1156" t="str">
        <f t="shared" si="235"/>
        <v>Female</v>
      </c>
      <c r="N1156" t="str">
        <f t="shared" si="236"/>
        <v>Bachelor's Type 1</v>
      </c>
      <c r="O1156" t="str">
        <f t="shared" si="237"/>
        <v>Entry Level</v>
      </c>
      <c r="P1156" t="str">
        <f t="shared" si="238"/>
        <v>Strong</v>
      </c>
      <c r="Q1156" t="str">
        <f t="shared" si="239"/>
        <v>Intermediate</v>
      </c>
      <c r="R1156" t="str">
        <f t="shared" si="240"/>
        <v>Needs Improvement</v>
      </c>
      <c r="S1156" t="str">
        <f t="shared" si="241"/>
        <v>Hired</v>
      </c>
      <c r="T1156">
        <f t="shared" si="242"/>
        <v>54</v>
      </c>
      <c r="U1156" t="str">
        <f t="shared" si="243"/>
        <v>Developing</v>
      </c>
      <c r="V1156" t="str">
        <f t="shared" si="244"/>
        <v>Interview</v>
      </c>
      <c r="W1156" t="str">
        <f t="shared" si="245"/>
        <v>Personality &amp; Communication</v>
      </c>
      <c r="X1156" t="str">
        <f t="shared" si="246"/>
        <v>Work on communication and personality development</v>
      </c>
    </row>
    <row r="1157" spans="1:24" x14ac:dyDescent="0.3">
      <c r="A1157">
        <v>37</v>
      </c>
      <c r="B1157">
        <v>1</v>
      </c>
      <c r="C1157">
        <v>2</v>
      </c>
      <c r="D1157">
        <v>11</v>
      </c>
      <c r="E1157">
        <v>5</v>
      </c>
      <c r="F1157">
        <v>50.678908640960898</v>
      </c>
      <c r="G1157">
        <v>29</v>
      </c>
      <c r="H1157">
        <v>55</v>
      </c>
      <c r="I1157">
        <v>69</v>
      </c>
      <c r="J1157">
        <v>2</v>
      </c>
      <c r="K1157">
        <v>0</v>
      </c>
      <c r="L1157" t="str">
        <f t="shared" si="234"/>
        <v>C1156</v>
      </c>
      <c r="M1157" t="str">
        <f t="shared" si="235"/>
        <v>Female</v>
      </c>
      <c r="N1157" t="str">
        <f t="shared" si="236"/>
        <v>Bachelor's Type 2</v>
      </c>
      <c r="O1157" t="str">
        <f t="shared" si="237"/>
        <v>Senior Level</v>
      </c>
      <c r="P1157" t="str">
        <f t="shared" si="238"/>
        <v>Low</v>
      </c>
      <c r="Q1157" t="str">
        <f t="shared" si="239"/>
        <v>Intermediate</v>
      </c>
      <c r="R1157" t="str">
        <f t="shared" si="240"/>
        <v>Good</v>
      </c>
      <c r="S1157" t="str">
        <f t="shared" si="241"/>
        <v>Not Hired</v>
      </c>
      <c r="T1157">
        <f t="shared" si="242"/>
        <v>53</v>
      </c>
      <c r="U1157" t="str">
        <f t="shared" si="243"/>
        <v>Developing</v>
      </c>
      <c r="V1157" t="str">
        <f t="shared" si="244"/>
        <v>Personality</v>
      </c>
      <c r="W1157" t="str">
        <f t="shared" si="245"/>
        <v>Interview Preparation</v>
      </c>
      <c r="X1157" t="str">
        <f t="shared" si="246"/>
        <v>Improve interview preparation and communication</v>
      </c>
    </row>
    <row r="1158" spans="1:24" x14ac:dyDescent="0.3">
      <c r="A1158">
        <v>47</v>
      </c>
      <c r="B1158">
        <v>1</v>
      </c>
      <c r="C1158">
        <v>2</v>
      </c>
      <c r="D1158">
        <v>2</v>
      </c>
      <c r="E1158">
        <v>4</v>
      </c>
      <c r="F1158">
        <v>9.74419680974313</v>
      </c>
      <c r="G1158">
        <v>4</v>
      </c>
      <c r="H1158">
        <v>58</v>
      </c>
      <c r="I1158">
        <v>27</v>
      </c>
      <c r="J1158">
        <v>3</v>
      </c>
      <c r="K1158">
        <v>0</v>
      </c>
      <c r="L1158" t="str">
        <f t="shared" si="234"/>
        <v>C1157</v>
      </c>
      <c r="M1158" t="str">
        <f t="shared" si="235"/>
        <v>Female</v>
      </c>
      <c r="N1158" t="str">
        <f t="shared" si="236"/>
        <v>Bachelor's Type 2</v>
      </c>
      <c r="O1158" t="str">
        <f t="shared" si="237"/>
        <v>Entry Level</v>
      </c>
      <c r="P1158" t="str">
        <f t="shared" si="238"/>
        <v>Low</v>
      </c>
      <c r="Q1158" t="str">
        <f t="shared" si="239"/>
        <v>Intermediate</v>
      </c>
      <c r="R1158" t="str">
        <f t="shared" si="240"/>
        <v>Needs Improvement</v>
      </c>
      <c r="S1158" t="str">
        <f t="shared" si="241"/>
        <v>Not Hired</v>
      </c>
      <c r="T1158">
        <f t="shared" si="242"/>
        <v>29</v>
      </c>
      <c r="U1158" t="str">
        <f t="shared" si="243"/>
        <v>Needs Improvement</v>
      </c>
      <c r="V1158" t="str">
        <f t="shared" si="244"/>
        <v>Technical Skills</v>
      </c>
      <c r="W1158" t="str">
        <f t="shared" si="245"/>
        <v>Interview Preparation</v>
      </c>
      <c r="X1158" t="str">
        <f t="shared" si="246"/>
        <v>Improve interview preparation and communication</v>
      </c>
    </row>
    <row r="1159" spans="1:24" x14ac:dyDescent="0.3">
      <c r="A1159">
        <v>29</v>
      </c>
      <c r="B1159">
        <v>1</v>
      </c>
      <c r="C1159">
        <v>4</v>
      </c>
      <c r="D1159">
        <v>12</v>
      </c>
      <c r="E1159">
        <v>3</v>
      </c>
      <c r="F1159">
        <v>34.632217176339502</v>
      </c>
      <c r="G1159">
        <v>94</v>
      </c>
      <c r="H1159">
        <v>62</v>
      </c>
      <c r="I1159">
        <v>94</v>
      </c>
      <c r="J1159">
        <v>2</v>
      </c>
      <c r="K1159">
        <v>1</v>
      </c>
      <c r="L1159" t="str">
        <f t="shared" si="234"/>
        <v>C1158</v>
      </c>
      <c r="M1159" t="str">
        <f t="shared" si="235"/>
        <v>Female</v>
      </c>
      <c r="N1159" t="str">
        <f t="shared" si="236"/>
        <v>PhD</v>
      </c>
      <c r="O1159" t="str">
        <f t="shared" si="237"/>
        <v>Senior Level</v>
      </c>
      <c r="P1159" t="str">
        <f t="shared" si="238"/>
        <v>Strong</v>
      </c>
      <c r="Q1159" t="str">
        <f t="shared" si="239"/>
        <v>Intermediate</v>
      </c>
      <c r="R1159" t="str">
        <f t="shared" si="240"/>
        <v>Strong</v>
      </c>
      <c r="S1159" t="str">
        <f t="shared" si="241"/>
        <v>Hired</v>
      </c>
      <c r="T1159">
        <f t="shared" si="242"/>
        <v>83</v>
      </c>
      <c r="U1159" t="str">
        <f t="shared" si="243"/>
        <v>Job Ready</v>
      </c>
      <c r="V1159" t="str">
        <f t="shared" si="244"/>
        <v>Interview</v>
      </c>
      <c r="W1159" t="str">
        <f t="shared" si="245"/>
        <v>Technical Skills</v>
      </c>
      <c r="X1159" t="str">
        <f t="shared" si="246"/>
        <v>Strengthen technical skills and practical knowledge</v>
      </c>
    </row>
    <row r="1160" spans="1:24" x14ac:dyDescent="0.3">
      <c r="A1160">
        <v>48</v>
      </c>
      <c r="B1160">
        <v>0</v>
      </c>
      <c r="C1160">
        <v>3</v>
      </c>
      <c r="D1160">
        <v>5</v>
      </c>
      <c r="E1160">
        <v>1</v>
      </c>
      <c r="F1160">
        <v>9.6698033103059604</v>
      </c>
      <c r="G1160">
        <v>70</v>
      </c>
      <c r="H1160">
        <v>88</v>
      </c>
      <c r="I1160">
        <v>98</v>
      </c>
      <c r="J1160">
        <v>2</v>
      </c>
      <c r="K1160">
        <v>0</v>
      </c>
      <c r="L1160" t="str">
        <f t="shared" si="234"/>
        <v>C1159</v>
      </c>
      <c r="M1160" t="str">
        <f t="shared" si="235"/>
        <v>Male</v>
      </c>
      <c r="N1160" t="str">
        <f t="shared" si="236"/>
        <v>Master's</v>
      </c>
      <c r="O1160" t="str">
        <f t="shared" si="237"/>
        <v>Mid Level</v>
      </c>
      <c r="P1160" t="str">
        <f t="shared" si="238"/>
        <v>Average</v>
      </c>
      <c r="Q1160" t="str">
        <f t="shared" si="239"/>
        <v>Advanced</v>
      </c>
      <c r="R1160" t="str">
        <f t="shared" si="240"/>
        <v>Strong</v>
      </c>
      <c r="S1160" t="str">
        <f t="shared" si="241"/>
        <v>Not Hired</v>
      </c>
      <c r="T1160">
        <f t="shared" si="242"/>
        <v>76</v>
      </c>
      <c r="U1160" t="str">
        <f t="shared" si="243"/>
        <v>Job Ready</v>
      </c>
      <c r="V1160" t="str">
        <f t="shared" si="244"/>
        <v>Personality</v>
      </c>
      <c r="W1160" t="str">
        <f t="shared" si="245"/>
        <v>Interview Preparation</v>
      </c>
      <c r="X1160" t="str">
        <f t="shared" si="246"/>
        <v>Improve interview preparation and communication</v>
      </c>
    </row>
    <row r="1161" spans="1:24" x14ac:dyDescent="0.3">
      <c r="A1161">
        <v>41</v>
      </c>
      <c r="B1161">
        <v>1</v>
      </c>
      <c r="C1161">
        <v>3</v>
      </c>
      <c r="D1161">
        <v>1</v>
      </c>
      <c r="E1161">
        <v>5</v>
      </c>
      <c r="F1161">
        <v>37.239348747919301</v>
      </c>
      <c r="G1161">
        <v>82</v>
      </c>
      <c r="H1161">
        <v>58</v>
      </c>
      <c r="I1161">
        <v>38</v>
      </c>
      <c r="J1161">
        <v>3</v>
      </c>
      <c r="K1161">
        <v>0</v>
      </c>
      <c r="L1161" t="str">
        <f t="shared" si="234"/>
        <v>C1160</v>
      </c>
      <c r="M1161" t="str">
        <f t="shared" si="235"/>
        <v>Female</v>
      </c>
      <c r="N1161" t="str">
        <f t="shared" si="236"/>
        <v>Master's</v>
      </c>
      <c r="O1161" t="str">
        <f t="shared" si="237"/>
        <v>Entry Level</v>
      </c>
      <c r="P1161" t="str">
        <f t="shared" si="238"/>
        <v>Strong</v>
      </c>
      <c r="Q1161" t="str">
        <f t="shared" si="239"/>
        <v>Intermediate</v>
      </c>
      <c r="R1161" t="str">
        <f t="shared" si="240"/>
        <v>Needs Improvement</v>
      </c>
      <c r="S1161" t="str">
        <f t="shared" si="241"/>
        <v>Not Hired</v>
      </c>
      <c r="T1161">
        <f t="shared" si="242"/>
        <v>54</v>
      </c>
      <c r="U1161" t="str">
        <f t="shared" si="243"/>
        <v>Developing</v>
      </c>
      <c r="V1161" t="str">
        <f t="shared" si="244"/>
        <v>Interview</v>
      </c>
      <c r="W1161" t="str">
        <f t="shared" si="245"/>
        <v>Personality &amp; Communication</v>
      </c>
      <c r="X1161" t="str">
        <f t="shared" si="246"/>
        <v>Work on communication and personality development</v>
      </c>
    </row>
    <row r="1162" spans="1:24" x14ac:dyDescent="0.3">
      <c r="A1162">
        <v>40</v>
      </c>
      <c r="B1162">
        <v>1</v>
      </c>
      <c r="C1162">
        <v>4</v>
      </c>
      <c r="D1162">
        <v>15</v>
      </c>
      <c r="E1162">
        <v>1</v>
      </c>
      <c r="F1162">
        <v>26.267683411891301</v>
      </c>
      <c r="G1162">
        <v>30</v>
      </c>
      <c r="H1162">
        <v>50</v>
      </c>
      <c r="I1162">
        <v>41</v>
      </c>
      <c r="J1162">
        <v>2</v>
      </c>
      <c r="K1162">
        <v>0</v>
      </c>
      <c r="L1162" t="str">
        <f t="shared" si="234"/>
        <v>C1161</v>
      </c>
      <c r="M1162" t="str">
        <f t="shared" si="235"/>
        <v>Female</v>
      </c>
      <c r="N1162" t="str">
        <f t="shared" si="236"/>
        <v>PhD</v>
      </c>
      <c r="O1162" t="str">
        <f t="shared" si="237"/>
        <v>Senior Level</v>
      </c>
      <c r="P1162" t="str">
        <f t="shared" si="238"/>
        <v>Low</v>
      </c>
      <c r="Q1162" t="str">
        <f t="shared" si="239"/>
        <v>Intermediate</v>
      </c>
      <c r="R1162" t="str">
        <f t="shared" si="240"/>
        <v>Needs Improvement</v>
      </c>
      <c r="S1162" t="str">
        <f t="shared" si="241"/>
        <v>Not Hired</v>
      </c>
      <c r="T1162">
        <f t="shared" si="242"/>
        <v>52</v>
      </c>
      <c r="U1162" t="str">
        <f t="shared" si="243"/>
        <v>Developing</v>
      </c>
      <c r="V1162" t="str">
        <f t="shared" si="244"/>
        <v>Technical Skills</v>
      </c>
      <c r="W1162" t="str">
        <f t="shared" si="245"/>
        <v>Interview Preparation</v>
      </c>
      <c r="X1162" t="str">
        <f t="shared" si="246"/>
        <v>Improve interview preparation and communication</v>
      </c>
    </row>
    <row r="1163" spans="1:24" x14ac:dyDescent="0.3">
      <c r="A1163">
        <v>25</v>
      </c>
      <c r="B1163">
        <v>1</v>
      </c>
      <c r="C1163">
        <v>1</v>
      </c>
      <c r="D1163">
        <v>5</v>
      </c>
      <c r="E1163">
        <v>5</v>
      </c>
      <c r="F1163">
        <v>34.998585504468799</v>
      </c>
      <c r="G1163">
        <v>51</v>
      </c>
      <c r="H1163">
        <v>49</v>
      </c>
      <c r="I1163">
        <v>22</v>
      </c>
      <c r="J1163">
        <v>2</v>
      </c>
      <c r="K1163">
        <v>0</v>
      </c>
      <c r="L1163" t="str">
        <f t="shared" si="234"/>
        <v>C1162</v>
      </c>
      <c r="M1163" t="str">
        <f t="shared" si="235"/>
        <v>Female</v>
      </c>
      <c r="N1163" t="str">
        <f t="shared" si="236"/>
        <v>Bachelor's Type 1</v>
      </c>
      <c r="O1163" t="str">
        <f t="shared" si="237"/>
        <v>Mid Level</v>
      </c>
      <c r="P1163" t="str">
        <f t="shared" si="238"/>
        <v>Average</v>
      </c>
      <c r="Q1163" t="str">
        <f t="shared" si="239"/>
        <v>Beginner</v>
      </c>
      <c r="R1163" t="str">
        <f t="shared" si="240"/>
        <v>Needs Improvement</v>
      </c>
      <c r="S1163" t="str">
        <f t="shared" si="241"/>
        <v>Not Hired</v>
      </c>
      <c r="T1163">
        <f t="shared" si="242"/>
        <v>42</v>
      </c>
      <c r="U1163" t="str">
        <f t="shared" si="243"/>
        <v>Needs Improvement</v>
      </c>
      <c r="V1163" t="str">
        <f t="shared" si="244"/>
        <v>Interview</v>
      </c>
      <c r="W1163" t="str">
        <f t="shared" si="245"/>
        <v>Personality &amp; Communication</v>
      </c>
      <c r="X1163" t="str">
        <f t="shared" si="246"/>
        <v>Work on communication and personality development</v>
      </c>
    </row>
    <row r="1164" spans="1:24" x14ac:dyDescent="0.3">
      <c r="A1164">
        <v>20</v>
      </c>
      <c r="B1164">
        <v>0</v>
      </c>
      <c r="C1164">
        <v>3</v>
      </c>
      <c r="D1164">
        <v>15</v>
      </c>
      <c r="E1164">
        <v>2</v>
      </c>
      <c r="F1164">
        <v>11.143658795711699</v>
      </c>
      <c r="G1164">
        <v>87</v>
      </c>
      <c r="H1164">
        <v>3</v>
      </c>
      <c r="I1164">
        <v>69</v>
      </c>
      <c r="J1164">
        <v>1</v>
      </c>
      <c r="K1164">
        <v>1</v>
      </c>
      <c r="L1164" t="str">
        <f t="shared" si="234"/>
        <v>C1163</v>
      </c>
      <c r="M1164" t="str">
        <f t="shared" si="235"/>
        <v>Male</v>
      </c>
      <c r="N1164" t="str">
        <f t="shared" si="236"/>
        <v>Master's</v>
      </c>
      <c r="O1164" t="str">
        <f t="shared" si="237"/>
        <v>Senior Level</v>
      </c>
      <c r="P1164" t="str">
        <f t="shared" si="238"/>
        <v>Strong</v>
      </c>
      <c r="Q1164" t="str">
        <f t="shared" si="239"/>
        <v>Beginner</v>
      </c>
      <c r="R1164" t="str">
        <f t="shared" si="240"/>
        <v>Good</v>
      </c>
      <c r="S1164" t="str">
        <f t="shared" si="241"/>
        <v>Hired</v>
      </c>
      <c r="T1164">
        <f t="shared" si="242"/>
        <v>60</v>
      </c>
      <c r="U1164" t="str">
        <f t="shared" si="243"/>
        <v>Developing</v>
      </c>
      <c r="V1164" t="str">
        <f t="shared" si="244"/>
        <v>Interview</v>
      </c>
      <c r="W1164" t="str">
        <f t="shared" si="245"/>
        <v>Technical Skills</v>
      </c>
      <c r="X1164" t="str">
        <f t="shared" si="246"/>
        <v>Strengthen technical skills and practical knowledge</v>
      </c>
    </row>
    <row r="1165" spans="1:24" x14ac:dyDescent="0.3">
      <c r="A1165">
        <v>24</v>
      </c>
      <c r="B1165">
        <v>1</v>
      </c>
      <c r="C1165">
        <v>2</v>
      </c>
      <c r="D1165">
        <v>12</v>
      </c>
      <c r="E1165">
        <v>1</v>
      </c>
      <c r="F1165">
        <v>38.281416626025099</v>
      </c>
      <c r="G1165">
        <v>97</v>
      </c>
      <c r="H1165">
        <v>47</v>
      </c>
      <c r="I1165">
        <v>79</v>
      </c>
      <c r="J1165">
        <v>2</v>
      </c>
      <c r="K1165">
        <v>0</v>
      </c>
      <c r="L1165" t="str">
        <f t="shared" si="234"/>
        <v>C1164</v>
      </c>
      <c r="M1165" t="str">
        <f t="shared" si="235"/>
        <v>Female</v>
      </c>
      <c r="N1165" t="str">
        <f t="shared" si="236"/>
        <v>Bachelor's Type 2</v>
      </c>
      <c r="O1165" t="str">
        <f t="shared" si="237"/>
        <v>Senior Level</v>
      </c>
      <c r="P1165" t="str">
        <f t="shared" si="238"/>
        <v>Strong</v>
      </c>
      <c r="Q1165" t="str">
        <f t="shared" si="239"/>
        <v>Beginner</v>
      </c>
      <c r="R1165" t="str">
        <f t="shared" si="240"/>
        <v>Strong</v>
      </c>
      <c r="S1165" t="str">
        <f t="shared" si="241"/>
        <v>Not Hired</v>
      </c>
      <c r="T1165">
        <f t="shared" si="242"/>
        <v>74</v>
      </c>
      <c r="U1165" t="str">
        <f t="shared" si="243"/>
        <v>Developing</v>
      </c>
      <c r="V1165" t="str">
        <f t="shared" si="244"/>
        <v>Interview</v>
      </c>
      <c r="W1165" t="str">
        <f t="shared" si="245"/>
        <v>Technical Skills</v>
      </c>
      <c r="X1165" t="str">
        <f t="shared" si="246"/>
        <v>Strengthen technical skills and practical knowledge</v>
      </c>
    </row>
    <row r="1166" spans="1:24" x14ac:dyDescent="0.3">
      <c r="A1166">
        <v>28</v>
      </c>
      <c r="B1166">
        <v>0</v>
      </c>
      <c r="C1166">
        <v>4</v>
      </c>
      <c r="D1166">
        <v>5</v>
      </c>
      <c r="E1166">
        <v>2</v>
      </c>
      <c r="F1166">
        <v>50.7809529811353</v>
      </c>
      <c r="G1166">
        <v>22</v>
      </c>
      <c r="H1166">
        <v>31</v>
      </c>
      <c r="I1166">
        <v>1</v>
      </c>
      <c r="J1166">
        <v>1</v>
      </c>
      <c r="K1166">
        <v>0</v>
      </c>
      <c r="L1166" t="str">
        <f t="shared" si="234"/>
        <v>C1165</v>
      </c>
      <c r="M1166" t="str">
        <f t="shared" si="235"/>
        <v>Male</v>
      </c>
      <c r="N1166" t="str">
        <f t="shared" si="236"/>
        <v>PhD</v>
      </c>
      <c r="O1166" t="str">
        <f t="shared" si="237"/>
        <v>Mid Level</v>
      </c>
      <c r="P1166" t="str">
        <f t="shared" si="238"/>
        <v>Low</v>
      </c>
      <c r="Q1166" t="str">
        <f t="shared" si="239"/>
        <v>Beginner</v>
      </c>
      <c r="R1166" t="str">
        <f t="shared" si="240"/>
        <v>Needs Improvement</v>
      </c>
      <c r="S1166" t="str">
        <f t="shared" si="241"/>
        <v>Not Hired</v>
      </c>
      <c r="T1166">
        <f t="shared" si="242"/>
        <v>26</v>
      </c>
      <c r="U1166" t="str">
        <f t="shared" si="243"/>
        <v>Needs Improvement</v>
      </c>
      <c r="V1166" t="str">
        <f t="shared" si="244"/>
        <v>Technical Skills</v>
      </c>
      <c r="W1166" t="str">
        <f t="shared" si="245"/>
        <v>Personality &amp; Communication</v>
      </c>
      <c r="X1166" t="str">
        <f t="shared" si="246"/>
        <v>Work on communication and personality development</v>
      </c>
    </row>
    <row r="1167" spans="1:24" x14ac:dyDescent="0.3">
      <c r="A1167">
        <v>31</v>
      </c>
      <c r="B1167">
        <v>0</v>
      </c>
      <c r="C1167">
        <v>2</v>
      </c>
      <c r="D1167">
        <v>7</v>
      </c>
      <c r="E1167">
        <v>1</v>
      </c>
      <c r="F1167">
        <v>34.282525031297901</v>
      </c>
      <c r="G1167">
        <v>47</v>
      </c>
      <c r="H1167">
        <v>50</v>
      </c>
      <c r="I1167">
        <v>23</v>
      </c>
      <c r="J1167">
        <v>2</v>
      </c>
      <c r="K1167">
        <v>0</v>
      </c>
      <c r="L1167" t="str">
        <f t="shared" si="234"/>
        <v>C1166</v>
      </c>
      <c r="M1167" t="str">
        <f t="shared" si="235"/>
        <v>Male</v>
      </c>
      <c r="N1167" t="str">
        <f t="shared" si="236"/>
        <v>Bachelor's Type 2</v>
      </c>
      <c r="O1167" t="str">
        <f t="shared" si="237"/>
        <v>Senior Level</v>
      </c>
      <c r="P1167" t="str">
        <f t="shared" si="238"/>
        <v>Low</v>
      </c>
      <c r="Q1167" t="str">
        <f t="shared" si="239"/>
        <v>Intermediate</v>
      </c>
      <c r="R1167" t="str">
        <f t="shared" si="240"/>
        <v>Needs Improvement</v>
      </c>
      <c r="S1167" t="str">
        <f t="shared" si="241"/>
        <v>Not Hired</v>
      </c>
      <c r="T1167">
        <f t="shared" si="242"/>
        <v>43</v>
      </c>
      <c r="U1167" t="str">
        <f t="shared" si="243"/>
        <v>Needs Improvement</v>
      </c>
      <c r="V1167" t="str">
        <f t="shared" si="244"/>
        <v>Technical Skills</v>
      </c>
      <c r="W1167" t="str">
        <f t="shared" si="245"/>
        <v>Personality &amp; Communication</v>
      </c>
      <c r="X1167" t="str">
        <f t="shared" si="246"/>
        <v>Work on communication and personality development</v>
      </c>
    </row>
    <row r="1168" spans="1:24" x14ac:dyDescent="0.3">
      <c r="A1168">
        <v>45</v>
      </c>
      <c r="B1168">
        <v>1</v>
      </c>
      <c r="C1168">
        <v>3</v>
      </c>
      <c r="D1168">
        <v>6</v>
      </c>
      <c r="E1168">
        <v>3</v>
      </c>
      <c r="F1168">
        <v>25.6739999036438</v>
      </c>
      <c r="G1168">
        <v>39</v>
      </c>
      <c r="H1168">
        <v>51</v>
      </c>
      <c r="I1168">
        <v>16</v>
      </c>
      <c r="J1168">
        <v>1</v>
      </c>
      <c r="K1168">
        <v>1</v>
      </c>
      <c r="L1168" t="str">
        <f t="shared" si="234"/>
        <v>C1167</v>
      </c>
      <c r="M1168" t="str">
        <f t="shared" si="235"/>
        <v>Female</v>
      </c>
      <c r="N1168" t="str">
        <f t="shared" si="236"/>
        <v>Master's</v>
      </c>
      <c r="O1168" t="str">
        <f t="shared" si="237"/>
        <v>Mid Level</v>
      </c>
      <c r="P1168" t="str">
        <f t="shared" si="238"/>
        <v>Low</v>
      </c>
      <c r="Q1168" t="str">
        <f t="shared" si="239"/>
        <v>Intermediate</v>
      </c>
      <c r="R1168" t="str">
        <f t="shared" si="240"/>
        <v>Needs Improvement</v>
      </c>
      <c r="S1168" t="str">
        <f t="shared" si="241"/>
        <v>Hired</v>
      </c>
      <c r="T1168">
        <f t="shared" si="242"/>
        <v>40</v>
      </c>
      <c r="U1168" t="str">
        <f t="shared" si="243"/>
        <v>Needs Improvement</v>
      </c>
      <c r="V1168" t="str">
        <f t="shared" si="244"/>
        <v>Technical Skills</v>
      </c>
      <c r="W1168" t="str">
        <f t="shared" si="245"/>
        <v>Personality &amp; Communication</v>
      </c>
      <c r="X1168" t="str">
        <f t="shared" si="246"/>
        <v>Work on communication and personality development</v>
      </c>
    </row>
    <row r="1169" spans="1:24" x14ac:dyDescent="0.3">
      <c r="A1169">
        <v>33</v>
      </c>
      <c r="B1169">
        <v>1</v>
      </c>
      <c r="C1169">
        <v>3</v>
      </c>
      <c r="D1169">
        <v>7</v>
      </c>
      <c r="E1169">
        <v>4</v>
      </c>
      <c r="F1169">
        <v>47.158699430963203</v>
      </c>
      <c r="G1169">
        <v>5</v>
      </c>
      <c r="H1169">
        <v>98</v>
      </c>
      <c r="I1169">
        <v>64</v>
      </c>
      <c r="J1169">
        <v>3</v>
      </c>
      <c r="K1169">
        <v>1</v>
      </c>
      <c r="L1169" t="str">
        <f t="shared" si="234"/>
        <v>C1168</v>
      </c>
      <c r="M1169" t="str">
        <f t="shared" si="235"/>
        <v>Female</v>
      </c>
      <c r="N1169" t="str">
        <f t="shared" si="236"/>
        <v>Master's</v>
      </c>
      <c r="O1169" t="str">
        <f t="shared" si="237"/>
        <v>Senior Level</v>
      </c>
      <c r="P1169" t="str">
        <f t="shared" si="238"/>
        <v>Low</v>
      </c>
      <c r="Q1169" t="str">
        <f t="shared" si="239"/>
        <v>Advanced</v>
      </c>
      <c r="R1169" t="str">
        <f t="shared" si="240"/>
        <v>Good</v>
      </c>
      <c r="S1169" t="str">
        <f t="shared" si="241"/>
        <v>Hired</v>
      </c>
      <c r="T1169">
        <f t="shared" si="242"/>
        <v>54</v>
      </c>
      <c r="U1169" t="str">
        <f t="shared" si="243"/>
        <v>Developing</v>
      </c>
      <c r="V1169" t="str">
        <f t="shared" si="244"/>
        <v>Technical Skills</v>
      </c>
      <c r="W1169" t="str">
        <f t="shared" si="245"/>
        <v>Interview Preparation</v>
      </c>
      <c r="X1169" t="str">
        <f t="shared" si="246"/>
        <v>Improve interview preparation and communication</v>
      </c>
    </row>
    <row r="1170" spans="1:24" x14ac:dyDescent="0.3">
      <c r="A1170">
        <v>21</v>
      </c>
      <c r="B1170">
        <v>0</v>
      </c>
      <c r="C1170">
        <v>1</v>
      </c>
      <c r="D1170">
        <v>13</v>
      </c>
      <c r="E1170">
        <v>2</v>
      </c>
      <c r="F1170">
        <v>1.7925921115938099</v>
      </c>
      <c r="G1170">
        <v>37</v>
      </c>
      <c r="H1170">
        <v>73</v>
      </c>
      <c r="I1170">
        <v>69</v>
      </c>
      <c r="J1170">
        <v>3</v>
      </c>
      <c r="K1170">
        <v>0</v>
      </c>
      <c r="L1170" t="str">
        <f t="shared" si="234"/>
        <v>C1169</v>
      </c>
      <c r="M1170" t="str">
        <f t="shared" si="235"/>
        <v>Male</v>
      </c>
      <c r="N1170" t="str">
        <f t="shared" si="236"/>
        <v>Bachelor's Type 1</v>
      </c>
      <c r="O1170" t="str">
        <f t="shared" si="237"/>
        <v>Senior Level</v>
      </c>
      <c r="P1170" t="str">
        <f t="shared" si="238"/>
        <v>Low</v>
      </c>
      <c r="Q1170" t="str">
        <f t="shared" si="239"/>
        <v>Intermediate</v>
      </c>
      <c r="R1170" t="str">
        <f t="shared" si="240"/>
        <v>Good</v>
      </c>
      <c r="S1170" t="str">
        <f t="shared" si="241"/>
        <v>Not Hired</v>
      </c>
      <c r="T1170">
        <f t="shared" si="242"/>
        <v>62</v>
      </c>
      <c r="U1170" t="str">
        <f t="shared" si="243"/>
        <v>Developing</v>
      </c>
      <c r="V1170" t="str">
        <f t="shared" si="244"/>
        <v>Technical Skills</v>
      </c>
      <c r="W1170" t="str">
        <f t="shared" si="245"/>
        <v>Interview Preparation</v>
      </c>
      <c r="X1170" t="str">
        <f t="shared" si="246"/>
        <v>Improve interview preparation and communication</v>
      </c>
    </row>
    <row r="1171" spans="1:24" x14ac:dyDescent="0.3">
      <c r="A1171">
        <v>36</v>
      </c>
      <c r="B1171">
        <v>1</v>
      </c>
      <c r="C1171">
        <v>2</v>
      </c>
      <c r="D1171">
        <v>8</v>
      </c>
      <c r="E1171">
        <v>5</v>
      </c>
      <c r="F1171">
        <v>37.496175964290998</v>
      </c>
      <c r="G1171">
        <v>40</v>
      </c>
      <c r="H1171">
        <v>33</v>
      </c>
      <c r="I1171">
        <v>68</v>
      </c>
      <c r="J1171">
        <v>2</v>
      </c>
      <c r="K1171">
        <v>0</v>
      </c>
      <c r="L1171" t="str">
        <f t="shared" si="234"/>
        <v>C1170</v>
      </c>
      <c r="M1171" t="str">
        <f t="shared" si="235"/>
        <v>Female</v>
      </c>
      <c r="N1171" t="str">
        <f t="shared" si="236"/>
        <v>Bachelor's Type 2</v>
      </c>
      <c r="O1171" t="str">
        <f t="shared" si="237"/>
        <v>Senior Level</v>
      </c>
      <c r="P1171" t="str">
        <f t="shared" si="238"/>
        <v>Low</v>
      </c>
      <c r="Q1171" t="str">
        <f t="shared" si="239"/>
        <v>Beginner</v>
      </c>
      <c r="R1171" t="str">
        <f t="shared" si="240"/>
        <v>Good</v>
      </c>
      <c r="S1171" t="str">
        <f t="shared" si="241"/>
        <v>Not Hired</v>
      </c>
      <c r="T1171">
        <f t="shared" si="242"/>
        <v>46</v>
      </c>
      <c r="U1171" t="str">
        <f t="shared" si="243"/>
        <v>Needs Improvement</v>
      </c>
      <c r="V1171" t="str">
        <f t="shared" si="244"/>
        <v>Personality</v>
      </c>
      <c r="W1171" t="str">
        <f t="shared" si="245"/>
        <v>Technical Skills</v>
      </c>
      <c r="X1171" t="str">
        <f t="shared" si="246"/>
        <v>Strengthen technical skills and practical knowledge</v>
      </c>
    </row>
    <row r="1172" spans="1:24" x14ac:dyDescent="0.3">
      <c r="A1172">
        <v>33</v>
      </c>
      <c r="B1172">
        <v>0</v>
      </c>
      <c r="C1172">
        <v>3</v>
      </c>
      <c r="D1172">
        <v>5</v>
      </c>
      <c r="E1172">
        <v>3</v>
      </c>
      <c r="F1172">
        <v>45.437325840690598</v>
      </c>
      <c r="G1172">
        <v>99</v>
      </c>
      <c r="H1172">
        <v>35</v>
      </c>
      <c r="I1172">
        <v>59</v>
      </c>
      <c r="J1172">
        <v>1</v>
      </c>
      <c r="K1172">
        <v>1</v>
      </c>
      <c r="L1172" t="str">
        <f t="shared" si="234"/>
        <v>C1171</v>
      </c>
      <c r="M1172" t="str">
        <f t="shared" si="235"/>
        <v>Male</v>
      </c>
      <c r="N1172" t="str">
        <f t="shared" si="236"/>
        <v>Master's</v>
      </c>
      <c r="O1172" t="str">
        <f t="shared" si="237"/>
        <v>Mid Level</v>
      </c>
      <c r="P1172" t="str">
        <f t="shared" si="238"/>
        <v>Strong</v>
      </c>
      <c r="Q1172" t="str">
        <f t="shared" si="239"/>
        <v>Beginner</v>
      </c>
      <c r="R1172" t="str">
        <f t="shared" si="240"/>
        <v>Good</v>
      </c>
      <c r="S1172" t="str">
        <f t="shared" si="241"/>
        <v>Hired</v>
      </c>
      <c r="T1172">
        <f t="shared" si="242"/>
        <v>61</v>
      </c>
      <c r="U1172" t="str">
        <f t="shared" si="243"/>
        <v>Developing</v>
      </c>
      <c r="V1172" t="str">
        <f t="shared" si="244"/>
        <v>Interview</v>
      </c>
      <c r="W1172" t="str">
        <f t="shared" si="245"/>
        <v>Technical Skills</v>
      </c>
      <c r="X1172" t="str">
        <f t="shared" si="246"/>
        <v>Strengthen technical skills and practical knowledge</v>
      </c>
    </row>
    <row r="1173" spans="1:24" x14ac:dyDescent="0.3">
      <c r="A1173">
        <v>45</v>
      </c>
      <c r="B1173">
        <v>0</v>
      </c>
      <c r="C1173">
        <v>2</v>
      </c>
      <c r="D1173">
        <v>13</v>
      </c>
      <c r="E1173">
        <v>1</v>
      </c>
      <c r="F1173">
        <v>4.08372918104787</v>
      </c>
      <c r="G1173">
        <v>26</v>
      </c>
      <c r="H1173">
        <v>69</v>
      </c>
      <c r="I1173">
        <v>49</v>
      </c>
      <c r="J1173">
        <v>1</v>
      </c>
      <c r="K1173">
        <v>1</v>
      </c>
      <c r="L1173" t="str">
        <f t="shared" si="234"/>
        <v>C1172</v>
      </c>
      <c r="M1173" t="str">
        <f t="shared" si="235"/>
        <v>Male</v>
      </c>
      <c r="N1173" t="str">
        <f t="shared" si="236"/>
        <v>Bachelor's Type 2</v>
      </c>
      <c r="O1173" t="str">
        <f t="shared" si="237"/>
        <v>Senior Level</v>
      </c>
      <c r="P1173" t="str">
        <f t="shared" si="238"/>
        <v>Low</v>
      </c>
      <c r="Q1173" t="str">
        <f t="shared" si="239"/>
        <v>Intermediate</v>
      </c>
      <c r="R1173" t="str">
        <f t="shared" si="240"/>
        <v>Needs Improvement</v>
      </c>
      <c r="S1173" t="str">
        <f t="shared" si="241"/>
        <v>Hired</v>
      </c>
      <c r="T1173">
        <f t="shared" si="242"/>
        <v>54</v>
      </c>
      <c r="U1173" t="str">
        <f t="shared" si="243"/>
        <v>Developing</v>
      </c>
      <c r="V1173" t="str">
        <f t="shared" si="244"/>
        <v>Technical Skills</v>
      </c>
      <c r="W1173" t="str">
        <f t="shared" si="245"/>
        <v>Interview Preparation</v>
      </c>
      <c r="X1173" t="str">
        <f t="shared" si="246"/>
        <v>Improve interview preparation and communication</v>
      </c>
    </row>
    <row r="1174" spans="1:24" x14ac:dyDescent="0.3">
      <c r="A1174">
        <v>32</v>
      </c>
      <c r="B1174">
        <v>1</v>
      </c>
      <c r="C1174">
        <v>2</v>
      </c>
      <c r="D1174">
        <v>15</v>
      </c>
      <c r="E1174">
        <v>2</v>
      </c>
      <c r="F1174">
        <v>23.503208520787901</v>
      </c>
      <c r="G1174">
        <v>74</v>
      </c>
      <c r="H1174">
        <v>42</v>
      </c>
      <c r="I1174">
        <v>92</v>
      </c>
      <c r="J1174">
        <v>2</v>
      </c>
      <c r="K1174">
        <v>0</v>
      </c>
      <c r="L1174" t="str">
        <f t="shared" si="234"/>
        <v>C1173</v>
      </c>
      <c r="M1174" t="str">
        <f t="shared" si="235"/>
        <v>Female</v>
      </c>
      <c r="N1174" t="str">
        <f t="shared" si="236"/>
        <v>Bachelor's Type 2</v>
      </c>
      <c r="O1174" t="str">
        <f t="shared" si="237"/>
        <v>Senior Level</v>
      </c>
      <c r="P1174" t="str">
        <f t="shared" si="238"/>
        <v>Average</v>
      </c>
      <c r="Q1174" t="str">
        <f t="shared" si="239"/>
        <v>Beginner</v>
      </c>
      <c r="R1174" t="str">
        <f t="shared" si="240"/>
        <v>Strong</v>
      </c>
      <c r="S1174" t="str">
        <f t="shared" si="241"/>
        <v>Not Hired</v>
      </c>
      <c r="T1174">
        <f t="shared" si="242"/>
        <v>71</v>
      </c>
      <c r="U1174" t="str">
        <f t="shared" si="243"/>
        <v>Developing</v>
      </c>
      <c r="V1174" t="str">
        <f t="shared" si="244"/>
        <v>Personality</v>
      </c>
      <c r="W1174" t="str">
        <f t="shared" si="245"/>
        <v>Technical Skills</v>
      </c>
      <c r="X1174" t="str">
        <f t="shared" si="246"/>
        <v>Strengthen technical skills and practical knowledge</v>
      </c>
    </row>
    <row r="1175" spans="1:24" x14ac:dyDescent="0.3">
      <c r="A1175">
        <v>46</v>
      </c>
      <c r="B1175">
        <v>1</v>
      </c>
      <c r="C1175">
        <v>2</v>
      </c>
      <c r="D1175">
        <v>2</v>
      </c>
      <c r="E1175">
        <v>1</v>
      </c>
      <c r="F1175">
        <v>11.2359726974999</v>
      </c>
      <c r="G1175">
        <v>68</v>
      </c>
      <c r="H1175">
        <v>15</v>
      </c>
      <c r="I1175">
        <v>11</v>
      </c>
      <c r="J1175">
        <v>2</v>
      </c>
      <c r="K1175">
        <v>0</v>
      </c>
      <c r="L1175" t="str">
        <f t="shared" si="234"/>
        <v>C1174</v>
      </c>
      <c r="M1175" t="str">
        <f t="shared" si="235"/>
        <v>Female</v>
      </c>
      <c r="N1175" t="str">
        <f t="shared" si="236"/>
        <v>Bachelor's Type 2</v>
      </c>
      <c r="O1175" t="str">
        <f t="shared" si="237"/>
        <v>Entry Level</v>
      </c>
      <c r="P1175" t="str">
        <f t="shared" si="238"/>
        <v>Average</v>
      </c>
      <c r="Q1175" t="str">
        <f t="shared" si="239"/>
        <v>Beginner</v>
      </c>
      <c r="R1175" t="str">
        <f t="shared" si="240"/>
        <v>Needs Improvement</v>
      </c>
      <c r="S1175" t="str">
        <f t="shared" si="241"/>
        <v>Not Hired</v>
      </c>
      <c r="T1175">
        <f t="shared" si="242"/>
        <v>32</v>
      </c>
      <c r="U1175" t="str">
        <f t="shared" si="243"/>
        <v>Needs Improvement</v>
      </c>
      <c r="V1175" t="str">
        <f t="shared" si="244"/>
        <v>Interview</v>
      </c>
      <c r="W1175" t="str">
        <f t="shared" si="245"/>
        <v>Personality &amp; Communication</v>
      </c>
      <c r="X1175" t="str">
        <f t="shared" si="246"/>
        <v>Work on communication and personality development</v>
      </c>
    </row>
    <row r="1176" spans="1:24" x14ac:dyDescent="0.3">
      <c r="A1176">
        <v>28</v>
      </c>
      <c r="B1176">
        <v>0</v>
      </c>
      <c r="C1176">
        <v>1</v>
      </c>
      <c r="D1176">
        <v>9</v>
      </c>
      <c r="E1176">
        <v>1</v>
      </c>
      <c r="F1176">
        <v>29.325908279391498</v>
      </c>
      <c r="G1176">
        <v>56</v>
      </c>
      <c r="H1176">
        <v>58</v>
      </c>
      <c r="I1176">
        <v>46</v>
      </c>
      <c r="J1176">
        <v>2</v>
      </c>
      <c r="K1176">
        <v>0</v>
      </c>
      <c r="L1176" t="str">
        <f t="shared" si="234"/>
        <v>C1175</v>
      </c>
      <c r="M1176" t="str">
        <f t="shared" si="235"/>
        <v>Male</v>
      </c>
      <c r="N1176" t="str">
        <f t="shared" si="236"/>
        <v>Bachelor's Type 1</v>
      </c>
      <c r="O1176" t="str">
        <f t="shared" si="237"/>
        <v>Senior Level</v>
      </c>
      <c r="P1176" t="str">
        <f t="shared" si="238"/>
        <v>Average</v>
      </c>
      <c r="Q1176" t="str">
        <f t="shared" si="239"/>
        <v>Intermediate</v>
      </c>
      <c r="R1176" t="str">
        <f t="shared" si="240"/>
        <v>Needs Improvement</v>
      </c>
      <c r="S1176" t="str">
        <f t="shared" si="241"/>
        <v>Not Hired</v>
      </c>
      <c r="T1176">
        <f t="shared" si="242"/>
        <v>55</v>
      </c>
      <c r="U1176" t="str">
        <f t="shared" si="243"/>
        <v>Developing</v>
      </c>
      <c r="V1176" t="str">
        <f t="shared" si="244"/>
        <v>Technical Skills</v>
      </c>
      <c r="W1176" t="str">
        <f t="shared" si="245"/>
        <v>Personality &amp; Communication</v>
      </c>
      <c r="X1176" t="str">
        <f t="shared" si="246"/>
        <v>Work on communication and personality development</v>
      </c>
    </row>
    <row r="1177" spans="1:24" x14ac:dyDescent="0.3">
      <c r="A1177">
        <v>45</v>
      </c>
      <c r="B1177">
        <v>0</v>
      </c>
      <c r="C1177">
        <v>3</v>
      </c>
      <c r="D1177">
        <v>2</v>
      </c>
      <c r="E1177">
        <v>1</v>
      </c>
      <c r="F1177">
        <v>33.477147930183001</v>
      </c>
      <c r="G1177">
        <v>16</v>
      </c>
      <c r="H1177">
        <v>52</v>
      </c>
      <c r="I1177">
        <v>66</v>
      </c>
      <c r="J1177">
        <v>2</v>
      </c>
      <c r="K1177">
        <v>0</v>
      </c>
      <c r="L1177" t="str">
        <f t="shared" si="234"/>
        <v>C1176</v>
      </c>
      <c r="M1177" t="str">
        <f t="shared" si="235"/>
        <v>Male</v>
      </c>
      <c r="N1177" t="str">
        <f t="shared" si="236"/>
        <v>Master's</v>
      </c>
      <c r="O1177" t="str">
        <f t="shared" si="237"/>
        <v>Entry Level</v>
      </c>
      <c r="P1177" t="str">
        <f t="shared" si="238"/>
        <v>Low</v>
      </c>
      <c r="Q1177" t="str">
        <f t="shared" si="239"/>
        <v>Intermediate</v>
      </c>
      <c r="R1177" t="str">
        <f t="shared" si="240"/>
        <v>Good</v>
      </c>
      <c r="S1177" t="str">
        <f t="shared" si="241"/>
        <v>Not Hired</v>
      </c>
      <c r="T1177">
        <f t="shared" si="242"/>
        <v>39</v>
      </c>
      <c r="U1177" t="str">
        <f t="shared" si="243"/>
        <v>Needs Improvement</v>
      </c>
      <c r="V1177" t="str">
        <f t="shared" si="244"/>
        <v>Personality</v>
      </c>
      <c r="W1177" t="str">
        <f t="shared" si="245"/>
        <v>Interview Preparation</v>
      </c>
      <c r="X1177" t="str">
        <f t="shared" si="246"/>
        <v>Improve interview preparation and communication</v>
      </c>
    </row>
    <row r="1178" spans="1:24" x14ac:dyDescent="0.3">
      <c r="A1178">
        <v>44</v>
      </c>
      <c r="B1178">
        <v>0</v>
      </c>
      <c r="C1178">
        <v>2</v>
      </c>
      <c r="D1178">
        <v>15</v>
      </c>
      <c r="E1178">
        <v>4</v>
      </c>
      <c r="F1178">
        <v>16.1311591464377</v>
      </c>
      <c r="G1178">
        <v>70</v>
      </c>
      <c r="H1178">
        <v>18</v>
      </c>
      <c r="I1178">
        <v>64</v>
      </c>
      <c r="J1178">
        <v>2</v>
      </c>
      <c r="K1178">
        <v>0</v>
      </c>
      <c r="L1178" t="str">
        <f t="shared" si="234"/>
        <v>C1177</v>
      </c>
      <c r="M1178" t="str">
        <f t="shared" si="235"/>
        <v>Male</v>
      </c>
      <c r="N1178" t="str">
        <f t="shared" si="236"/>
        <v>Bachelor's Type 2</v>
      </c>
      <c r="O1178" t="str">
        <f t="shared" si="237"/>
        <v>Senior Level</v>
      </c>
      <c r="P1178" t="str">
        <f t="shared" si="238"/>
        <v>Average</v>
      </c>
      <c r="Q1178" t="str">
        <f t="shared" si="239"/>
        <v>Beginner</v>
      </c>
      <c r="R1178" t="str">
        <f t="shared" si="240"/>
        <v>Good</v>
      </c>
      <c r="S1178" t="str">
        <f t="shared" si="241"/>
        <v>Not Hired</v>
      </c>
      <c r="T1178">
        <f t="shared" si="242"/>
        <v>57</v>
      </c>
      <c r="U1178" t="str">
        <f t="shared" si="243"/>
        <v>Developing</v>
      </c>
      <c r="V1178" t="str">
        <f t="shared" si="244"/>
        <v>Interview</v>
      </c>
      <c r="W1178" t="str">
        <f t="shared" si="245"/>
        <v>Technical Skills</v>
      </c>
      <c r="X1178" t="str">
        <f t="shared" si="246"/>
        <v>Strengthen technical skills and practical knowledge</v>
      </c>
    </row>
    <row r="1179" spans="1:24" x14ac:dyDescent="0.3">
      <c r="A1179">
        <v>34</v>
      </c>
      <c r="B1179">
        <v>0</v>
      </c>
      <c r="C1179">
        <v>1</v>
      </c>
      <c r="D1179">
        <v>10</v>
      </c>
      <c r="E1179">
        <v>4</v>
      </c>
      <c r="F1179">
        <v>23.999083483905</v>
      </c>
      <c r="G1179">
        <v>90</v>
      </c>
      <c r="H1179">
        <v>97</v>
      </c>
      <c r="I1179">
        <v>26</v>
      </c>
      <c r="J1179">
        <v>2</v>
      </c>
      <c r="K1179">
        <v>0</v>
      </c>
      <c r="L1179" t="str">
        <f t="shared" si="234"/>
        <v>C1178</v>
      </c>
      <c r="M1179" t="str">
        <f t="shared" si="235"/>
        <v>Male</v>
      </c>
      <c r="N1179" t="str">
        <f t="shared" si="236"/>
        <v>Bachelor's Type 1</v>
      </c>
      <c r="O1179" t="str">
        <f t="shared" si="237"/>
        <v>Senior Level</v>
      </c>
      <c r="P1179" t="str">
        <f t="shared" si="238"/>
        <v>Strong</v>
      </c>
      <c r="Q1179" t="str">
        <f t="shared" si="239"/>
        <v>Advanced</v>
      </c>
      <c r="R1179" t="str">
        <f t="shared" si="240"/>
        <v>Needs Improvement</v>
      </c>
      <c r="S1179" t="str">
        <f t="shared" si="241"/>
        <v>Not Hired</v>
      </c>
      <c r="T1179">
        <f t="shared" si="242"/>
        <v>74</v>
      </c>
      <c r="U1179" t="str">
        <f t="shared" si="243"/>
        <v>Developing</v>
      </c>
      <c r="V1179" t="str">
        <f t="shared" si="244"/>
        <v>Technical Skills</v>
      </c>
      <c r="W1179" t="str">
        <f t="shared" si="245"/>
        <v>Personality &amp; Communication</v>
      </c>
      <c r="X1179" t="str">
        <f t="shared" si="246"/>
        <v>Work on communication and personality development</v>
      </c>
    </row>
    <row r="1180" spans="1:24" x14ac:dyDescent="0.3">
      <c r="A1180">
        <v>44</v>
      </c>
      <c r="B1180">
        <v>1</v>
      </c>
      <c r="C1180">
        <v>2</v>
      </c>
      <c r="D1180">
        <v>11</v>
      </c>
      <c r="E1180">
        <v>5</v>
      </c>
      <c r="F1180">
        <v>14.9669742638279</v>
      </c>
      <c r="G1180">
        <v>46</v>
      </c>
      <c r="H1180">
        <v>88</v>
      </c>
      <c r="I1180">
        <v>47</v>
      </c>
      <c r="J1180">
        <v>2</v>
      </c>
      <c r="K1180">
        <v>0</v>
      </c>
      <c r="L1180" t="str">
        <f t="shared" si="234"/>
        <v>C1179</v>
      </c>
      <c r="M1180" t="str">
        <f t="shared" si="235"/>
        <v>Female</v>
      </c>
      <c r="N1180" t="str">
        <f t="shared" si="236"/>
        <v>Bachelor's Type 2</v>
      </c>
      <c r="O1180" t="str">
        <f t="shared" si="237"/>
        <v>Senior Level</v>
      </c>
      <c r="P1180" t="str">
        <f t="shared" si="238"/>
        <v>Low</v>
      </c>
      <c r="Q1180" t="str">
        <f t="shared" si="239"/>
        <v>Advanced</v>
      </c>
      <c r="R1180" t="str">
        <f t="shared" si="240"/>
        <v>Needs Improvement</v>
      </c>
      <c r="S1180" t="str">
        <f t="shared" si="241"/>
        <v>Not Hired</v>
      </c>
      <c r="T1180">
        <f t="shared" si="242"/>
        <v>63</v>
      </c>
      <c r="U1180" t="str">
        <f t="shared" si="243"/>
        <v>Developing</v>
      </c>
      <c r="V1180" t="str">
        <f t="shared" si="244"/>
        <v>Technical Skills</v>
      </c>
      <c r="W1180" t="str">
        <f t="shared" si="245"/>
        <v>Interview Preparation</v>
      </c>
      <c r="X1180" t="str">
        <f t="shared" si="246"/>
        <v>Improve interview preparation and communication</v>
      </c>
    </row>
    <row r="1181" spans="1:24" x14ac:dyDescent="0.3">
      <c r="A1181">
        <v>41</v>
      </c>
      <c r="B1181">
        <v>1</v>
      </c>
      <c r="C1181">
        <v>2</v>
      </c>
      <c r="D1181">
        <v>0</v>
      </c>
      <c r="E1181">
        <v>2</v>
      </c>
      <c r="F1181">
        <v>19.469558222755602</v>
      </c>
      <c r="G1181">
        <v>78</v>
      </c>
      <c r="H1181">
        <v>94</v>
      </c>
      <c r="I1181">
        <v>87</v>
      </c>
      <c r="J1181">
        <v>2</v>
      </c>
      <c r="K1181">
        <v>0</v>
      </c>
      <c r="L1181" t="str">
        <f t="shared" si="234"/>
        <v>C1180</v>
      </c>
      <c r="M1181" t="str">
        <f t="shared" si="235"/>
        <v>Female</v>
      </c>
      <c r="N1181" t="str">
        <f t="shared" si="236"/>
        <v>Bachelor's Type 2</v>
      </c>
      <c r="O1181" t="str">
        <f t="shared" si="237"/>
        <v>Entry Level</v>
      </c>
      <c r="P1181" t="str">
        <f t="shared" si="238"/>
        <v>Strong</v>
      </c>
      <c r="Q1181" t="str">
        <f t="shared" si="239"/>
        <v>Advanced</v>
      </c>
      <c r="R1181" t="str">
        <f t="shared" si="240"/>
        <v>Strong</v>
      </c>
      <c r="S1181" t="str">
        <f t="shared" si="241"/>
        <v>Not Hired</v>
      </c>
      <c r="T1181">
        <f t="shared" si="242"/>
        <v>72</v>
      </c>
      <c r="U1181" t="str">
        <f t="shared" si="243"/>
        <v>Developing</v>
      </c>
      <c r="V1181" t="str">
        <f t="shared" si="244"/>
        <v>Technical Skills</v>
      </c>
      <c r="W1181" t="str">
        <f t="shared" si="245"/>
        <v>Interview Preparation</v>
      </c>
      <c r="X1181" t="str">
        <f t="shared" si="246"/>
        <v>Improve interview preparation and communication</v>
      </c>
    </row>
    <row r="1182" spans="1:24" x14ac:dyDescent="0.3">
      <c r="A1182">
        <v>34</v>
      </c>
      <c r="B1182">
        <v>1</v>
      </c>
      <c r="C1182">
        <v>1</v>
      </c>
      <c r="D1182">
        <v>10</v>
      </c>
      <c r="E1182">
        <v>3</v>
      </c>
      <c r="F1182">
        <v>8.97699783442118</v>
      </c>
      <c r="G1182">
        <v>12</v>
      </c>
      <c r="H1182">
        <v>40</v>
      </c>
      <c r="I1182">
        <v>61</v>
      </c>
      <c r="J1182">
        <v>2</v>
      </c>
      <c r="K1182">
        <v>0</v>
      </c>
      <c r="L1182" t="str">
        <f t="shared" si="234"/>
        <v>C1181</v>
      </c>
      <c r="M1182" t="str">
        <f t="shared" si="235"/>
        <v>Female</v>
      </c>
      <c r="N1182" t="str">
        <f t="shared" si="236"/>
        <v>Bachelor's Type 1</v>
      </c>
      <c r="O1182" t="str">
        <f t="shared" si="237"/>
        <v>Senior Level</v>
      </c>
      <c r="P1182" t="str">
        <f t="shared" si="238"/>
        <v>Low</v>
      </c>
      <c r="Q1182" t="str">
        <f t="shared" si="239"/>
        <v>Beginner</v>
      </c>
      <c r="R1182" t="str">
        <f t="shared" si="240"/>
        <v>Good</v>
      </c>
      <c r="S1182" t="str">
        <f t="shared" si="241"/>
        <v>Not Hired</v>
      </c>
      <c r="T1182">
        <f t="shared" si="242"/>
        <v>40</v>
      </c>
      <c r="U1182" t="str">
        <f t="shared" si="243"/>
        <v>Needs Improvement</v>
      </c>
      <c r="V1182" t="str">
        <f t="shared" si="244"/>
        <v>Personality</v>
      </c>
      <c r="W1182" t="str">
        <f t="shared" si="245"/>
        <v>Interview Preparation</v>
      </c>
      <c r="X1182" t="str">
        <f t="shared" si="246"/>
        <v>Improve interview preparation and communication</v>
      </c>
    </row>
    <row r="1183" spans="1:24" x14ac:dyDescent="0.3">
      <c r="A1183">
        <v>43</v>
      </c>
      <c r="B1183">
        <v>1</v>
      </c>
      <c r="C1183">
        <v>2</v>
      </c>
      <c r="D1183">
        <v>14</v>
      </c>
      <c r="E1183">
        <v>3</v>
      </c>
      <c r="F1183">
        <v>45.277972179281498</v>
      </c>
      <c r="G1183">
        <v>10</v>
      </c>
      <c r="H1183">
        <v>80</v>
      </c>
      <c r="I1183">
        <v>43</v>
      </c>
      <c r="J1183">
        <v>1</v>
      </c>
      <c r="K1183">
        <v>1</v>
      </c>
      <c r="L1183" t="str">
        <f t="shared" si="234"/>
        <v>C1182</v>
      </c>
      <c r="M1183" t="str">
        <f t="shared" si="235"/>
        <v>Female</v>
      </c>
      <c r="N1183" t="str">
        <f t="shared" si="236"/>
        <v>Bachelor's Type 2</v>
      </c>
      <c r="O1183" t="str">
        <f t="shared" si="237"/>
        <v>Senior Level</v>
      </c>
      <c r="P1183" t="str">
        <f t="shared" si="238"/>
        <v>Low</v>
      </c>
      <c r="Q1183" t="str">
        <f t="shared" si="239"/>
        <v>Advanced</v>
      </c>
      <c r="R1183" t="str">
        <f t="shared" si="240"/>
        <v>Needs Improvement</v>
      </c>
      <c r="S1183" t="str">
        <f t="shared" si="241"/>
        <v>Hired</v>
      </c>
      <c r="T1183">
        <f t="shared" si="242"/>
        <v>52</v>
      </c>
      <c r="U1183" t="str">
        <f t="shared" si="243"/>
        <v>Developing</v>
      </c>
      <c r="V1183" t="str">
        <f t="shared" si="244"/>
        <v>Technical Skills</v>
      </c>
      <c r="W1183" t="str">
        <f t="shared" si="245"/>
        <v>Interview Preparation</v>
      </c>
      <c r="X1183" t="str">
        <f t="shared" si="246"/>
        <v>Improve interview preparation and communication</v>
      </c>
    </row>
    <row r="1184" spans="1:24" x14ac:dyDescent="0.3">
      <c r="A1184">
        <v>49</v>
      </c>
      <c r="B1184">
        <v>1</v>
      </c>
      <c r="C1184">
        <v>2</v>
      </c>
      <c r="D1184">
        <v>12</v>
      </c>
      <c r="E1184">
        <v>3</v>
      </c>
      <c r="F1184">
        <v>1.5005205279568199</v>
      </c>
      <c r="G1184">
        <v>89</v>
      </c>
      <c r="H1184">
        <v>46</v>
      </c>
      <c r="I1184">
        <v>18</v>
      </c>
      <c r="J1184">
        <v>1</v>
      </c>
      <c r="K1184">
        <v>1</v>
      </c>
      <c r="L1184" t="str">
        <f t="shared" si="234"/>
        <v>C1183</v>
      </c>
      <c r="M1184" t="str">
        <f t="shared" si="235"/>
        <v>Female</v>
      </c>
      <c r="N1184" t="str">
        <f t="shared" si="236"/>
        <v>Bachelor's Type 2</v>
      </c>
      <c r="O1184" t="str">
        <f t="shared" si="237"/>
        <v>Senior Level</v>
      </c>
      <c r="P1184" t="str">
        <f t="shared" si="238"/>
        <v>Strong</v>
      </c>
      <c r="Q1184" t="str">
        <f t="shared" si="239"/>
        <v>Beginner</v>
      </c>
      <c r="R1184" t="str">
        <f t="shared" si="240"/>
        <v>Needs Improvement</v>
      </c>
      <c r="S1184" t="str">
        <f t="shared" si="241"/>
        <v>Hired</v>
      </c>
      <c r="T1184">
        <f t="shared" si="242"/>
        <v>59</v>
      </c>
      <c r="U1184" t="str">
        <f t="shared" si="243"/>
        <v>Developing</v>
      </c>
      <c r="V1184" t="str">
        <f t="shared" si="244"/>
        <v>Interview</v>
      </c>
      <c r="W1184" t="str">
        <f t="shared" si="245"/>
        <v>Personality &amp; Communication</v>
      </c>
      <c r="X1184" t="str">
        <f t="shared" si="246"/>
        <v>Work on communication and personality development</v>
      </c>
    </row>
    <row r="1185" spans="1:24" x14ac:dyDescent="0.3">
      <c r="A1185">
        <v>30</v>
      </c>
      <c r="B1185">
        <v>0</v>
      </c>
      <c r="C1185">
        <v>2</v>
      </c>
      <c r="D1185">
        <v>14</v>
      </c>
      <c r="E1185">
        <v>1</v>
      </c>
      <c r="F1185">
        <v>45.120459322189397</v>
      </c>
      <c r="G1185">
        <v>85</v>
      </c>
      <c r="H1185">
        <v>93</v>
      </c>
      <c r="I1185">
        <v>58</v>
      </c>
      <c r="J1185">
        <v>2</v>
      </c>
      <c r="K1185">
        <v>0</v>
      </c>
      <c r="L1185" t="str">
        <f t="shared" si="234"/>
        <v>C1184</v>
      </c>
      <c r="M1185" t="str">
        <f t="shared" si="235"/>
        <v>Male</v>
      </c>
      <c r="N1185" t="str">
        <f t="shared" si="236"/>
        <v>Bachelor's Type 2</v>
      </c>
      <c r="O1185" t="str">
        <f t="shared" si="237"/>
        <v>Senior Level</v>
      </c>
      <c r="P1185" t="str">
        <f t="shared" si="238"/>
        <v>Strong</v>
      </c>
      <c r="Q1185" t="str">
        <f t="shared" si="239"/>
        <v>Advanced</v>
      </c>
      <c r="R1185" t="str">
        <f t="shared" si="240"/>
        <v>Good</v>
      </c>
      <c r="S1185" t="str">
        <f t="shared" si="241"/>
        <v>Not Hired</v>
      </c>
      <c r="T1185">
        <f t="shared" si="242"/>
        <v>82</v>
      </c>
      <c r="U1185" t="str">
        <f t="shared" si="243"/>
        <v>Job Ready</v>
      </c>
      <c r="V1185" t="str">
        <f t="shared" si="244"/>
        <v>Technical Skills</v>
      </c>
      <c r="W1185" t="str">
        <f t="shared" si="245"/>
        <v>Personality &amp; Communication</v>
      </c>
      <c r="X1185" t="str">
        <f t="shared" si="246"/>
        <v>Work on communication and personality development</v>
      </c>
    </row>
    <row r="1186" spans="1:24" x14ac:dyDescent="0.3">
      <c r="A1186">
        <v>50</v>
      </c>
      <c r="B1186">
        <v>1</v>
      </c>
      <c r="C1186">
        <v>3</v>
      </c>
      <c r="D1186">
        <v>4</v>
      </c>
      <c r="E1186">
        <v>4</v>
      </c>
      <c r="F1186">
        <v>29.583943917486899</v>
      </c>
      <c r="G1186">
        <v>91</v>
      </c>
      <c r="H1186">
        <v>53</v>
      </c>
      <c r="I1186">
        <v>7</v>
      </c>
      <c r="J1186">
        <v>1</v>
      </c>
      <c r="K1186">
        <v>1</v>
      </c>
      <c r="L1186" t="str">
        <f t="shared" si="234"/>
        <v>C1185</v>
      </c>
      <c r="M1186" t="str">
        <f t="shared" si="235"/>
        <v>Female</v>
      </c>
      <c r="N1186" t="str">
        <f t="shared" si="236"/>
        <v>Master's</v>
      </c>
      <c r="O1186" t="str">
        <f t="shared" si="237"/>
        <v>Mid Level</v>
      </c>
      <c r="P1186" t="str">
        <f t="shared" si="238"/>
        <v>Strong</v>
      </c>
      <c r="Q1186" t="str">
        <f t="shared" si="239"/>
        <v>Intermediate</v>
      </c>
      <c r="R1186" t="str">
        <f t="shared" si="240"/>
        <v>Needs Improvement</v>
      </c>
      <c r="S1186" t="str">
        <f t="shared" si="241"/>
        <v>Hired</v>
      </c>
      <c r="T1186">
        <f t="shared" si="242"/>
        <v>52</v>
      </c>
      <c r="U1186" t="str">
        <f t="shared" si="243"/>
        <v>Developing</v>
      </c>
      <c r="V1186" t="str">
        <f t="shared" si="244"/>
        <v>Interview</v>
      </c>
      <c r="W1186" t="str">
        <f t="shared" si="245"/>
        <v>Personality &amp; Communication</v>
      </c>
      <c r="X1186" t="str">
        <f t="shared" si="246"/>
        <v>Work on communication and personality development</v>
      </c>
    </row>
    <row r="1187" spans="1:24" x14ac:dyDescent="0.3">
      <c r="A1187">
        <v>35</v>
      </c>
      <c r="B1187">
        <v>1</v>
      </c>
      <c r="C1187">
        <v>2</v>
      </c>
      <c r="D1187">
        <v>13</v>
      </c>
      <c r="E1187">
        <v>2</v>
      </c>
      <c r="F1187">
        <v>17.582892208850801</v>
      </c>
      <c r="G1187">
        <v>23</v>
      </c>
      <c r="H1187">
        <v>54</v>
      </c>
      <c r="I1187">
        <v>54</v>
      </c>
      <c r="J1187">
        <v>2</v>
      </c>
      <c r="K1187">
        <v>0</v>
      </c>
      <c r="L1187" t="str">
        <f t="shared" si="234"/>
        <v>C1186</v>
      </c>
      <c r="M1187" t="str">
        <f t="shared" si="235"/>
        <v>Female</v>
      </c>
      <c r="N1187" t="str">
        <f t="shared" si="236"/>
        <v>Bachelor's Type 2</v>
      </c>
      <c r="O1187" t="str">
        <f t="shared" si="237"/>
        <v>Senior Level</v>
      </c>
      <c r="P1187" t="str">
        <f t="shared" si="238"/>
        <v>Low</v>
      </c>
      <c r="Q1187" t="str">
        <f t="shared" si="239"/>
        <v>Intermediate</v>
      </c>
      <c r="R1187" t="str">
        <f t="shared" si="240"/>
        <v>Good</v>
      </c>
      <c r="S1187" t="str">
        <f t="shared" si="241"/>
        <v>Not Hired</v>
      </c>
      <c r="T1187">
        <f t="shared" si="242"/>
        <v>49</v>
      </c>
      <c r="U1187" t="str">
        <f t="shared" si="243"/>
        <v>Needs Improvement</v>
      </c>
      <c r="V1187" t="str">
        <f t="shared" si="244"/>
        <v>Technical Skills</v>
      </c>
      <c r="W1187" t="str">
        <f t="shared" si="245"/>
        <v>Interview Preparation</v>
      </c>
      <c r="X1187" t="str">
        <f t="shared" si="246"/>
        <v>Improve interview preparation and communication</v>
      </c>
    </row>
    <row r="1188" spans="1:24" x14ac:dyDescent="0.3">
      <c r="A1188">
        <v>48</v>
      </c>
      <c r="B1188">
        <v>1</v>
      </c>
      <c r="C1188">
        <v>2</v>
      </c>
      <c r="D1188">
        <v>3</v>
      </c>
      <c r="E1188">
        <v>1</v>
      </c>
      <c r="F1188">
        <v>37.152856273016397</v>
      </c>
      <c r="G1188">
        <v>92</v>
      </c>
      <c r="H1188">
        <v>94</v>
      </c>
      <c r="I1188">
        <v>46</v>
      </c>
      <c r="J1188">
        <v>2</v>
      </c>
      <c r="K1188">
        <v>0</v>
      </c>
      <c r="L1188" t="str">
        <f t="shared" si="234"/>
        <v>C1187</v>
      </c>
      <c r="M1188" t="str">
        <f t="shared" si="235"/>
        <v>Female</v>
      </c>
      <c r="N1188" t="str">
        <f t="shared" si="236"/>
        <v>Bachelor's Type 2</v>
      </c>
      <c r="O1188" t="str">
        <f t="shared" si="237"/>
        <v>Mid Level</v>
      </c>
      <c r="P1188" t="str">
        <f t="shared" si="238"/>
        <v>Strong</v>
      </c>
      <c r="Q1188" t="str">
        <f t="shared" si="239"/>
        <v>Advanced</v>
      </c>
      <c r="R1188" t="str">
        <f t="shared" si="240"/>
        <v>Needs Improvement</v>
      </c>
      <c r="S1188" t="str">
        <f t="shared" si="241"/>
        <v>Not Hired</v>
      </c>
      <c r="T1188">
        <f t="shared" si="242"/>
        <v>71</v>
      </c>
      <c r="U1188" t="str">
        <f t="shared" si="243"/>
        <v>Developing</v>
      </c>
      <c r="V1188" t="str">
        <f t="shared" si="244"/>
        <v>Technical Skills</v>
      </c>
      <c r="W1188" t="str">
        <f t="shared" si="245"/>
        <v>Personality &amp; Communication</v>
      </c>
      <c r="X1188" t="str">
        <f t="shared" si="246"/>
        <v>Work on communication and personality development</v>
      </c>
    </row>
    <row r="1189" spans="1:24" x14ac:dyDescent="0.3">
      <c r="A1189">
        <v>36</v>
      </c>
      <c r="B1189">
        <v>1</v>
      </c>
      <c r="C1189">
        <v>2</v>
      </c>
      <c r="D1189">
        <v>8</v>
      </c>
      <c r="E1189">
        <v>4</v>
      </c>
      <c r="F1189">
        <v>26.3876075931332</v>
      </c>
      <c r="G1189">
        <v>72</v>
      </c>
      <c r="H1189">
        <v>18</v>
      </c>
      <c r="I1189">
        <v>1</v>
      </c>
      <c r="J1189">
        <v>3</v>
      </c>
      <c r="K1189">
        <v>0</v>
      </c>
      <c r="L1189" t="str">
        <f t="shared" si="234"/>
        <v>C1188</v>
      </c>
      <c r="M1189" t="str">
        <f t="shared" si="235"/>
        <v>Female</v>
      </c>
      <c r="N1189" t="str">
        <f t="shared" si="236"/>
        <v>Bachelor's Type 2</v>
      </c>
      <c r="O1189" t="str">
        <f t="shared" si="237"/>
        <v>Senior Level</v>
      </c>
      <c r="P1189" t="str">
        <f t="shared" si="238"/>
        <v>Average</v>
      </c>
      <c r="Q1189" t="str">
        <f t="shared" si="239"/>
        <v>Beginner</v>
      </c>
      <c r="R1189" t="str">
        <f t="shared" si="240"/>
        <v>Needs Improvement</v>
      </c>
      <c r="S1189" t="str">
        <f t="shared" si="241"/>
        <v>Not Hired</v>
      </c>
      <c r="T1189">
        <f t="shared" si="242"/>
        <v>38</v>
      </c>
      <c r="U1189" t="str">
        <f t="shared" si="243"/>
        <v>Needs Improvement</v>
      </c>
      <c r="V1189" t="str">
        <f t="shared" si="244"/>
        <v>Interview</v>
      </c>
      <c r="W1189" t="str">
        <f t="shared" si="245"/>
        <v>Personality &amp; Communication</v>
      </c>
      <c r="X1189" t="str">
        <f t="shared" si="246"/>
        <v>Work on communication and personality development</v>
      </c>
    </row>
    <row r="1190" spans="1:24" x14ac:dyDescent="0.3">
      <c r="A1190">
        <v>45</v>
      </c>
      <c r="B1190">
        <v>1</v>
      </c>
      <c r="C1190">
        <v>2</v>
      </c>
      <c r="D1190">
        <v>14</v>
      </c>
      <c r="E1190">
        <v>4</v>
      </c>
      <c r="F1190">
        <v>25.955432905380299</v>
      </c>
      <c r="G1190">
        <v>3</v>
      </c>
      <c r="H1190">
        <v>61</v>
      </c>
      <c r="I1190">
        <v>93</v>
      </c>
      <c r="J1190">
        <v>2</v>
      </c>
      <c r="K1190">
        <v>0</v>
      </c>
      <c r="L1190" t="str">
        <f t="shared" si="234"/>
        <v>C1189</v>
      </c>
      <c r="M1190" t="str">
        <f t="shared" si="235"/>
        <v>Female</v>
      </c>
      <c r="N1190" t="str">
        <f t="shared" si="236"/>
        <v>Bachelor's Type 2</v>
      </c>
      <c r="O1190" t="str">
        <f t="shared" si="237"/>
        <v>Senior Level</v>
      </c>
      <c r="P1190" t="str">
        <f t="shared" si="238"/>
        <v>Low</v>
      </c>
      <c r="Q1190" t="str">
        <f t="shared" si="239"/>
        <v>Intermediate</v>
      </c>
      <c r="R1190" t="str">
        <f t="shared" si="240"/>
        <v>Strong</v>
      </c>
      <c r="S1190" t="str">
        <f t="shared" si="241"/>
        <v>Not Hired</v>
      </c>
      <c r="T1190">
        <f t="shared" si="242"/>
        <v>54</v>
      </c>
      <c r="U1190" t="str">
        <f t="shared" si="243"/>
        <v>Developing</v>
      </c>
      <c r="V1190" t="str">
        <f t="shared" si="244"/>
        <v>Personality</v>
      </c>
      <c r="W1190" t="str">
        <f t="shared" si="245"/>
        <v>Interview Preparation</v>
      </c>
      <c r="X1190" t="str">
        <f t="shared" si="246"/>
        <v>Improve interview preparation and communication</v>
      </c>
    </row>
    <row r="1191" spans="1:24" x14ac:dyDescent="0.3">
      <c r="A1191">
        <v>23</v>
      </c>
      <c r="B1191">
        <v>0</v>
      </c>
      <c r="C1191">
        <v>2</v>
      </c>
      <c r="D1191">
        <v>8</v>
      </c>
      <c r="E1191">
        <v>2</v>
      </c>
      <c r="F1191">
        <v>6.5071141459483197</v>
      </c>
      <c r="G1191">
        <v>45</v>
      </c>
      <c r="H1191">
        <v>98</v>
      </c>
      <c r="I1191">
        <v>93</v>
      </c>
      <c r="J1191">
        <v>1</v>
      </c>
      <c r="K1191">
        <v>1</v>
      </c>
      <c r="L1191" t="str">
        <f t="shared" si="234"/>
        <v>C1190</v>
      </c>
      <c r="M1191" t="str">
        <f t="shared" si="235"/>
        <v>Male</v>
      </c>
      <c r="N1191" t="str">
        <f t="shared" si="236"/>
        <v>Bachelor's Type 2</v>
      </c>
      <c r="O1191" t="str">
        <f t="shared" si="237"/>
        <v>Senior Level</v>
      </c>
      <c r="P1191" t="str">
        <f t="shared" si="238"/>
        <v>Low</v>
      </c>
      <c r="Q1191" t="str">
        <f t="shared" si="239"/>
        <v>Advanced</v>
      </c>
      <c r="R1191" t="str">
        <f t="shared" si="240"/>
        <v>Strong</v>
      </c>
      <c r="S1191" t="str">
        <f t="shared" si="241"/>
        <v>Hired</v>
      </c>
      <c r="T1191">
        <f t="shared" si="242"/>
        <v>72</v>
      </c>
      <c r="U1191" t="str">
        <f t="shared" si="243"/>
        <v>Developing</v>
      </c>
      <c r="V1191" t="str">
        <f t="shared" si="244"/>
        <v>Technical Skills</v>
      </c>
      <c r="W1191" t="str">
        <f t="shared" si="245"/>
        <v>Interview Preparation</v>
      </c>
      <c r="X1191" t="str">
        <f t="shared" si="246"/>
        <v>Improve interview preparation and communication</v>
      </c>
    </row>
    <row r="1192" spans="1:24" x14ac:dyDescent="0.3">
      <c r="A1192">
        <v>20</v>
      </c>
      <c r="B1192">
        <v>0</v>
      </c>
      <c r="C1192">
        <v>2</v>
      </c>
      <c r="D1192">
        <v>14</v>
      </c>
      <c r="E1192">
        <v>2</v>
      </c>
      <c r="F1192">
        <v>20.475801297270401</v>
      </c>
      <c r="G1192">
        <v>17</v>
      </c>
      <c r="H1192">
        <v>92</v>
      </c>
      <c r="I1192">
        <v>38</v>
      </c>
      <c r="J1192">
        <v>1</v>
      </c>
      <c r="K1192">
        <v>1</v>
      </c>
      <c r="L1192" t="str">
        <f t="shared" si="234"/>
        <v>C1191</v>
      </c>
      <c r="M1192" t="str">
        <f t="shared" si="235"/>
        <v>Male</v>
      </c>
      <c r="N1192" t="str">
        <f t="shared" si="236"/>
        <v>Bachelor's Type 2</v>
      </c>
      <c r="O1192" t="str">
        <f t="shared" si="237"/>
        <v>Senior Level</v>
      </c>
      <c r="P1192" t="str">
        <f t="shared" si="238"/>
        <v>Low</v>
      </c>
      <c r="Q1192" t="str">
        <f t="shared" si="239"/>
        <v>Advanced</v>
      </c>
      <c r="R1192" t="str">
        <f t="shared" si="240"/>
        <v>Needs Improvement</v>
      </c>
      <c r="S1192" t="str">
        <f t="shared" si="241"/>
        <v>Hired</v>
      </c>
      <c r="T1192">
        <f t="shared" si="242"/>
        <v>57</v>
      </c>
      <c r="U1192" t="str">
        <f t="shared" si="243"/>
        <v>Developing</v>
      </c>
      <c r="V1192" t="str">
        <f t="shared" si="244"/>
        <v>Technical Skills</v>
      </c>
      <c r="W1192" t="str">
        <f t="shared" si="245"/>
        <v>Interview Preparation</v>
      </c>
      <c r="X1192" t="str">
        <f t="shared" si="246"/>
        <v>Improve interview preparation and communication</v>
      </c>
    </row>
    <row r="1193" spans="1:24" x14ac:dyDescent="0.3">
      <c r="A1193">
        <v>27</v>
      </c>
      <c r="B1193">
        <v>0</v>
      </c>
      <c r="C1193">
        <v>3</v>
      </c>
      <c r="D1193">
        <v>13</v>
      </c>
      <c r="E1193">
        <v>2</v>
      </c>
      <c r="F1193">
        <v>13.0532172928368</v>
      </c>
      <c r="G1193">
        <v>42</v>
      </c>
      <c r="H1193">
        <v>58</v>
      </c>
      <c r="I1193">
        <v>44</v>
      </c>
      <c r="J1193">
        <v>3</v>
      </c>
      <c r="K1193">
        <v>0</v>
      </c>
      <c r="L1193" t="str">
        <f t="shared" si="234"/>
        <v>C1192</v>
      </c>
      <c r="M1193" t="str">
        <f t="shared" si="235"/>
        <v>Male</v>
      </c>
      <c r="N1193" t="str">
        <f t="shared" si="236"/>
        <v>Master's</v>
      </c>
      <c r="O1193" t="str">
        <f t="shared" si="237"/>
        <v>Senior Level</v>
      </c>
      <c r="P1193" t="str">
        <f t="shared" si="238"/>
        <v>Low</v>
      </c>
      <c r="Q1193" t="str">
        <f t="shared" si="239"/>
        <v>Intermediate</v>
      </c>
      <c r="R1193" t="str">
        <f t="shared" si="240"/>
        <v>Needs Improvement</v>
      </c>
      <c r="S1193" t="str">
        <f t="shared" si="241"/>
        <v>Not Hired</v>
      </c>
      <c r="T1193">
        <f t="shared" si="242"/>
        <v>56</v>
      </c>
      <c r="U1193" t="str">
        <f t="shared" si="243"/>
        <v>Developing</v>
      </c>
      <c r="V1193" t="str">
        <f t="shared" si="244"/>
        <v>Technical Skills</v>
      </c>
      <c r="W1193" t="str">
        <f t="shared" si="245"/>
        <v>Interview Preparation</v>
      </c>
      <c r="X1193" t="str">
        <f t="shared" si="246"/>
        <v>Improve interview preparation and communication</v>
      </c>
    </row>
    <row r="1194" spans="1:24" x14ac:dyDescent="0.3">
      <c r="A1194">
        <v>36</v>
      </c>
      <c r="B1194">
        <v>1</v>
      </c>
      <c r="C1194">
        <v>2</v>
      </c>
      <c r="D1194">
        <v>4</v>
      </c>
      <c r="E1194">
        <v>1</v>
      </c>
      <c r="F1194">
        <v>1.7847952798139799</v>
      </c>
      <c r="G1194">
        <v>79</v>
      </c>
      <c r="H1194">
        <v>64</v>
      </c>
      <c r="I1194">
        <v>31</v>
      </c>
      <c r="J1194">
        <v>1</v>
      </c>
      <c r="K1194">
        <v>1</v>
      </c>
      <c r="L1194" t="str">
        <f t="shared" si="234"/>
        <v>C1193</v>
      </c>
      <c r="M1194" t="str">
        <f t="shared" si="235"/>
        <v>Female</v>
      </c>
      <c r="N1194" t="str">
        <f t="shared" si="236"/>
        <v>Bachelor's Type 2</v>
      </c>
      <c r="O1194" t="str">
        <f t="shared" si="237"/>
        <v>Mid Level</v>
      </c>
      <c r="P1194" t="str">
        <f t="shared" si="238"/>
        <v>Strong</v>
      </c>
      <c r="Q1194" t="str">
        <f t="shared" si="239"/>
        <v>Intermediate</v>
      </c>
      <c r="R1194" t="str">
        <f t="shared" si="240"/>
        <v>Needs Improvement</v>
      </c>
      <c r="S1194" t="str">
        <f t="shared" si="241"/>
        <v>Hired</v>
      </c>
      <c r="T1194">
        <f t="shared" si="242"/>
        <v>56</v>
      </c>
      <c r="U1194" t="str">
        <f t="shared" si="243"/>
        <v>Developing</v>
      </c>
      <c r="V1194" t="str">
        <f t="shared" si="244"/>
        <v>Interview</v>
      </c>
      <c r="W1194" t="str">
        <f t="shared" si="245"/>
        <v>Personality &amp; Communication</v>
      </c>
      <c r="X1194" t="str">
        <f t="shared" si="246"/>
        <v>Work on communication and personality development</v>
      </c>
    </row>
    <row r="1195" spans="1:24" x14ac:dyDescent="0.3">
      <c r="A1195">
        <v>22</v>
      </c>
      <c r="B1195">
        <v>0</v>
      </c>
      <c r="C1195">
        <v>2</v>
      </c>
      <c r="D1195">
        <v>9</v>
      </c>
      <c r="E1195">
        <v>5</v>
      </c>
      <c r="F1195">
        <v>19.0049815391056</v>
      </c>
      <c r="G1195">
        <v>32</v>
      </c>
      <c r="H1195">
        <v>67</v>
      </c>
      <c r="I1195">
        <v>64</v>
      </c>
      <c r="J1195">
        <v>2</v>
      </c>
      <c r="K1195">
        <v>0</v>
      </c>
      <c r="L1195" t="str">
        <f t="shared" si="234"/>
        <v>C1194</v>
      </c>
      <c r="M1195" t="str">
        <f t="shared" si="235"/>
        <v>Male</v>
      </c>
      <c r="N1195" t="str">
        <f t="shared" si="236"/>
        <v>Bachelor's Type 2</v>
      </c>
      <c r="O1195" t="str">
        <f t="shared" si="237"/>
        <v>Senior Level</v>
      </c>
      <c r="P1195" t="str">
        <f t="shared" si="238"/>
        <v>Low</v>
      </c>
      <c r="Q1195" t="str">
        <f t="shared" si="239"/>
        <v>Intermediate</v>
      </c>
      <c r="R1195" t="str">
        <f t="shared" si="240"/>
        <v>Good</v>
      </c>
      <c r="S1195" t="str">
        <f t="shared" si="241"/>
        <v>Not Hired</v>
      </c>
      <c r="T1195">
        <f t="shared" si="242"/>
        <v>54</v>
      </c>
      <c r="U1195" t="str">
        <f t="shared" si="243"/>
        <v>Developing</v>
      </c>
      <c r="V1195" t="str">
        <f t="shared" si="244"/>
        <v>Technical Skills</v>
      </c>
      <c r="W1195" t="str">
        <f t="shared" si="245"/>
        <v>Interview Preparation</v>
      </c>
      <c r="X1195" t="str">
        <f t="shared" si="246"/>
        <v>Improve interview preparation and communication</v>
      </c>
    </row>
    <row r="1196" spans="1:24" x14ac:dyDescent="0.3">
      <c r="A1196">
        <v>48</v>
      </c>
      <c r="B1196">
        <v>0</v>
      </c>
      <c r="C1196">
        <v>3</v>
      </c>
      <c r="D1196">
        <v>3</v>
      </c>
      <c r="E1196">
        <v>2</v>
      </c>
      <c r="F1196">
        <v>5.4911064712802302</v>
      </c>
      <c r="G1196">
        <v>92</v>
      </c>
      <c r="H1196">
        <v>27</v>
      </c>
      <c r="I1196">
        <v>37</v>
      </c>
      <c r="J1196">
        <v>2</v>
      </c>
      <c r="K1196">
        <v>0</v>
      </c>
      <c r="L1196" t="str">
        <f t="shared" si="234"/>
        <v>C1195</v>
      </c>
      <c r="M1196" t="str">
        <f t="shared" si="235"/>
        <v>Male</v>
      </c>
      <c r="N1196" t="str">
        <f t="shared" si="236"/>
        <v>Master's</v>
      </c>
      <c r="O1196" t="str">
        <f t="shared" si="237"/>
        <v>Mid Level</v>
      </c>
      <c r="P1196" t="str">
        <f t="shared" si="238"/>
        <v>Strong</v>
      </c>
      <c r="Q1196" t="str">
        <f t="shared" si="239"/>
        <v>Beginner</v>
      </c>
      <c r="R1196" t="str">
        <f t="shared" si="240"/>
        <v>Needs Improvement</v>
      </c>
      <c r="S1196" t="str">
        <f t="shared" si="241"/>
        <v>Not Hired</v>
      </c>
      <c r="T1196">
        <f t="shared" si="242"/>
        <v>50</v>
      </c>
      <c r="U1196" t="str">
        <f t="shared" si="243"/>
        <v>Developing</v>
      </c>
      <c r="V1196" t="str">
        <f t="shared" si="244"/>
        <v>Interview</v>
      </c>
      <c r="W1196" t="str">
        <f t="shared" si="245"/>
        <v>Technical Skills</v>
      </c>
      <c r="X1196" t="str">
        <f t="shared" si="246"/>
        <v>Strengthen technical skills and practical knowledge</v>
      </c>
    </row>
    <row r="1197" spans="1:24" x14ac:dyDescent="0.3">
      <c r="A1197">
        <v>39</v>
      </c>
      <c r="B1197">
        <v>1</v>
      </c>
      <c r="C1197">
        <v>2</v>
      </c>
      <c r="D1197">
        <v>6</v>
      </c>
      <c r="E1197">
        <v>5</v>
      </c>
      <c r="F1197">
        <v>13.8415018862592</v>
      </c>
      <c r="G1197">
        <v>9</v>
      </c>
      <c r="H1197">
        <v>17</v>
      </c>
      <c r="I1197">
        <v>76</v>
      </c>
      <c r="J1197">
        <v>2</v>
      </c>
      <c r="K1197">
        <v>0</v>
      </c>
      <c r="L1197" t="str">
        <f t="shared" si="234"/>
        <v>C1196</v>
      </c>
      <c r="M1197" t="str">
        <f t="shared" si="235"/>
        <v>Female</v>
      </c>
      <c r="N1197" t="str">
        <f t="shared" si="236"/>
        <v>Bachelor's Type 2</v>
      </c>
      <c r="O1197" t="str">
        <f t="shared" si="237"/>
        <v>Mid Level</v>
      </c>
      <c r="P1197" t="str">
        <f t="shared" si="238"/>
        <v>Low</v>
      </c>
      <c r="Q1197" t="str">
        <f t="shared" si="239"/>
        <v>Beginner</v>
      </c>
      <c r="R1197" t="str">
        <f t="shared" si="240"/>
        <v>Strong</v>
      </c>
      <c r="S1197" t="str">
        <f t="shared" si="241"/>
        <v>Not Hired</v>
      </c>
      <c r="T1197">
        <f t="shared" si="242"/>
        <v>32</v>
      </c>
      <c r="U1197" t="str">
        <f t="shared" si="243"/>
        <v>Needs Improvement</v>
      </c>
      <c r="V1197" t="str">
        <f t="shared" si="244"/>
        <v>Personality</v>
      </c>
      <c r="W1197" t="str">
        <f t="shared" si="245"/>
        <v>Interview Preparation</v>
      </c>
      <c r="X1197" t="str">
        <f t="shared" si="246"/>
        <v>Improve interview preparation and communication</v>
      </c>
    </row>
    <row r="1198" spans="1:24" x14ac:dyDescent="0.3">
      <c r="A1198">
        <v>34</v>
      </c>
      <c r="B1198">
        <v>1</v>
      </c>
      <c r="C1198">
        <v>2</v>
      </c>
      <c r="D1198">
        <v>14</v>
      </c>
      <c r="E1198">
        <v>1</v>
      </c>
      <c r="F1198">
        <v>5.62583105915472</v>
      </c>
      <c r="G1198">
        <v>72</v>
      </c>
      <c r="H1198">
        <v>25</v>
      </c>
      <c r="I1198">
        <v>10</v>
      </c>
      <c r="J1198">
        <v>2</v>
      </c>
      <c r="K1198">
        <v>0</v>
      </c>
      <c r="L1198" t="str">
        <f t="shared" si="234"/>
        <v>C1197</v>
      </c>
      <c r="M1198" t="str">
        <f t="shared" si="235"/>
        <v>Female</v>
      </c>
      <c r="N1198" t="str">
        <f t="shared" si="236"/>
        <v>Bachelor's Type 2</v>
      </c>
      <c r="O1198" t="str">
        <f t="shared" si="237"/>
        <v>Senior Level</v>
      </c>
      <c r="P1198" t="str">
        <f t="shared" si="238"/>
        <v>Average</v>
      </c>
      <c r="Q1198" t="str">
        <f t="shared" si="239"/>
        <v>Beginner</v>
      </c>
      <c r="R1198" t="str">
        <f t="shared" si="240"/>
        <v>Needs Improvement</v>
      </c>
      <c r="S1198" t="str">
        <f t="shared" si="241"/>
        <v>Not Hired</v>
      </c>
      <c r="T1198">
        <f t="shared" si="242"/>
        <v>48</v>
      </c>
      <c r="U1198" t="str">
        <f t="shared" si="243"/>
        <v>Needs Improvement</v>
      </c>
      <c r="V1198" t="str">
        <f t="shared" si="244"/>
        <v>Interview</v>
      </c>
      <c r="W1198" t="str">
        <f t="shared" si="245"/>
        <v>Personality &amp; Communication</v>
      </c>
      <c r="X1198" t="str">
        <f t="shared" si="246"/>
        <v>Work on communication and personality development</v>
      </c>
    </row>
    <row r="1199" spans="1:24" x14ac:dyDescent="0.3">
      <c r="A1199">
        <v>34</v>
      </c>
      <c r="B1199">
        <v>1</v>
      </c>
      <c r="C1199">
        <v>2</v>
      </c>
      <c r="D1199">
        <v>5</v>
      </c>
      <c r="E1199">
        <v>5</v>
      </c>
      <c r="F1199">
        <v>6.0470812778199399</v>
      </c>
      <c r="G1199">
        <v>58</v>
      </c>
      <c r="H1199">
        <v>18</v>
      </c>
      <c r="I1199">
        <v>9</v>
      </c>
      <c r="J1199">
        <v>2</v>
      </c>
      <c r="K1199">
        <v>0</v>
      </c>
      <c r="L1199" t="str">
        <f t="shared" si="234"/>
        <v>C1198</v>
      </c>
      <c r="M1199" t="str">
        <f t="shared" si="235"/>
        <v>Female</v>
      </c>
      <c r="N1199" t="str">
        <f t="shared" si="236"/>
        <v>Bachelor's Type 2</v>
      </c>
      <c r="O1199" t="str">
        <f t="shared" si="237"/>
        <v>Mid Level</v>
      </c>
      <c r="P1199" t="str">
        <f t="shared" si="238"/>
        <v>Average</v>
      </c>
      <c r="Q1199" t="str">
        <f t="shared" si="239"/>
        <v>Beginner</v>
      </c>
      <c r="R1199" t="str">
        <f t="shared" si="240"/>
        <v>Needs Improvement</v>
      </c>
      <c r="S1199" t="str">
        <f t="shared" si="241"/>
        <v>Not Hired</v>
      </c>
      <c r="T1199">
        <f t="shared" si="242"/>
        <v>32</v>
      </c>
      <c r="U1199" t="str">
        <f t="shared" si="243"/>
        <v>Needs Improvement</v>
      </c>
      <c r="V1199" t="str">
        <f t="shared" si="244"/>
        <v>Interview</v>
      </c>
      <c r="W1199" t="str">
        <f t="shared" si="245"/>
        <v>Personality &amp; Communication</v>
      </c>
      <c r="X1199" t="str">
        <f t="shared" si="246"/>
        <v>Work on communication and personality development</v>
      </c>
    </row>
    <row r="1200" spans="1:24" x14ac:dyDescent="0.3">
      <c r="A1200">
        <v>50</v>
      </c>
      <c r="B1200">
        <v>0</v>
      </c>
      <c r="C1200">
        <v>1</v>
      </c>
      <c r="D1200">
        <v>3</v>
      </c>
      <c r="E1200">
        <v>3</v>
      </c>
      <c r="F1200">
        <v>10.950564720759401</v>
      </c>
      <c r="G1200">
        <v>30</v>
      </c>
      <c r="H1200">
        <v>54</v>
      </c>
      <c r="I1200">
        <v>58</v>
      </c>
      <c r="J1200">
        <v>3</v>
      </c>
      <c r="K1200">
        <v>0</v>
      </c>
      <c r="L1200" t="str">
        <f t="shared" si="234"/>
        <v>C1199</v>
      </c>
      <c r="M1200" t="str">
        <f t="shared" si="235"/>
        <v>Male</v>
      </c>
      <c r="N1200" t="str">
        <f t="shared" si="236"/>
        <v>Bachelor's Type 1</v>
      </c>
      <c r="O1200" t="str">
        <f t="shared" si="237"/>
        <v>Mid Level</v>
      </c>
      <c r="P1200" t="str">
        <f t="shared" si="238"/>
        <v>Low</v>
      </c>
      <c r="Q1200" t="str">
        <f t="shared" si="239"/>
        <v>Intermediate</v>
      </c>
      <c r="R1200" t="str">
        <f t="shared" si="240"/>
        <v>Good</v>
      </c>
      <c r="S1200" t="str">
        <f t="shared" si="241"/>
        <v>Not Hired</v>
      </c>
      <c r="T1200">
        <f t="shared" si="242"/>
        <v>42</v>
      </c>
      <c r="U1200" t="str">
        <f t="shared" si="243"/>
        <v>Needs Improvement</v>
      </c>
      <c r="V1200" t="str">
        <f t="shared" si="244"/>
        <v>Personality</v>
      </c>
      <c r="W1200" t="str">
        <f t="shared" si="245"/>
        <v>Interview Preparation</v>
      </c>
      <c r="X1200" t="str">
        <f t="shared" si="246"/>
        <v>Improve interview preparation and communication</v>
      </c>
    </row>
    <row r="1201" spans="1:24" x14ac:dyDescent="0.3">
      <c r="A1201">
        <v>43</v>
      </c>
      <c r="B1201">
        <v>0</v>
      </c>
      <c r="C1201">
        <v>3</v>
      </c>
      <c r="D1201">
        <v>12</v>
      </c>
      <c r="E1201">
        <v>5</v>
      </c>
      <c r="F1201">
        <v>50.992462224320001</v>
      </c>
      <c r="G1201">
        <v>27</v>
      </c>
      <c r="H1201">
        <v>56</v>
      </c>
      <c r="I1201">
        <v>89</v>
      </c>
      <c r="J1201">
        <v>1</v>
      </c>
      <c r="K1201">
        <v>1</v>
      </c>
      <c r="L1201" t="str">
        <f t="shared" si="234"/>
        <v>C1200</v>
      </c>
      <c r="M1201" t="str">
        <f t="shared" si="235"/>
        <v>Male</v>
      </c>
      <c r="N1201" t="str">
        <f t="shared" si="236"/>
        <v>Master's</v>
      </c>
      <c r="O1201" t="str">
        <f t="shared" si="237"/>
        <v>Senior Level</v>
      </c>
      <c r="P1201" t="str">
        <f t="shared" si="238"/>
        <v>Low</v>
      </c>
      <c r="Q1201" t="str">
        <f t="shared" si="239"/>
        <v>Intermediate</v>
      </c>
      <c r="R1201" t="str">
        <f t="shared" si="240"/>
        <v>Strong</v>
      </c>
      <c r="S1201" t="str">
        <f t="shared" si="241"/>
        <v>Hired</v>
      </c>
      <c r="T1201">
        <f t="shared" si="242"/>
        <v>58</v>
      </c>
      <c r="U1201" t="str">
        <f t="shared" si="243"/>
        <v>Developing</v>
      </c>
      <c r="V1201" t="str">
        <f t="shared" si="244"/>
        <v>Personality</v>
      </c>
      <c r="W1201" t="str">
        <f t="shared" si="245"/>
        <v>Interview Preparation</v>
      </c>
      <c r="X1201" t="str">
        <f t="shared" si="246"/>
        <v>Improve interview preparation and communication</v>
      </c>
    </row>
    <row r="1202" spans="1:24" x14ac:dyDescent="0.3">
      <c r="A1202">
        <v>41</v>
      </c>
      <c r="B1202">
        <v>1</v>
      </c>
      <c r="C1202">
        <v>3</v>
      </c>
      <c r="D1202">
        <v>12</v>
      </c>
      <c r="E1202">
        <v>2</v>
      </c>
      <c r="F1202">
        <v>1.1092071428624299</v>
      </c>
      <c r="G1202">
        <v>59</v>
      </c>
      <c r="H1202">
        <v>5</v>
      </c>
      <c r="I1202">
        <v>54</v>
      </c>
      <c r="J1202">
        <v>3</v>
      </c>
      <c r="K1202">
        <v>0</v>
      </c>
      <c r="L1202" t="str">
        <f t="shared" si="234"/>
        <v>C1201</v>
      </c>
      <c r="M1202" t="str">
        <f t="shared" si="235"/>
        <v>Female</v>
      </c>
      <c r="N1202" t="str">
        <f t="shared" si="236"/>
        <v>Master's</v>
      </c>
      <c r="O1202" t="str">
        <f t="shared" si="237"/>
        <v>Senior Level</v>
      </c>
      <c r="P1202" t="str">
        <f t="shared" si="238"/>
        <v>Average</v>
      </c>
      <c r="Q1202" t="str">
        <f t="shared" si="239"/>
        <v>Beginner</v>
      </c>
      <c r="R1202" t="str">
        <f t="shared" si="240"/>
        <v>Good</v>
      </c>
      <c r="S1202" t="str">
        <f t="shared" si="241"/>
        <v>Not Hired</v>
      </c>
      <c r="T1202">
        <f t="shared" si="242"/>
        <v>46</v>
      </c>
      <c r="U1202" t="str">
        <f t="shared" si="243"/>
        <v>Needs Improvement</v>
      </c>
      <c r="V1202" t="str">
        <f t="shared" si="244"/>
        <v>Interview</v>
      </c>
      <c r="W1202" t="str">
        <f t="shared" si="245"/>
        <v>Technical Skills</v>
      </c>
      <c r="X1202" t="str">
        <f t="shared" si="246"/>
        <v>Strengthen technical skills and practical knowledge</v>
      </c>
    </row>
    <row r="1203" spans="1:24" x14ac:dyDescent="0.3">
      <c r="A1203">
        <v>33</v>
      </c>
      <c r="B1203">
        <v>1</v>
      </c>
      <c r="C1203">
        <v>4</v>
      </c>
      <c r="D1203">
        <v>14</v>
      </c>
      <c r="E1203">
        <v>1</v>
      </c>
      <c r="F1203">
        <v>32.933631806020202</v>
      </c>
      <c r="G1203">
        <v>2</v>
      </c>
      <c r="H1203">
        <v>0</v>
      </c>
      <c r="I1203">
        <v>19</v>
      </c>
      <c r="J1203">
        <v>2</v>
      </c>
      <c r="K1203">
        <v>0</v>
      </c>
      <c r="L1203" t="str">
        <f t="shared" si="234"/>
        <v>C1202</v>
      </c>
      <c r="M1203" t="str">
        <f t="shared" si="235"/>
        <v>Female</v>
      </c>
      <c r="N1203" t="str">
        <f t="shared" si="236"/>
        <v>PhD</v>
      </c>
      <c r="O1203" t="str">
        <f t="shared" si="237"/>
        <v>Senior Level</v>
      </c>
      <c r="P1203" t="str">
        <f t="shared" si="238"/>
        <v>Low</v>
      </c>
      <c r="Q1203" t="str">
        <f t="shared" si="239"/>
        <v>Beginner</v>
      </c>
      <c r="R1203" t="str">
        <f t="shared" si="240"/>
        <v>Needs Improvement</v>
      </c>
      <c r="S1203" t="str">
        <f t="shared" si="241"/>
        <v>Not Hired</v>
      </c>
      <c r="T1203">
        <f t="shared" si="242"/>
        <v>23</v>
      </c>
      <c r="U1203" t="str">
        <f t="shared" si="243"/>
        <v>Needs Improvement</v>
      </c>
      <c r="V1203" t="str">
        <f t="shared" si="244"/>
        <v>Personality</v>
      </c>
      <c r="W1203" t="str">
        <f t="shared" si="245"/>
        <v>Technical Skills</v>
      </c>
      <c r="X1203" t="str">
        <f t="shared" si="246"/>
        <v>Strengthen technical skills and practical knowledge</v>
      </c>
    </row>
    <row r="1204" spans="1:24" x14ac:dyDescent="0.3">
      <c r="A1204">
        <v>45</v>
      </c>
      <c r="B1204">
        <v>0</v>
      </c>
      <c r="C1204">
        <v>2</v>
      </c>
      <c r="D1204">
        <v>9</v>
      </c>
      <c r="E1204">
        <v>2</v>
      </c>
      <c r="F1204">
        <v>8.0621849013278606</v>
      </c>
      <c r="G1204">
        <v>54</v>
      </c>
      <c r="H1204">
        <v>7</v>
      </c>
      <c r="I1204">
        <v>80</v>
      </c>
      <c r="J1204">
        <v>3</v>
      </c>
      <c r="K1204">
        <v>0</v>
      </c>
      <c r="L1204" t="str">
        <f t="shared" si="234"/>
        <v>C1203</v>
      </c>
      <c r="M1204" t="str">
        <f t="shared" si="235"/>
        <v>Male</v>
      </c>
      <c r="N1204" t="str">
        <f t="shared" si="236"/>
        <v>Bachelor's Type 2</v>
      </c>
      <c r="O1204" t="str">
        <f t="shared" si="237"/>
        <v>Senior Level</v>
      </c>
      <c r="P1204" t="str">
        <f t="shared" si="238"/>
        <v>Average</v>
      </c>
      <c r="Q1204" t="str">
        <f t="shared" si="239"/>
        <v>Beginner</v>
      </c>
      <c r="R1204" t="str">
        <f t="shared" si="240"/>
        <v>Strong</v>
      </c>
      <c r="S1204" t="str">
        <f t="shared" si="241"/>
        <v>Not Hired</v>
      </c>
      <c r="T1204">
        <f t="shared" si="242"/>
        <v>46</v>
      </c>
      <c r="U1204" t="str">
        <f t="shared" si="243"/>
        <v>Needs Improvement</v>
      </c>
      <c r="V1204" t="str">
        <f t="shared" si="244"/>
        <v>Personality</v>
      </c>
      <c r="W1204" t="str">
        <f t="shared" si="245"/>
        <v>Technical Skills</v>
      </c>
      <c r="X1204" t="str">
        <f t="shared" si="246"/>
        <v>Strengthen technical skills and practical knowledge</v>
      </c>
    </row>
    <row r="1205" spans="1:24" x14ac:dyDescent="0.3">
      <c r="A1205">
        <v>47</v>
      </c>
      <c r="B1205">
        <v>0</v>
      </c>
      <c r="C1205">
        <v>2</v>
      </c>
      <c r="D1205">
        <v>1</v>
      </c>
      <c r="E1205">
        <v>3</v>
      </c>
      <c r="F1205">
        <v>47.031406835538696</v>
      </c>
      <c r="G1205">
        <v>13</v>
      </c>
      <c r="H1205">
        <v>96</v>
      </c>
      <c r="I1205">
        <v>16</v>
      </c>
      <c r="J1205">
        <v>1</v>
      </c>
      <c r="K1205">
        <v>0</v>
      </c>
      <c r="L1205" t="str">
        <f t="shared" si="234"/>
        <v>C1204</v>
      </c>
      <c r="M1205" t="str">
        <f t="shared" si="235"/>
        <v>Male</v>
      </c>
      <c r="N1205" t="str">
        <f t="shared" si="236"/>
        <v>Bachelor's Type 2</v>
      </c>
      <c r="O1205" t="str">
        <f t="shared" si="237"/>
        <v>Entry Level</v>
      </c>
      <c r="P1205" t="str">
        <f t="shared" si="238"/>
        <v>Low</v>
      </c>
      <c r="Q1205" t="str">
        <f t="shared" si="239"/>
        <v>Advanced</v>
      </c>
      <c r="R1205" t="str">
        <f t="shared" si="240"/>
        <v>Needs Improvement</v>
      </c>
      <c r="S1205" t="str">
        <f t="shared" si="241"/>
        <v>Not Hired</v>
      </c>
      <c r="T1205">
        <f t="shared" si="242"/>
        <v>39</v>
      </c>
      <c r="U1205" t="str">
        <f t="shared" si="243"/>
        <v>Needs Improvement</v>
      </c>
      <c r="V1205" t="str">
        <f t="shared" si="244"/>
        <v>Technical Skills</v>
      </c>
      <c r="W1205" t="str">
        <f t="shared" si="245"/>
        <v>Interview Preparation</v>
      </c>
      <c r="X1205" t="str">
        <f t="shared" si="246"/>
        <v>Improve interview preparation and communication</v>
      </c>
    </row>
    <row r="1206" spans="1:24" x14ac:dyDescent="0.3">
      <c r="A1206">
        <v>42</v>
      </c>
      <c r="B1206">
        <v>1</v>
      </c>
      <c r="C1206">
        <v>1</v>
      </c>
      <c r="D1206">
        <v>0</v>
      </c>
      <c r="E1206">
        <v>2</v>
      </c>
      <c r="F1206">
        <v>5.6816446666814597</v>
      </c>
      <c r="G1206">
        <v>57</v>
      </c>
      <c r="H1206">
        <v>50</v>
      </c>
      <c r="I1206">
        <v>67</v>
      </c>
      <c r="J1206">
        <v>1</v>
      </c>
      <c r="K1206">
        <v>0</v>
      </c>
      <c r="L1206" t="str">
        <f t="shared" si="234"/>
        <v>C1205</v>
      </c>
      <c r="M1206" t="str">
        <f t="shared" si="235"/>
        <v>Female</v>
      </c>
      <c r="N1206" t="str">
        <f t="shared" si="236"/>
        <v>Bachelor's Type 1</v>
      </c>
      <c r="O1206" t="str">
        <f t="shared" si="237"/>
        <v>Entry Level</v>
      </c>
      <c r="P1206" t="str">
        <f t="shared" si="238"/>
        <v>Average</v>
      </c>
      <c r="Q1206" t="str">
        <f t="shared" si="239"/>
        <v>Intermediate</v>
      </c>
      <c r="R1206" t="str">
        <f t="shared" si="240"/>
        <v>Good</v>
      </c>
      <c r="S1206" t="str">
        <f t="shared" si="241"/>
        <v>Not Hired</v>
      </c>
      <c r="T1206">
        <f t="shared" si="242"/>
        <v>48</v>
      </c>
      <c r="U1206" t="str">
        <f t="shared" si="243"/>
        <v>Needs Improvement</v>
      </c>
      <c r="V1206" t="str">
        <f t="shared" si="244"/>
        <v>Personality</v>
      </c>
      <c r="W1206" t="str">
        <f t="shared" si="245"/>
        <v>Technical Skills</v>
      </c>
      <c r="X1206" t="str">
        <f t="shared" si="246"/>
        <v>Strengthen technical skills and practical knowledge</v>
      </c>
    </row>
    <row r="1207" spans="1:24" x14ac:dyDescent="0.3">
      <c r="A1207">
        <v>33</v>
      </c>
      <c r="B1207">
        <v>1</v>
      </c>
      <c r="C1207">
        <v>2</v>
      </c>
      <c r="D1207">
        <v>3</v>
      </c>
      <c r="E1207">
        <v>2</v>
      </c>
      <c r="F1207">
        <v>48.753159356311798</v>
      </c>
      <c r="G1207">
        <v>88</v>
      </c>
      <c r="H1207">
        <v>84</v>
      </c>
      <c r="I1207">
        <v>4</v>
      </c>
      <c r="J1207">
        <v>3</v>
      </c>
      <c r="K1207">
        <v>0</v>
      </c>
      <c r="L1207" t="str">
        <f t="shared" si="234"/>
        <v>C1206</v>
      </c>
      <c r="M1207" t="str">
        <f t="shared" si="235"/>
        <v>Female</v>
      </c>
      <c r="N1207" t="str">
        <f t="shared" si="236"/>
        <v>Bachelor's Type 2</v>
      </c>
      <c r="O1207" t="str">
        <f t="shared" si="237"/>
        <v>Mid Level</v>
      </c>
      <c r="P1207" t="str">
        <f t="shared" si="238"/>
        <v>Strong</v>
      </c>
      <c r="Q1207" t="str">
        <f t="shared" si="239"/>
        <v>Advanced</v>
      </c>
      <c r="R1207" t="str">
        <f t="shared" si="240"/>
        <v>Needs Improvement</v>
      </c>
      <c r="S1207" t="str">
        <f t="shared" si="241"/>
        <v>Not Hired</v>
      </c>
      <c r="T1207">
        <f t="shared" si="242"/>
        <v>58</v>
      </c>
      <c r="U1207" t="str">
        <f t="shared" si="243"/>
        <v>Developing</v>
      </c>
      <c r="V1207" t="str">
        <f t="shared" si="244"/>
        <v>Interview</v>
      </c>
      <c r="W1207" t="str">
        <f t="shared" si="245"/>
        <v>Personality &amp; Communication</v>
      </c>
      <c r="X1207" t="str">
        <f t="shared" si="246"/>
        <v>Work on communication and personality development</v>
      </c>
    </row>
    <row r="1208" spans="1:24" x14ac:dyDescent="0.3">
      <c r="A1208">
        <v>43</v>
      </c>
      <c r="B1208">
        <v>0</v>
      </c>
      <c r="C1208">
        <v>2</v>
      </c>
      <c r="D1208">
        <v>3</v>
      </c>
      <c r="E1208">
        <v>2</v>
      </c>
      <c r="F1208">
        <v>31.546319374173802</v>
      </c>
      <c r="G1208">
        <v>14</v>
      </c>
      <c r="H1208">
        <v>87</v>
      </c>
      <c r="I1208">
        <v>59</v>
      </c>
      <c r="J1208">
        <v>3</v>
      </c>
      <c r="K1208">
        <v>0</v>
      </c>
      <c r="L1208" t="str">
        <f t="shared" si="234"/>
        <v>C1207</v>
      </c>
      <c r="M1208" t="str">
        <f t="shared" si="235"/>
        <v>Male</v>
      </c>
      <c r="N1208" t="str">
        <f t="shared" si="236"/>
        <v>Bachelor's Type 2</v>
      </c>
      <c r="O1208" t="str">
        <f t="shared" si="237"/>
        <v>Mid Level</v>
      </c>
      <c r="P1208" t="str">
        <f t="shared" si="238"/>
        <v>Low</v>
      </c>
      <c r="Q1208" t="str">
        <f t="shared" si="239"/>
        <v>Advanced</v>
      </c>
      <c r="R1208" t="str">
        <f t="shared" si="240"/>
        <v>Good</v>
      </c>
      <c r="S1208" t="str">
        <f t="shared" si="241"/>
        <v>Not Hired</v>
      </c>
      <c r="T1208">
        <f t="shared" si="242"/>
        <v>48</v>
      </c>
      <c r="U1208" t="str">
        <f t="shared" si="243"/>
        <v>Needs Improvement</v>
      </c>
      <c r="V1208" t="str">
        <f t="shared" si="244"/>
        <v>Technical Skills</v>
      </c>
      <c r="W1208" t="str">
        <f t="shared" si="245"/>
        <v>Interview Preparation</v>
      </c>
      <c r="X1208" t="str">
        <f t="shared" si="246"/>
        <v>Improve interview preparation and communication</v>
      </c>
    </row>
    <row r="1209" spans="1:24" x14ac:dyDescent="0.3">
      <c r="A1209">
        <v>21</v>
      </c>
      <c r="B1209">
        <v>1</v>
      </c>
      <c r="C1209">
        <v>4</v>
      </c>
      <c r="D1209">
        <v>12</v>
      </c>
      <c r="E1209">
        <v>4</v>
      </c>
      <c r="F1209">
        <v>1.0634038457745101</v>
      </c>
      <c r="G1209">
        <v>1</v>
      </c>
      <c r="H1209">
        <v>24</v>
      </c>
      <c r="I1209">
        <v>22</v>
      </c>
      <c r="J1209">
        <v>2</v>
      </c>
      <c r="K1209">
        <v>0</v>
      </c>
      <c r="L1209" t="str">
        <f t="shared" si="234"/>
        <v>C1208</v>
      </c>
      <c r="M1209" t="str">
        <f t="shared" si="235"/>
        <v>Female</v>
      </c>
      <c r="N1209" t="str">
        <f t="shared" si="236"/>
        <v>PhD</v>
      </c>
      <c r="O1209" t="str">
        <f t="shared" si="237"/>
        <v>Senior Level</v>
      </c>
      <c r="P1209" t="str">
        <f t="shared" si="238"/>
        <v>Low</v>
      </c>
      <c r="Q1209" t="str">
        <f t="shared" si="239"/>
        <v>Beginner</v>
      </c>
      <c r="R1209" t="str">
        <f t="shared" si="240"/>
        <v>Needs Improvement</v>
      </c>
      <c r="S1209" t="str">
        <f t="shared" si="241"/>
        <v>Not Hired</v>
      </c>
      <c r="T1209">
        <f t="shared" si="242"/>
        <v>29</v>
      </c>
      <c r="U1209" t="str">
        <f t="shared" si="243"/>
        <v>Needs Improvement</v>
      </c>
      <c r="V1209" t="str">
        <f t="shared" si="244"/>
        <v>Technical Skills</v>
      </c>
      <c r="W1209" t="str">
        <f t="shared" si="245"/>
        <v>Interview Preparation</v>
      </c>
      <c r="X1209" t="str">
        <f t="shared" si="246"/>
        <v>Improve interview preparation and communication</v>
      </c>
    </row>
    <row r="1210" spans="1:24" x14ac:dyDescent="0.3">
      <c r="A1210">
        <v>32</v>
      </c>
      <c r="B1210">
        <v>0</v>
      </c>
      <c r="C1210">
        <v>2</v>
      </c>
      <c r="D1210">
        <v>0</v>
      </c>
      <c r="E1210">
        <v>3</v>
      </c>
      <c r="F1210">
        <v>45.7003598958403</v>
      </c>
      <c r="G1210">
        <v>23</v>
      </c>
      <c r="H1210">
        <v>46</v>
      </c>
      <c r="I1210">
        <v>45</v>
      </c>
      <c r="J1210">
        <v>2</v>
      </c>
      <c r="K1210">
        <v>0</v>
      </c>
      <c r="L1210" t="str">
        <f t="shared" si="234"/>
        <v>C1209</v>
      </c>
      <c r="M1210" t="str">
        <f t="shared" si="235"/>
        <v>Male</v>
      </c>
      <c r="N1210" t="str">
        <f t="shared" si="236"/>
        <v>Bachelor's Type 2</v>
      </c>
      <c r="O1210" t="str">
        <f t="shared" si="237"/>
        <v>Entry Level</v>
      </c>
      <c r="P1210" t="str">
        <f t="shared" si="238"/>
        <v>Low</v>
      </c>
      <c r="Q1210" t="str">
        <f t="shared" si="239"/>
        <v>Beginner</v>
      </c>
      <c r="R1210" t="str">
        <f t="shared" si="240"/>
        <v>Needs Improvement</v>
      </c>
      <c r="S1210" t="str">
        <f t="shared" si="241"/>
        <v>Not Hired</v>
      </c>
      <c r="T1210">
        <f t="shared" si="242"/>
        <v>32</v>
      </c>
      <c r="U1210" t="str">
        <f t="shared" si="243"/>
        <v>Needs Improvement</v>
      </c>
      <c r="V1210" t="str">
        <f t="shared" si="244"/>
        <v>Technical Skills</v>
      </c>
      <c r="W1210" t="str">
        <f t="shared" si="245"/>
        <v>Interview Preparation</v>
      </c>
      <c r="X1210" t="str">
        <f t="shared" si="246"/>
        <v>Improve interview preparation and communication</v>
      </c>
    </row>
    <row r="1211" spans="1:24" x14ac:dyDescent="0.3">
      <c r="A1211">
        <v>45</v>
      </c>
      <c r="B1211">
        <v>0</v>
      </c>
      <c r="C1211">
        <v>2</v>
      </c>
      <c r="D1211">
        <v>5</v>
      </c>
      <c r="E1211">
        <v>2</v>
      </c>
      <c r="F1211">
        <v>27.085590068345901</v>
      </c>
      <c r="G1211">
        <v>77</v>
      </c>
      <c r="H1211">
        <v>54</v>
      </c>
      <c r="I1211">
        <v>51</v>
      </c>
      <c r="J1211">
        <v>3</v>
      </c>
      <c r="K1211">
        <v>0</v>
      </c>
      <c r="L1211" t="str">
        <f t="shared" si="234"/>
        <v>C1210</v>
      </c>
      <c r="M1211" t="str">
        <f t="shared" si="235"/>
        <v>Male</v>
      </c>
      <c r="N1211" t="str">
        <f t="shared" si="236"/>
        <v>Bachelor's Type 2</v>
      </c>
      <c r="O1211" t="str">
        <f t="shared" si="237"/>
        <v>Mid Level</v>
      </c>
      <c r="P1211" t="str">
        <f t="shared" si="238"/>
        <v>Strong</v>
      </c>
      <c r="Q1211" t="str">
        <f t="shared" si="239"/>
        <v>Intermediate</v>
      </c>
      <c r="R1211" t="str">
        <f t="shared" si="240"/>
        <v>Good</v>
      </c>
      <c r="S1211" t="str">
        <f t="shared" si="241"/>
        <v>Not Hired</v>
      </c>
      <c r="T1211">
        <f t="shared" si="242"/>
        <v>57</v>
      </c>
      <c r="U1211" t="str">
        <f t="shared" si="243"/>
        <v>Developing</v>
      </c>
      <c r="V1211" t="str">
        <f t="shared" si="244"/>
        <v>Interview</v>
      </c>
      <c r="W1211" t="str">
        <f t="shared" si="245"/>
        <v>Personality &amp; Communication</v>
      </c>
      <c r="X1211" t="str">
        <f t="shared" si="246"/>
        <v>Work on communication and personality development</v>
      </c>
    </row>
    <row r="1212" spans="1:24" x14ac:dyDescent="0.3">
      <c r="A1212">
        <v>33</v>
      </c>
      <c r="B1212">
        <v>0</v>
      </c>
      <c r="C1212">
        <v>2</v>
      </c>
      <c r="D1212">
        <v>3</v>
      </c>
      <c r="E1212">
        <v>2</v>
      </c>
      <c r="F1212">
        <v>14.1334867665242</v>
      </c>
      <c r="G1212">
        <v>63</v>
      </c>
      <c r="H1212">
        <v>63</v>
      </c>
      <c r="I1212">
        <v>9</v>
      </c>
      <c r="J1212">
        <v>1</v>
      </c>
      <c r="K1212">
        <v>0</v>
      </c>
      <c r="L1212" t="str">
        <f t="shared" si="234"/>
        <v>C1211</v>
      </c>
      <c r="M1212" t="str">
        <f t="shared" si="235"/>
        <v>Male</v>
      </c>
      <c r="N1212" t="str">
        <f t="shared" si="236"/>
        <v>Bachelor's Type 2</v>
      </c>
      <c r="O1212" t="str">
        <f t="shared" si="237"/>
        <v>Mid Level</v>
      </c>
      <c r="P1212" t="str">
        <f t="shared" si="238"/>
        <v>Average</v>
      </c>
      <c r="Q1212" t="str">
        <f t="shared" si="239"/>
        <v>Intermediate</v>
      </c>
      <c r="R1212" t="str">
        <f t="shared" si="240"/>
        <v>Needs Improvement</v>
      </c>
      <c r="S1212" t="str">
        <f t="shared" si="241"/>
        <v>Not Hired</v>
      </c>
      <c r="T1212">
        <f t="shared" si="242"/>
        <v>45</v>
      </c>
      <c r="U1212" t="str">
        <f t="shared" si="243"/>
        <v>Needs Improvement</v>
      </c>
      <c r="V1212" t="str">
        <f t="shared" si="244"/>
        <v>Interview</v>
      </c>
      <c r="W1212" t="str">
        <f t="shared" si="245"/>
        <v>Personality &amp; Communication</v>
      </c>
      <c r="X1212" t="str">
        <f t="shared" si="246"/>
        <v>Work on communication and personality development</v>
      </c>
    </row>
    <row r="1213" spans="1:24" x14ac:dyDescent="0.3">
      <c r="A1213">
        <v>46</v>
      </c>
      <c r="B1213">
        <v>0</v>
      </c>
      <c r="C1213">
        <v>2</v>
      </c>
      <c r="D1213">
        <v>0</v>
      </c>
      <c r="E1213">
        <v>2</v>
      </c>
      <c r="F1213">
        <v>39.363958875781499</v>
      </c>
      <c r="G1213">
        <v>70</v>
      </c>
      <c r="H1213">
        <v>82</v>
      </c>
      <c r="I1213">
        <v>45</v>
      </c>
      <c r="J1213">
        <v>2</v>
      </c>
      <c r="K1213">
        <v>0</v>
      </c>
      <c r="L1213" t="str">
        <f t="shared" si="234"/>
        <v>C1212</v>
      </c>
      <c r="M1213" t="str">
        <f t="shared" si="235"/>
        <v>Male</v>
      </c>
      <c r="N1213" t="str">
        <f t="shared" si="236"/>
        <v>Bachelor's Type 2</v>
      </c>
      <c r="O1213" t="str">
        <f t="shared" si="237"/>
        <v>Entry Level</v>
      </c>
      <c r="P1213" t="str">
        <f t="shared" si="238"/>
        <v>Average</v>
      </c>
      <c r="Q1213" t="str">
        <f t="shared" si="239"/>
        <v>Advanced</v>
      </c>
      <c r="R1213" t="str">
        <f t="shared" si="240"/>
        <v>Needs Improvement</v>
      </c>
      <c r="S1213" t="str">
        <f t="shared" si="241"/>
        <v>Not Hired</v>
      </c>
      <c r="T1213">
        <f t="shared" si="242"/>
        <v>57</v>
      </c>
      <c r="U1213" t="str">
        <f t="shared" si="243"/>
        <v>Developing</v>
      </c>
      <c r="V1213" t="str">
        <f t="shared" si="244"/>
        <v>Technical Skills</v>
      </c>
      <c r="W1213" t="str">
        <f t="shared" si="245"/>
        <v>Personality &amp; Communication</v>
      </c>
      <c r="X1213" t="str">
        <f t="shared" si="246"/>
        <v>Work on communication and personality development</v>
      </c>
    </row>
    <row r="1214" spans="1:24" x14ac:dyDescent="0.3">
      <c r="A1214">
        <v>43</v>
      </c>
      <c r="B1214">
        <v>1</v>
      </c>
      <c r="C1214">
        <v>2</v>
      </c>
      <c r="D1214">
        <v>0</v>
      </c>
      <c r="E1214">
        <v>1</v>
      </c>
      <c r="F1214">
        <v>47.333277694343501</v>
      </c>
      <c r="G1214">
        <v>99</v>
      </c>
      <c r="H1214">
        <v>92</v>
      </c>
      <c r="I1214">
        <v>27</v>
      </c>
      <c r="J1214">
        <v>3</v>
      </c>
      <c r="K1214">
        <v>0</v>
      </c>
      <c r="L1214" t="str">
        <f t="shared" si="234"/>
        <v>C1213</v>
      </c>
      <c r="M1214" t="str">
        <f t="shared" si="235"/>
        <v>Female</v>
      </c>
      <c r="N1214" t="str">
        <f t="shared" si="236"/>
        <v>Bachelor's Type 2</v>
      </c>
      <c r="O1214" t="str">
        <f t="shared" si="237"/>
        <v>Entry Level</v>
      </c>
      <c r="P1214" t="str">
        <f t="shared" si="238"/>
        <v>Strong</v>
      </c>
      <c r="Q1214" t="str">
        <f t="shared" si="239"/>
        <v>Advanced</v>
      </c>
      <c r="R1214" t="str">
        <f t="shared" si="240"/>
        <v>Needs Improvement</v>
      </c>
      <c r="S1214" t="str">
        <f t="shared" si="241"/>
        <v>Not Hired</v>
      </c>
      <c r="T1214">
        <f t="shared" si="242"/>
        <v>65</v>
      </c>
      <c r="U1214" t="str">
        <f t="shared" si="243"/>
        <v>Developing</v>
      </c>
      <c r="V1214" t="str">
        <f t="shared" si="244"/>
        <v>Interview</v>
      </c>
      <c r="W1214" t="str">
        <f t="shared" si="245"/>
        <v>Personality &amp; Communication</v>
      </c>
      <c r="X1214" t="str">
        <f t="shared" si="246"/>
        <v>Work on communication and personality development</v>
      </c>
    </row>
    <row r="1215" spans="1:24" x14ac:dyDescent="0.3">
      <c r="A1215">
        <v>38</v>
      </c>
      <c r="B1215">
        <v>1</v>
      </c>
      <c r="C1215">
        <v>3</v>
      </c>
      <c r="D1215">
        <v>14</v>
      </c>
      <c r="E1215">
        <v>4</v>
      </c>
      <c r="F1215">
        <v>25.184541157339599</v>
      </c>
      <c r="G1215">
        <v>23</v>
      </c>
      <c r="H1215">
        <v>9</v>
      </c>
      <c r="I1215">
        <v>96</v>
      </c>
      <c r="J1215">
        <v>2</v>
      </c>
      <c r="K1215">
        <v>0</v>
      </c>
      <c r="L1215" t="str">
        <f t="shared" si="234"/>
        <v>C1214</v>
      </c>
      <c r="M1215" t="str">
        <f t="shared" si="235"/>
        <v>Female</v>
      </c>
      <c r="N1215" t="str">
        <f t="shared" si="236"/>
        <v>Master's</v>
      </c>
      <c r="O1215" t="str">
        <f t="shared" si="237"/>
        <v>Senior Level</v>
      </c>
      <c r="P1215" t="str">
        <f t="shared" si="238"/>
        <v>Low</v>
      </c>
      <c r="Q1215" t="str">
        <f t="shared" si="239"/>
        <v>Beginner</v>
      </c>
      <c r="R1215" t="str">
        <f t="shared" si="240"/>
        <v>Strong</v>
      </c>
      <c r="S1215" t="str">
        <f t="shared" si="241"/>
        <v>Not Hired</v>
      </c>
      <c r="T1215">
        <f t="shared" si="242"/>
        <v>47</v>
      </c>
      <c r="U1215" t="str">
        <f t="shared" si="243"/>
        <v>Needs Improvement</v>
      </c>
      <c r="V1215" t="str">
        <f t="shared" si="244"/>
        <v>Personality</v>
      </c>
      <c r="W1215" t="str">
        <f t="shared" si="245"/>
        <v>Technical Skills</v>
      </c>
      <c r="X1215" t="str">
        <f t="shared" si="246"/>
        <v>Strengthen technical skills and practical knowledge</v>
      </c>
    </row>
    <row r="1216" spans="1:24" x14ac:dyDescent="0.3">
      <c r="A1216">
        <v>26</v>
      </c>
      <c r="B1216">
        <v>0</v>
      </c>
      <c r="C1216">
        <v>2</v>
      </c>
      <c r="D1216">
        <v>12</v>
      </c>
      <c r="E1216">
        <v>1</v>
      </c>
      <c r="F1216">
        <v>16.777673722155502</v>
      </c>
      <c r="G1216">
        <v>26</v>
      </c>
      <c r="H1216">
        <v>55</v>
      </c>
      <c r="I1216">
        <v>42</v>
      </c>
      <c r="J1216">
        <v>2</v>
      </c>
      <c r="K1216">
        <v>0</v>
      </c>
      <c r="L1216" t="str">
        <f t="shared" si="234"/>
        <v>C1215</v>
      </c>
      <c r="M1216" t="str">
        <f t="shared" si="235"/>
        <v>Male</v>
      </c>
      <c r="N1216" t="str">
        <f t="shared" si="236"/>
        <v>Bachelor's Type 2</v>
      </c>
      <c r="O1216" t="str">
        <f t="shared" si="237"/>
        <v>Senior Level</v>
      </c>
      <c r="P1216" t="str">
        <f t="shared" si="238"/>
        <v>Low</v>
      </c>
      <c r="Q1216" t="str">
        <f t="shared" si="239"/>
        <v>Intermediate</v>
      </c>
      <c r="R1216" t="str">
        <f t="shared" si="240"/>
        <v>Needs Improvement</v>
      </c>
      <c r="S1216" t="str">
        <f t="shared" si="241"/>
        <v>Not Hired</v>
      </c>
      <c r="T1216">
        <f t="shared" si="242"/>
        <v>47</v>
      </c>
      <c r="U1216" t="str">
        <f t="shared" si="243"/>
        <v>Needs Improvement</v>
      </c>
      <c r="V1216" t="str">
        <f t="shared" si="244"/>
        <v>Technical Skills</v>
      </c>
      <c r="W1216" t="str">
        <f t="shared" si="245"/>
        <v>Interview Preparation</v>
      </c>
      <c r="X1216" t="str">
        <f t="shared" si="246"/>
        <v>Improve interview preparation and communication</v>
      </c>
    </row>
    <row r="1217" spans="1:24" x14ac:dyDescent="0.3">
      <c r="A1217">
        <v>22</v>
      </c>
      <c r="B1217">
        <v>0</v>
      </c>
      <c r="C1217">
        <v>3</v>
      </c>
      <c r="D1217">
        <v>0</v>
      </c>
      <c r="E1217">
        <v>4</v>
      </c>
      <c r="F1217">
        <v>40.447256196746302</v>
      </c>
      <c r="G1217">
        <v>36</v>
      </c>
      <c r="H1217">
        <v>11</v>
      </c>
      <c r="I1217">
        <v>25</v>
      </c>
      <c r="J1217">
        <v>2</v>
      </c>
      <c r="K1217">
        <v>0</v>
      </c>
      <c r="L1217" t="str">
        <f t="shared" si="234"/>
        <v>C1216</v>
      </c>
      <c r="M1217" t="str">
        <f t="shared" si="235"/>
        <v>Male</v>
      </c>
      <c r="N1217" t="str">
        <f t="shared" si="236"/>
        <v>Master's</v>
      </c>
      <c r="O1217" t="str">
        <f t="shared" si="237"/>
        <v>Entry Level</v>
      </c>
      <c r="P1217" t="str">
        <f t="shared" si="238"/>
        <v>Low</v>
      </c>
      <c r="Q1217" t="str">
        <f t="shared" si="239"/>
        <v>Beginner</v>
      </c>
      <c r="R1217" t="str">
        <f t="shared" si="240"/>
        <v>Needs Improvement</v>
      </c>
      <c r="S1217" t="str">
        <f t="shared" si="241"/>
        <v>Not Hired</v>
      </c>
      <c r="T1217">
        <f t="shared" si="242"/>
        <v>23</v>
      </c>
      <c r="U1217" t="str">
        <f t="shared" si="243"/>
        <v>Needs Improvement</v>
      </c>
      <c r="V1217" t="str">
        <f t="shared" si="244"/>
        <v>Interview</v>
      </c>
      <c r="W1217" t="str">
        <f t="shared" si="245"/>
        <v>Technical Skills</v>
      </c>
      <c r="X1217" t="str">
        <f t="shared" si="246"/>
        <v>Strengthen technical skills and practical knowledge</v>
      </c>
    </row>
    <row r="1218" spans="1:24" x14ac:dyDescent="0.3">
      <c r="A1218">
        <v>34</v>
      </c>
      <c r="B1218">
        <v>0</v>
      </c>
      <c r="C1218">
        <v>2</v>
      </c>
      <c r="D1218">
        <v>7</v>
      </c>
      <c r="E1218">
        <v>2</v>
      </c>
      <c r="F1218">
        <v>35.089274889422697</v>
      </c>
      <c r="G1218">
        <v>93</v>
      </c>
      <c r="H1218">
        <v>32</v>
      </c>
      <c r="I1218">
        <v>54</v>
      </c>
      <c r="J1218">
        <v>2</v>
      </c>
      <c r="K1218">
        <v>0</v>
      </c>
      <c r="L1218" t="str">
        <f t="shared" si="234"/>
        <v>C1217</v>
      </c>
      <c r="M1218" t="str">
        <f t="shared" si="235"/>
        <v>Male</v>
      </c>
      <c r="N1218" t="str">
        <f t="shared" si="236"/>
        <v>Bachelor's Type 2</v>
      </c>
      <c r="O1218" t="str">
        <f t="shared" si="237"/>
        <v>Senior Level</v>
      </c>
      <c r="P1218" t="str">
        <f t="shared" si="238"/>
        <v>Strong</v>
      </c>
      <c r="Q1218" t="str">
        <f t="shared" si="239"/>
        <v>Beginner</v>
      </c>
      <c r="R1218" t="str">
        <f t="shared" si="240"/>
        <v>Good</v>
      </c>
      <c r="S1218" t="str">
        <f t="shared" si="241"/>
        <v>Not Hired</v>
      </c>
      <c r="T1218">
        <f t="shared" si="242"/>
        <v>58</v>
      </c>
      <c r="U1218" t="str">
        <f t="shared" si="243"/>
        <v>Developing</v>
      </c>
      <c r="V1218" t="str">
        <f t="shared" si="244"/>
        <v>Interview</v>
      </c>
      <c r="W1218" t="str">
        <f t="shared" si="245"/>
        <v>Technical Skills</v>
      </c>
      <c r="X1218" t="str">
        <f t="shared" si="246"/>
        <v>Strengthen technical skills and practical knowledge</v>
      </c>
    </row>
    <row r="1219" spans="1:24" x14ac:dyDescent="0.3">
      <c r="A1219">
        <v>42</v>
      </c>
      <c r="B1219">
        <v>0</v>
      </c>
      <c r="C1219">
        <v>3</v>
      </c>
      <c r="D1219">
        <v>9</v>
      </c>
      <c r="E1219">
        <v>3</v>
      </c>
      <c r="F1219">
        <v>45.437624187513599</v>
      </c>
      <c r="G1219">
        <v>90</v>
      </c>
      <c r="H1219">
        <v>70</v>
      </c>
      <c r="I1219">
        <v>47</v>
      </c>
      <c r="J1219">
        <v>1</v>
      </c>
      <c r="K1219">
        <v>1</v>
      </c>
      <c r="L1219" t="str">
        <f t="shared" ref="L1219:L1282" si="247">"C"&amp;TEXT(ROW()-1,"000")</f>
        <v>C1218</v>
      </c>
      <c r="M1219" t="str">
        <f t="shared" ref="M1219:M1282" si="248">IF(B1219=0,"Male","Female")</f>
        <v>Male</v>
      </c>
      <c r="N1219" t="str">
        <f t="shared" ref="N1219:N1282" si="249">IF(C1219=1,"Bachelor's Type 1",IF(C1219=2,"Bachelor's Type 2",IF(C1219=3,"Master's","PhD")))</f>
        <v>Master's</v>
      </c>
      <c r="O1219" t="str">
        <f t="shared" ref="O1219:O1282" si="250">IF(D1219&lt;=2,"Entry Level",IF(D1219&lt;=6,"Mid Level","Senior Level"))</f>
        <v>Senior Level</v>
      </c>
      <c r="P1219" t="str">
        <f t="shared" ref="P1219:P1282" si="251">IF(G1219&lt;50,"Low",IF(G1219&lt;75,"Average","Strong"))</f>
        <v>Strong</v>
      </c>
      <c r="Q1219" t="str">
        <f t="shared" ref="Q1219:Q1282" si="252">IF(H1219&lt;50,"Beginner",IF(H1219&lt;75,"Intermediate","Advanced"))</f>
        <v>Intermediate</v>
      </c>
      <c r="R1219" t="str">
        <f t="shared" ref="R1219:R1282" si="253">IF(I1219&lt;50,"Needs Improvement",IF(I1219&lt;75,"Good","Strong"))</f>
        <v>Needs Improvement</v>
      </c>
      <c r="S1219" t="str">
        <f t="shared" ref="S1219:S1282" si="254">IF(K1219=1,"Hired","Not Hired")</f>
        <v>Hired</v>
      </c>
      <c r="T1219">
        <f t="shared" ref="T1219:T1282" si="255">ROUND((G1219*30%)+(H1219*30%)+(I1219*20%)+((D1219/15)*100*15%)+(IF(C1219&lt;=2,50,IF(C1219=3,75,100))*5%),0)</f>
        <v>70</v>
      </c>
      <c r="U1219" t="str">
        <f t="shared" ref="U1219:U1282" si="256">IF(T1219&lt;50,"Needs Improvement",IF(T1219&lt;75,"Developing","Job Ready"))</f>
        <v>Developing</v>
      </c>
      <c r="V1219" t="str">
        <f t="shared" ref="V1219:V1282" si="257">IF(AND(G1219&gt;=H1219,G1219&gt;=I1219),"Interview",IF(H1219&gt;=I1219,"Technical Skills","Personality"))</f>
        <v>Interview</v>
      </c>
      <c r="W1219" t="str">
        <f t="shared" ref="W1219:W1282" si="258">IF(AND(G1219&lt;=H1219,G1219&lt;=I1219),"Interview Preparation",IF(H1219&lt;=I1219,"Technical Skills","Personality &amp; Communication"))</f>
        <v>Personality &amp; Communication</v>
      </c>
      <c r="X1219" t="str">
        <f t="shared" ref="X1219:X1282" si="259">IF(W1219="Interview Preparation","Improve interview preparation and communication",IF(W1219="Technical Skills","Strengthen technical skills and practical knowledge","Work on communication and personality development"))</f>
        <v>Work on communication and personality development</v>
      </c>
    </row>
    <row r="1220" spans="1:24" x14ac:dyDescent="0.3">
      <c r="A1220">
        <v>33</v>
      </c>
      <c r="B1220">
        <v>0</v>
      </c>
      <c r="C1220">
        <v>3</v>
      </c>
      <c r="D1220">
        <v>7</v>
      </c>
      <c r="E1220">
        <v>5</v>
      </c>
      <c r="F1220">
        <v>35.625700638059598</v>
      </c>
      <c r="G1220">
        <v>38</v>
      </c>
      <c r="H1220">
        <v>16</v>
      </c>
      <c r="I1220">
        <v>28</v>
      </c>
      <c r="J1220">
        <v>3</v>
      </c>
      <c r="K1220">
        <v>0</v>
      </c>
      <c r="L1220" t="str">
        <f t="shared" si="247"/>
        <v>C1219</v>
      </c>
      <c r="M1220" t="str">
        <f t="shared" si="248"/>
        <v>Male</v>
      </c>
      <c r="N1220" t="str">
        <f t="shared" si="249"/>
        <v>Master's</v>
      </c>
      <c r="O1220" t="str">
        <f t="shared" si="250"/>
        <v>Senior Level</v>
      </c>
      <c r="P1220" t="str">
        <f t="shared" si="251"/>
        <v>Low</v>
      </c>
      <c r="Q1220" t="str">
        <f t="shared" si="252"/>
        <v>Beginner</v>
      </c>
      <c r="R1220" t="str">
        <f t="shared" si="253"/>
        <v>Needs Improvement</v>
      </c>
      <c r="S1220" t="str">
        <f t="shared" si="254"/>
        <v>Not Hired</v>
      </c>
      <c r="T1220">
        <f t="shared" si="255"/>
        <v>33</v>
      </c>
      <c r="U1220" t="str">
        <f t="shared" si="256"/>
        <v>Needs Improvement</v>
      </c>
      <c r="V1220" t="str">
        <f t="shared" si="257"/>
        <v>Interview</v>
      </c>
      <c r="W1220" t="str">
        <f t="shared" si="258"/>
        <v>Technical Skills</v>
      </c>
      <c r="X1220" t="str">
        <f t="shared" si="259"/>
        <v>Strengthen technical skills and practical knowledge</v>
      </c>
    </row>
    <row r="1221" spans="1:24" x14ac:dyDescent="0.3">
      <c r="A1221">
        <v>30</v>
      </c>
      <c r="B1221">
        <v>1</v>
      </c>
      <c r="C1221">
        <v>2</v>
      </c>
      <c r="D1221">
        <v>1</v>
      </c>
      <c r="E1221">
        <v>5</v>
      </c>
      <c r="F1221">
        <v>13.1764169449768</v>
      </c>
      <c r="G1221">
        <v>62</v>
      </c>
      <c r="H1221">
        <v>60</v>
      </c>
      <c r="I1221">
        <v>26</v>
      </c>
      <c r="J1221">
        <v>2</v>
      </c>
      <c r="K1221">
        <v>0</v>
      </c>
      <c r="L1221" t="str">
        <f t="shared" si="247"/>
        <v>C1220</v>
      </c>
      <c r="M1221" t="str">
        <f t="shared" si="248"/>
        <v>Female</v>
      </c>
      <c r="N1221" t="str">
        <f t="shared" si="249"/>
        <v>Bachelor's Type 2</v>
      </c>
      <c r="O1221" t="str">
        <f t="shared" si="250"/>
        <v>Entry Level</v>
      </c>
      <c r="P1221" t="str">
        <f t="shared" si="251"/>
        <v>Average</v>
      </c>
      <c r="Q1221" t="str">
        <f t="shared" si="252"/>
        <v>Intermediate</v>
      </c>
      <c r="R1221" t="str">
        <f t="shared" si="253"/>
        <v>Needs Improvement</v>
      </c>
      <c r="S1221" t="str">
        <f t="shared" si="254"/>
        <v>Not Hired</v>
      </c>
      <c r="T1221">
        <f t="shared" si="255"/>
        <v>45</v>
      </c>
      <c r="U1221" t="str">
        <f t="shared" si="256"/>
        <v>Needs Improvement</v>
      </c>
      <c r="V1221" t="str">
        <f t="shared" si="257"/>
        <v>Interview</v>
      </c>
      <c r="W1221" t="str">
        <f t="shared" si="258"/>
        <v>Personality &amp; Communication</v>
      </c>
      <c r="X1221" t="str">
        <f t="shared" si="259"/>
        <v>Work on communication and personality development</v>
      </c>
    </row>
    <row r="1222" spans="1:24" x14ac:dyDescent="0.3">
      <c r="A1222">
        <v>34</v>
      </c>
      <c r="B1222">
        <v>1</v>
      </c>
      <c r="C1222">
        <v>2</v>
      </c>
      <c r="D1222">
        <v>10</v>
      </c>
      <c r="E1222">
        <v>2</v>
      </c>
      <c r="F1222">
        <v>47.582962487950901</v>
      </c>
      <c r="G1222">
        <v>78</v>
      </c>
      <c r="H1222">
        <v>9</v>
      </c>
      <c r="I1222">
        <v>17</v>
      </c>
      <c r="J1222">
        <v>3</v>
      </c>
      <c r="K1222">
        <v>0</v>
      </c>
      <c r="L1222" t="str">
        <f t="shared" si="247"/>
        <v>C1221</v>
      </c>
      <c r="M1222" t="str">
        <f t="shared" si="248"/>
        <v>Female</v>
      </c>
      <c r="N1222" t="str">
        <f t="shared" si="249"/>
        <v>Bachelor's Type 2</v>
      </c>
      <c r="O1222" t="str">
        <f t="shared" si="250"/>
        <v>Senior Level</v>
      </c>
      <c r="P1222" t="str">
        <f t="shared" si="251"/>
        <v>Strong</v>
      </c>
      <c r="Q1222" t="str">
        <f t="shared" si="252"/>
        <v>Beginner</v>
      </c>
      <c r="R1222" t="str">
        <f t="shared" si="253"/>
        <v>Needs Improvement</v>
      </c>
      <c r="S1222" t="str">
        <f t="shared" si="254"/>
        <v>Not Hired</v>
      </c>
      <c r="T1222">
        <f t="shared" si="255"/>
        <v>42</v>
      </c>
      <c r="U1222" t="str">
        <f t="shared" si="256"/>
        <v>Needs Improvement</v>
      </c>
      <c r="V1222" t="str">
        <f t="shared" si="257"/>
        <v>Interview</v>
      </c>
      <c r="W1222" t="str">
        <f t="shared" si="258"/>
        <v>Technical Skills</v>
      </c>
      <c r="X1222" t="str">
        <f t="shared" si="259"/>
        <v>Strengthen technical skills and practical knowledge</v>
      </c>
    </row>
    <row r="1223" spans="1:24" x14ac:dyDescent="0.3">
      <c r="A1223">
        <v>47</v>
      </c>
      <c r="B1223">
        <v>1</v>
      </c>
      <c r="C1223">
        <v>4</v>
      </c>
      <c r="D1223">
        <v>12</v>
      </c>
      <c r="E1223">
        <v>1</v>
      </c>
      <c r="F1223">
        <v>6.2417873602995604</v>
      </c>
      <c r="G1223">
        <v>25</v>
      </c>
      <c r="H1223">
        <v>30</v>
      </c>
      <c r="I1223">
        <v>59</v>
      </c>
      <c r="J1223">
        <v>3</v>
      </c>
      <c r="K1223">
        <v>0</v>
      </c>
      <c r="L1223" t="str">
        <f t="shared" si="247"/>
        <v>C1222</v>
      </c>
      <c r="M1223" t="str">
        <f t="shared" si="248"/>
        <v>Female</v>
      </c>
      <c r="N1223" t="str">
        <f t="shared" si="249"/>
        <v>PhD</v>
      </c>
      <c r="O1223" t="str">
        <f t="shared" si="250"/>
        <v>Senior Level</v>
      </c>
      <c r="P1223" t="str">
        <f t="shared" si="251"/>
        <v>Low</v>
      </c>
      <c r="Q1223" t="str">
        <f t="shared" si="252"/>
        <v>Beginner</v>
      </c>
      <c r="R1223" t="str">
        <f t="shared" si="253"/>
        <v>Good</v>
      </c>
      <c r="S1223" t="str">
        <f t="shared" si="254"/>
        <v>Not Hired</v>
      </c>
      <c r="T1223">
        <f t="shared" si="255"/>
        <v>45</v>
      </c>
      <c r="U1223" t="str">
        <f t="shared" si="256"/>
        <v>Needs Improvement</v>
      </c>
      <c r="V1223" t="str">
        <f t="shared" si="257"/>
        <v>Personality</v>
      </c>
      <c r="W1223" t="str">
        <f t="shared" si="258"/>
        <v>Interview Preparation</v>
      </c>
      <c r="X1223" t="str">
        <f t="shared" si="259"/>
        <v>Improve interview preparation and communication</v>
      </c>
    </row>
    <row r="1224" spans="1:24" x14ac:dyDescent="0.3">
      <c r="A1224">
        <v>32</v>
      </c>
      <c r="B1224">
        <v>1</v>
      </c>
      <c r="C1224">
        <v>2</v>
      </c>
      <c r="D1224">
        <v>6</v>
      </c>
      <c r="E1224">
        <v>3</v>
      </c>
      <c r="F1224">
        <v>14.3971375053423</v>
      </c>
      <c r="G1224">
        <v>64</v>
      </c>
      <c r="H1224">
        <v>59</v>
      </c>
      <c r="I1224">
        <v>73</v>
      </c>
      <c r="J1224">
        <v>1</v>
      </c>
      <c r="K1224">
        <v>1</v>
      </c>
      <c r="L1224" t="str">
        <f t="shared" si="247"/>
        <v>C1223</v>
      </c>
      <c r="M1224" t="str">
        <f t="shared" si="248"/>
        <v>Female</v>
      </c>
      <c r="N1224" t="str">
        <f t="shared" si="249"/>
        <v>Bachelor's Type 2</v>
      </c>
      <c r="O1224" t="str">
        <f t="shared" si="250"/>
        <v>Mid Level</v>
      </c>
      <c r="P1224" t="str">
        <f t="shared" si="251"/>
        <v>Average</v>
      </c>
      <c r="Q1224" t="str">
        <f t="shared" si="252"/>
        <v>Intermediate</v>
      </c>
      <c r="R1224" t="str">
        <f t="shared" si="253"/>
        <v>Good</v>
      </c>
      <c r="S1224" t="str">
        <f t="shared" si="254"/>
        <v>Hired</v>
      </c>
      <c r="T1224">
        <f t="shared" si="255"/>
        <v>60</v>
      </c>
      <c r="U1224" t="str">
        <f t="shared" si="256"/>
        <v>Developing</v>
      </c>
      <c r="V1224" t="str">
        <f t="shared" si="257"/>
        <v>Personality</v>
      </c>
      <c r="W1224" t="str">
        <f t="shared" si="258"/>
        <v>Technical Skills</v>
      </c>
      <c r="X1224" t="str">
        <f t="shared" si="259"/>
        <v>Strengthen technical skills and practical knowledge</v>
      </c>
    </row>
    <row r="1225" spans="1:24" x14ac:dyDescent="0.3">
      <c r="A1225">
        <v>37</v>
      </c>
      <c r="B1225">
        <v>0</v>
      </c>
      <c r="C1225">
        <v>4</v>
      </c>
      <c r="D1225">
        <v>13</v>
      </c>
      <c r="E1225">
        <v>4</v>
      </c>
      <c r="F1225">
        <v>27.0097303861942</v>
      </c>
      <c r="G1225">
        <v>3</v>
      </c>
      <c r="H1225">
        <v>69</v>
      </c>
      <c r="I1225">
        <v>68</v>
      </c>
      <c r="J1225">
        <v>1</v>
      </c>
      <c r="K1225">
        <v>1</v>
      </c>
      <c r="L1225" t="str">
        <f t="shared" si="247"/>
        <v>C1224</v>
      </c>
      <c r="M1225" t="str">
        <f t="shared" si="248"/>
        <v>Male</v>
      </c>
      <c r="N1225" t="str">
        <f t="shared" si="249"/>
        <v>PhD</v>
      </c>
      <c r="O1225" t="str">
        <f t="shared" si="250"/>
        <v>Senior Level</v>
      </c>
      <c r="P1225" t="str">
        <f t="shared" si="251"/>
        <v>Low</v>
      </c>
      <c r="Q1225" t="str">
        <f t="shared" si="252"/>
        <v>Intermediate</v>
      </c>
      <c r="R1225" t="str">
        <f t="shared" si="253"/>
        <v>Good</v>
      </c>
      <c r="S1225" t="str">
        <f t="shared" si="254"/>
        <v>Hired</v>
      </c>
      <c r="T1225">
        <f t="shared" si="255"/>
        <v>53</v>
      </c>
      <c r="U1225" t="str">
        <f t="shared" si="256"/>
        <v>Developing</v>
      </c>
      <c r="V1225" t="str">
        <f t="shared" si="257"/>
        <v>Technical Skills</v>
      </c>
      <c r="W1225" t="str">
        <f t="shared" si="258"/>
        <v>Interview Preparation</v>
      </c>
      <c r="X1225" t="str">
        <f t="shared" si="259"/>
        <v>Improve interview preparation and communication</v>
      </c>
    </row>
    <row r="1226" spans="1:24" x14ac:dyDescent="0.3">
      <c r="A1226">
        <v>45</v>
      </c>
      <c r="B1226">
        <v>0</v>
      </c>
      <c r="C1226">
        <v>1</v>
      </c>
      <c r="D1226">
        <v>7</v>
      </c>
      <c r="E1226">
        <v>2</v>
      </c>
      <c r="F1226">
        <v>29.287101303545001</v>
      </c>
      <c r="G1226">
        <v>28</v>
      </c>
      <c r="H1226">
        <v>16</v>
      </c>
      <c r="I1226">
        <v>73</v>
      </c>
      <c r="J1226">
        <v>2</v>
      </c>
      <c r="K1226">
        <v>0</v>
      </c>
      <c r="L1226" t="str">
        <f t="shared" si="247"/>
        <v>C1225</v>
      </c>
      <c r="M1226" t="str">
        <f t="shared" si="248"/>
        <v>Male</v>
      </c>
      <c r="N1226" t="str">
        <f t="shared" si="249"/>
        <v>Bachelor's Type 1</v>
      </c>
      <c r="O1226" t="str">
        <f t="shared" si="250"/>
        <v>Senior Level</v>
      </c>
      <c r="P1226" t="str">
        <f t="shared" si="251"/>
        <v>Low</v>
      </c>
      <c r="Q1226" t="str">
        <f t="shared" si="252"/>
        <v>Beginner</v>
      </c>
      <c r="R1226" t="str">
        <f t="shared" si="253"/>
        <v>Good</v>
      </c>
      <c r="S1226" t="str">
        <f t="shared" si="254"/>
        <v>Not Hired</v>
      </c>
      <c r="T1226">
        <f t="shared" si="255"/>
        <v>37</v>
      </c>
      <c r="U1226" t="str">
        <f t="shared" si="256"/>
        <v>Needs Improvement</v>
      </c>
      <c r="V1226" t="str">
        <f t="shared" si="257"/>
        <v>Personality</v>
      </c>
      <c r="W1226" t="str">
        <f t="shared" si="258"/>
        <v>Technical Skills</v>
      </c>
      <c r="X1226" t="str">
        <f t="shared" si="259"/>
        <v>Strengthen technical skills and practical knowledge</v>
      </c>
    </row>
    <row r="1227" spans="1:24" x14ac:dyDescent="0.3">
      <c r="A1227">
        <v>25</v>
      </c>
      <c r="B1227">
        <v>0</v>
      </c>
      <c r="C1227">
        <v>2</v>
      </c>
      <c r="D1227">
        <v>7</v>
      </c>
      <c r="E1227">
        <v>3</v>
      </c>
      <c r="F1227">
        <v>1.76552933134527</v>
      </c>
      <c r="G1227">
        <v>0</v>
      </c>
      <c r="H1227">
        <v>49</v>
      </c>
      <c r="I1227">
        <v>20</v>
      </c>
      <c r="J1227">
        <v>2</v>
      </c>
      <c r="K1227">
        <v>0</v>
      </c>
      <c r="L1227" t="str">
        <f t="shared" si="247"/>
        <v>C1226</v>
      </c>
      <c r="M1227" t="str">
        <f t="shared" si="248"/>
        <v>Male</v>
      </c>
      <c r="N1227" t="str">
        <f t="shared" si="249"/>
        <v>Bachelor's Type 2</v>
      </c>
      <c r="O1227" t="str">
        <f t="shared" si="250"/>
        <v>Senior Level</v>
      </c>
      <c r="P1227" t="str">
        <f t="shared" si="251"/>
        <v>Low</v>
      </c>
      <c r="Q1227" t="str">
        <f t="shared" si="252"/>
        <v>Beginner</v>
      </c>
      <c r="R1227" t="str">
        <f t="shared" si="253"/>
        <v>Needs Improvement</v>
      </c>
      <c r="S1227" t="str">
        <f t="shared" si="254"/>
        <v>Not Hired</v>
      </c>
      <c r="T1227">
        <f t="shared" si="255"/>
        <v>28</v>
      </c>
      <c r="U1227" t="str">
        <f t="shared" si="256"/>
        <v>Needs Improvement</v>
      </c>
      <c r="V1227" t="str">
        <f t="shared" si="257"/>
        <v>Technical Skills</v>
      </c>
      <c r="W1227" t="str">
        <f t="shared" si="258"/>
        <v>Interview Preparation</v>
      </c>
      <c r="X1227" t="str">
        <f t="shared" si="259"/>
        <v>Improve interview preparation and communication</v>
      </c>
    </row>
    <row r="1228" spans="1:24" x14ac:dyDescent="0.3">
      <c r="A1228">
        <v>22</v>
      </c>
      <c r="B1228">
        <v>0</v>
      </c>
      <c r="C1228">
        <v>3</v>
      </c>
      <c r="D1228">
        <v>10</v>
      </c>
      <c r="E1228">
        <v>3</v>
      </c>
      <c r="F1228">
        <v>40.028636291047</v>
      </c>
      <c r="G1228">
        <v>49</v>
      </c>
      <c r="H1228">
        <v>36</v>
      </c>
      <c r="I1228">
        <v>23</v>
      </c>
      <c r="J1228">
        <v>2</v>
      </c>
      <c r="K1228">
        <v>0</v>
      </c>
      <c r="L1228" t="str">
        <f t="shared" si="247"/>
        <v>C1227</v>
      </c>
      <c r="M1228" t="str">
        <f t="shared" si="248"/>
        <v>Male</v>
      </c>
      <c r="N1228" t="str">
        <f t="shared" si="249"/>
        <v>Master's</v>
      </c>
      <c r="O1228" t="str">
        <f t="shared" si="250"/>
        <v>Senior Level</v>
      </c>
      <c r="P1228" t="str">
        <f t="shared" si="251"/>
        <v>Low</v>
      </c>
      <c r="Q1228" t="str">
        <f t="shared" si="252"/>
        <v>Beginner</v>
      </c>
      <c r="R1228" t="str">
        <f t="shared" si="253"/>
        <v>Needs Improvement</v>
      </c>
      <c r="S1228" t="str">
        <f t="shared" si="254"/>
        <v>Not Hired</v>
      </c>
      <c r="T1228">
        <f t="shared" si="255"/>
        <v>44</v>
      </c>
      <c r="U1228" t="str">
        <f t="shared" si="256"/>
        <v>Needs Improvement</v>
      </c>
      <c r="V1228" t="str">
        <f t="shared" si="257"/>
        <v>Interview</v>
      </c>
      <c r="W1228" t="str">
        <f t="shared" si="258"/>
        <v>Personality &amp; Communication</v>
      </c>
      <c r="X1228" t="str">
        <f t="shared" si="259"/>
        <v>Work on communication and personality development</v>
      </c>
    </row>
    <row r="1229" spans="1:24" x14ac:dyDescent="0.3">
      <c r="A1229">
        <v>38</v>
      </c>
      <c r="B1229">
        <v>0</v>
      </c>
      <c r="C1229">
        <v>4</v>
      </c>
      <c r="D1229">
        <v>9</v>
      </c>
      <c r="E1229">
        <v>4</v>
      </c>
      <c r="F1229">
        <v>19.080365921269401</v>
      </c>
      <c r="G1229">
        <v>85</v>
      </c>
      <c r="H1229">
        <v>81</v>
      </c>
      <c r="I1229">
        <v>2</v>
      </c>
      <c r="J1229">
        <v>2</v>
      </c>
      <c r="K1229">
        <v>1</v>
      </c>
      <c r="L1229" t="str">
        <f t="shared" si="247"/>
        <v>C1228</v>
      </c>
      <c r="M1229" t="str">
        <f t="shared" si="248"/>
        <v>Male</v>
      </c>
      <c r="N1229" t="str">
        <f t="shared" si="249"/>
        <v>PhD</v>
      </c>
      <c r="O1229" t="str">
        <f t="shared" si="250"/>
        <v>Senior Level</v>
      </c>
      <c r="P1229" t="str">
        <f t="shared" si="251"/>
        <v>Strong</v>
      </c>
      <c r="Q1229" t="str">
        <f t="shared" si="252"/>
        <v>Advanced</v>
      </c>
      <c r="R1229" t="str">
        <f t="shared" si="253"/>
        <v>Needs Improvement</v>
      </c>
      <c r="S1229" t="str">
        <f t="shared" si="254"/>
        <v>Hired</v>
      </c>
      <c r="T1229">
        <f t="shared" si="255"/>
        <v>64</v>
      </c>
      <c r="U1229" t="str">
        <f t="shared" si="256"/>
        <v>Developing</v>
      </c>
      <c r="V1229" t="str">
        <f t="shared" si="257"/>
        <v>Interview</v>
      </c>
      <c r="W1229" t="str">
        <f t="shared" si="258"/>
        <v>Personality &amp; Communication</v>
      </c>
      <c r="X1229" t="str">
        <f t="shared" si="259"/>
        <v>Work on communication and personality development</v>
      </c>
    </row>
    <row r="1230" spans="1:24" x14ac:dyDescent="0.3">
      <c r="A1230">
        <v>34</v>
      </c>
      <c r="B1230">
        <v>1</v>
      </c>
      <c r="C1230">
        <v>2</v>
      </c>
      <c r="D1230">
        <v>14</v>
      </c>
      <c r="E1230">
        <v>3</v>
      </c>
      <c r="F1230">
        <v>21.3209270501068</v>
      </c>
      <c r="G1230">
        <v>10</v>
      </c>
      <c r="H1230">
        <v>61</v>
      </c>
      <c r="I1230">
        <v>94</v>
      </c>
      <c r="J1230">
        <v>2</v>
      </c>
      <c r="K1230">
        <v>0</v>
      </c>
      <c r="L1230" t="str">
        <f t="shared" si="247"/>
        <v>C1229</v>
      </c>
      <c r="M1230" t="str">
        <f t="shared" si="248"/>
        <v>Female</v>
      </c>
      <c r="N1230" t="str">
        <f t="shared" si="249"/>
        <v>Bachelor's Type 2</v>
      </c>
      <c r="O1230" t="str">
        <f t="shared" si="250"/>
        <v>Senior Level</v>
      </c>
      <c r="P1230" t="str">
        <f t="shared" si="251"/>
        <v>Low</v>
      </c>
      <c r="Q1230" t="str">
        <f t="shared" si="252"/>
        <v>Intermediate</v>
      </c>
      <c r="R1230" t="str">
        <f t="shared" si="253"/>
        <v>Strong</v>
      </c>
      <c r="S1230" t="str">
        <f t="shared" si="254"/>
        <v>Not Hired</v>
      </c>
      <c r="T1230">
        <f t="shared" si="255"/>
        <v>57</v>
      </c>
      <c r="U1230" t="str">
        <f t="shared" si="256"/>
        <v>Developing</v>
      </c>
      <c r="V1230" t="str">
        <f t="shared" si="257"/>
        <v>Personality</v>
      </c>
      <c r="W1230" t="str">
        <f t="shared" si="258"/>
        <v>Interview Preparation</v>
      </c>
      <c r="X1230" t="str">
        <f t="shared" si="259"/>
        <v>Improve interview preparation and communication</v>
      </c>
    </row>
    <row r="1231" spans="1:24" x14ac:dyDescent="0.3">
      <c r="A1231">
        <v>44</v>
      </c>
      <c r="B1231">
        <v>0</v>
      </c>
      <c r="C1231">
        <v>3</v>
      </c>
      <c r="D1231">
        <v>10</v>
      </c>
      <c r="E1231">
        <v>1</v>
      </c>
      <c r="F1231">
        <v>41.468477221847202</v>
      </c>
      <c r="G1231">
        <v>73</v>
      </c>
      <c r="H1231">
        <v>89</v>
      </c>
      <c r="I1231">
        <v>61</v>
      </c>
      <c r="J1231">
        <v>1</v>
      </c>
      <c r="K1231">
        <v>1</v>
      </c>
      <c r="L1231" t="str">
        <f t="shared" si="247"/>
        <v>C1230</v>
      </c>
      <c r="M1231" t="str">
        <f t="shared" si="248"/>
        <v>Male</v>
      </c>
      <c r="N1231" t="str">
        <f t="shared" si="249"/>
        <v>Master's</v>
      </c>
      <c r="O1231" t="str">
        <f t="shared" si="250"/>
        <v>Senior Level</v>
      </c>
      <c r="P1231" t="str">
        <f t="shared" si="251"/>
        <v>Average</v>
      </c>
      <c r="Q1231" t="str">
        <f t="shared" si="252"/>
        <v>Advanced</v>
      </c>
      <c r="R1231" t="str">
        <f t="shared" si="253"/>
        <v>Good</v>
      </c>
      <c r="S1231" t="str">
        <f t="shared" si="254"/>
        <v>Hired</v>
      </c>
      <c r="T1231">
        <f t="shared" si="255"/>
        <v>75</v>
      </c>
      <c r="U1231" t="str">
        <f t="shared" si="256"/>
        <v>Job Ready</v>
      </c>
      <c r="V1231" t="str">
        <f t="shared" si="257"/>
        <v>Technical Skills</v>
      </c>
      <c r="W1231" t="str">
        <f t="shared" si="258"/>
        <v>Personality &amp; Communication</v>
      </c>
      <c r="X1231" t="str">
        <f t="shared" si="259"/>
        <v>Work on communication and personality development</v>
      </c>
    </row>
    <row r="1232" spans="1:24" x14ac:dyDescent="0.3">
      <c r="A1232">
        <v>42</v>
      </c>
      <c r="B1232">
        <v>1</v>
      </c>
      <c r="C1232">
        <v>2</v>
      </c>
      <c r="D1232">
        <v>12</v>
      </c>
      <c r="E1232">
        <v>1</v>
      </c>
      <c r="F1232">
        <v>19.964169586377199</v>
      </c>
      <c r="G1232">
        <v>58</v>
      </c>
      <c r="H1232">
        <v>79</v>
      </c>
      <c r="I1232">
        <v>100</v>
      </c>
      <c r="J1232">
        <v>2</v>
      </c>
      <c r="K1232">
        <v>0</v>
      </c>
      <c r="L1232" t="str">
        <f t="shared" si="247"/>
        <v>C1231</v>
      </c>
      <c r="M1232" t="str">
        <f t="shared" si="248"/>
        <v>Female</v>
      </c>
      <c r="N1232" t="str">
        <f t="shared" si="249"/>
        <v>Bachelor's Type 2</v>
      </c>
      <c r="O1232" t="str">
        <f t="shared" si="250"/>
        <v>Senior Level</v>
      </c>
      <c r="P1232" t="str">
        <f t="shared" si="251"/>
        <v>Average</v>
      </c>
      <c r="Q1232" t="str">
        <f t="shared" si="252"/>
        <v>Advanced</v>
      </c>
      <c r="R1232" t="str">
        <f t="shared" si="253"/>
        <v>Strong</v>
      </c>
      <c r="S1232" t="str">
        <f t="shared" si="254"/>
        <v>Not Hired</v>
      </c>
      <c r="T1232">
        <f t="shared" si="255"/>
        <v>76</v>
      </c>
      <c r="U1232" t="str">
        <f t="shared" si="256"/>
        <v>Job Ready</v>
      </c>
      <c r="V1232" t="str">
        <f t="shared" si="257"/>
        <v>Personality</v>
      </c>
      <c r="W1232" t="str">
        <f t="shared" si="258"/>
        <v>Interview Preparation</v>
      </c>
      <c r="X1232" t="str">
        <f t="shared" si="259"/>
        <v>Improve interview preparation and communication</v>
      </c>
    </row>
    <row r="1233" spans="1:24" x14ac:dyDescent="0.3">
      <c r="A1233">
        <v>24</v>
      </c>
      <c r="B1233">
        <v>1</v>
      </c>
      <c r="C1233">
        <v>1</v>
      </c>
      <c r="D1233">
        <v>6</v>
      </c>
      <c r="E1233">
        <v>1</v>
      </c>
      <c r="F1233">
        <v>3.3612438247377399</v>
      </c>
      <c r="G1233">
        <v>61</v>
      </c>
      <c r="H1233">
        <v>71</v>
      </c>
      <c r="I1233">
        <v>1</v>
      </c>
      <c r="J1233">
        <v>2</v>
      </c>
      <c r="K1233">
        <v>0</v>
      </c>
      <c r="L1233" t="str">
        <f t="shared" si="247"/>
        <v>C1232</v>
      </c>
      <c r="M1233" t="str">
        <f t="shared" si="248"/>
        <v>Female</v>
      </c>
      <c r="N1233" t="str">
        <f t="shared" si="249"/>
        <v>Bachelor's Type 1</v>
      </c>
      <c r="O1233" t="str">
        <f t="shared" si="250"/>
        <v>Mid Level</v>
      </c>
      <c r="P1233" t="str">
        <f t="shared" si="251"/>
        <v>Average</v>
      </c>
      <c r="Q1233" t="str">
        <f t="shared" si="252"/>
        <v>Intermediate</v>
      </c>
      <c r="R1233" t="str">
        <f t="shared" si="253"/>
        <v>Needs Improvement</v>
      </c>
      <c r="S1233" t="str">
        <f t="shared" si="254"/>
        <v>Not Hired</v>
      </c>
      <c r="T1233">
        <f t="shared" si="255"/>
        <v>48</v>
      </c>
      <c r="U1233" t="str">
        <f t="shared" si="256"/>
        <v>Needs Improvement</v>
      </c>
      <c r="V1233" t="str">
        <f t="shared" si="257"/>
        <v>Technical Skills</v>
      </c>
      <c r="W1233" t="str">
        <f t="shared" si="258"/>
        <v>Personality &amp; Communication</v>
      </c>
      <c r="X1233" t="str">
        <f t="shared" si="259"/>
        <v>Work on communication and personality development</v>
      </c>
    </row>
    <row r="1234" spans="1:24" x14ac:dyDescent="0.3">
      <c r="A1234">
        <v>47</v>
      </c>
      <c r="B1234">
        <v>1</v>
      </c>
      <c r="C1234">
        <v>2</v>
      </c>
      <c r="D1234">
        <v>4</v>
      </c>
      <c r="E1234">
        <v>3</v>
      </c>
      <c r="F1234">
        <v>9.8219885235175095</v>
      </c>
      <c r="G1234">
        <v>80</v>
      </c>
      <c r="H1234">
        <v>87</v>
      </c>
      <c r="I1234">
        <v>65</v>
      </c>
      <c r="J1234">
        <v>2</v>
      </c>
      <c r="K1234">
        <v>0</v>
      </c>
      <c r="L1234" t="str">
        <f t="shared" si="247"/>
        <v>C1233</v>
      </c>
      <c r="M1234" t="str">
        <f t="shared" si="248"/>
        <v>Female</v>
      </c>
      <c r="N1234" t="str">
        <f t="shared" si="249"/>
        <v>Bachelor's Type 2</v>
      </c>
      <c r="O1234" t="str">
        <f t="shared" si="250"/>
        <v>Mid Level</v>
      </c>
      <c r="P1234" t="str">
        <f t="shared" si="251"/>
        <v>Strong</v>
      </c>
      <c r="Q1234" t="str">
        <f t="shared" si="252"/>
        <v>Advanced</v>
      </c>
      <c r="R1234" t="str">
        <f t="shared" si="253"/>
        <v>Good</v>
      </c>
      <c r="S1234" t="str">
        <f t="shared" si="254"/>
        <v>Not Hired</v>
      </c>
      <c r="T1234">
        <f t="shared" si="255"/>
        <v>70</v>
      </c>
      <c r="U1234" t="str">
        <f t="shared" si="256"/>
        <v>Developing</v>
      </c>
      <c r="V1234" t="str">
        <f t="shared" si="257"/>
        <v>Technical Skills</v>
      </c>
      <c r="W1234" t="str">
        <f t="shared" si="258"/>
        <v>Personality &amp; Communication</v>
      </c>
      <c r="X1234" t="str">
        <f t="shared" si="259"/>
        <v>Work on communication and personality development</v>
      </c>
    </row>
    <row r="1235" spans="1:24" x14ac:dyDescent="0.3">
      <c r="A1235">
        <v>29</v>
      </c>
      <c r="B1235">
        <v>1</v>
      </c>
      <c r="C1235">
        <v>2</v>
      </c>
      <c r="D1235">
        <v>0</v>
      </c>
      <c r="E1235">
        <v>1</v>
      </c>
      <c r="F1235">
        <v>48.795158619409101</v>
      </c>
      <c r="G1235">
        <v>35</v>
      </c>
      <c r="H1235">
        <v>76</v>
      </c>
      <c r="I1235">
        <v>41</v>
      </c>
      <c r="J1235">
        <v>1</v>
      </c>
      <c r="K1235">
        <v>0</v>
      </c>
      <c r="L1235" t="str">
        <f t="shared" si="247"/>
        <v>C1234</v>
      </c>
      <c r="M1235" t="str">
        <f t="shared" si="248"/>
        <v>Female</v>
      </c>
      <c r="N1235" t="str">
        <f t="shared" si="249"/>
        <v>Bachelor's Type 2</v>
      </c>
      <c r="O1235" t="str">
        <f t="shared" si="250"/>
        <v>Entry Level</v>
      </c>
      <c r="P1235" t="str">
        <f t="shared" si="251"/>
        <v>Low</v>
      </c>
      <c r="Q1235" t="str">
        <f t="shared" si="252"/>
        <v>Advanced</v>
      </c>
      <c r="R1235" t="str">
        <f t="shared" si="253"/>
        <v>Needs Improvement</v>
      </c>
      <c r="S1235" t="str">
        <f t="shared" si="254"/>
        <v>Not Hired</v>
      </c>
      <c r="T1235">
        <f t="shared" si="255"/>
        <v>44</v>
      </c>
      <c r="U1235" t="str">
        <f t="shared" si="256"/>
        <v>Needs Improvement</v>
      </c>
      <c r="V1235" t="str">
        <f t="shared" si="257"/>
        <v>Technical Skills</v>
      </c>
      <c r="W1235" t="str">
        <f t="shared" si="258"/>
        <v>Interview Preparation</v>
      </c>
      <c r="X1235" t="str">
        <f t="shared" si="259"/>
        <v>Improve interview preparation and communication</v>
      </c>
    </row>
    <row r="1236" spans="1:24" x14ac:dyDescent="0.3">
      <c r="A1236">
        <v>26</v>
      </c>
      <c r="B1236">
        <v>0</v>
      </c>
      <c r="C1236">
        <v>4</v>
      </c>
      <c r="D1236">
        <v>11</v>
      </c>
      <c r="E1236">
        <v>4</v>
      </c>
      <c r="F1236">
        <v>4.5202681201257002</v>
      </c>
      <c r="G1236">
        <v>55</v>
      </c>
      <c r="H1236">
        <v>28</v>
      </c>
      <c r="I1236">
        <v>33</v>
      </c>
      <c r="J1236">
        <v>2</v>
      </c>
      <c r="K1236">
        <v>0</v>
      </c>
      <c r="L1236" t="str">
        <f t="shared" si="247"/>
        <v>C1235</v>
      </c>
      <c r="M1236" t="str">
        <f t="shared" si="248"/>
        <v>Male</v>
      </c>
      <c r="N1236" t="str">
        <f t="shared" si="249"/>
        <v>PhD</v>
      </c>
      <c r="O1236" t="str">
        <f t="shared" si="250"/>
        <v>Senior Level</v>
      </c>
      <c r="P1236" t="str">
        <f t="shared" si="251"/>
        <v>Average</v>
      </c>
      <c r="Q1236" t="str">
        <f t="shared" si="252"/>
        <v>Beginner</v>
      </c>
      <c r="R1236" t="str">
        <f t="shared" si="253"/>
        <v>Needs Improvement</v>
      </c>
      <c r="S1236" t="str">
        <f t="shared" si="254"/>
        <v>Not Hired</v>
      </c>
      <c r="T1236">
        <f t="shared" si="255"/>
        <v>48</v>
      </c>
      <c r="U1236" t="str">
        <f t="shared" si="256"/>
        <v>Needs Improvement</v>
      </c>
      <c r="V1236" t="str">
        <f t="shared" si="257"/>
        <v>Interview</v>
      </c>
      <c r="W1236" t="str">
        <f t="shared" si="258"/>
        <v>Technical Skills</v>
      </c>
      <c r="X1236" t="str">
        <f t="shared" si="259"/>
        <v>Strengthen technical skills and practical knowledge</v>
      </c>
    </row>
    <row r="1237" spans="1:24" x14ac:dyDescent="0.3">
      <c r="A1237">
        <v>44</v>
      </c>
      <c r="B1237">
        <v>1</v>
      </c>
      <c r="C1237">
        <v>2</v>
      </c>
      <c r="D1237">
        <v>8</v>
      </c>
      <c r="E1237">
        <v>3</v>
      </c>
      <c r="F1237">
        <v>18.746560048400799</v>
      </c>
      <c r="G1237">
        <v>89</v>
      </c>
      <c r="H1237">
        <v>31</v>
      </c>
      <c r="I1237">
        <v>41</v>
      </c>
      <c r="J1237">
        <v>1</v>
      </c>
      <c r="K1237">
        <v>1</v>
      </c>
      <c r="L1237" t="str">
        <f t="shared" si="247"/>
        <v>C1236</v>
      </c>
      <c r="M1237" t="str">
        <f t="shared" si="248"/>
        <v>Female</v>
      </c>
      <c r="N1237" t="str">
        <f t="shared" si="249"/>
        <v>Bachelor's Type 2</v>
      </c>
      <c r="O1237" t="str">
        <f t="shared" si="250"/>
        <v>Senior Level</v>
      </c>
      <c r="P1237" t="str">
        <f t="shared" si="251"/>
        <v>Strong</v>
      </c>
      <c r="Q1237" t="str">
        <f t="shared" si="252"/>
        <v>Beginner</v>
      </c>
      <c r="R1237" t="str">
        <f t="shared" si="253"/>
        <v>Needs Improvement</v>
      </c>
      <c r="S1237" t="str">
        <f t="shared" si="254"/>
        <v>Hired</v>
      </c>
      <c r="T1237">
        <f t="shared" si="255"/>
        <v>55</v>
      </c>
      <c r="U1237" t="str">
        <f t="shared" si="256"/>
        <v>Developing</v>
      </c>
      <c r="V1237" t="str">
        <f t="shared" si="257"/>
        <v>Interview</v>
      </c>
      <c r="W1237" t="str">
        <f t="shared" si="258"/>
        <v>Technical Skills</v>
      </c>
      <c r="X1237" t="str">
        <f t="shared" si="259"/>
        <v>Strengthen technical skills and practical knowledge</v>
      </c>
    </row>
    <row r="1238" spans="1:24" x14ac:dyDescent="0.3">
      <c r="A1238">
        <v>36</v>
      </c>
      <c r="B1238">
        <v>1</v>
      </c>
      <c r="C1238">
        <v>2</v>
      </c>
      <c r="D1238">
        <v>12</v>
      </c>
      <c r="E1238">
        <v>5</v>
      </c>
      <c r="F1238">
        <v>26.1589583525672</v>
      </c>
      <c r="G1238">
        <v>20</v>
      </c>
      <c r="H1238">
        <v>87</v>
      </c>
      <c r="I1238">
        <v>19</v>
      </c>
      <c r="J1238">
        <v>2</v>
      </c>
      <c r="K1238">
        <v>0</v>
      </c>
      <c r="L1238" t="str">
        <f t="shared" si="247"/>
        <v>C1237</v>
      </c>
      <c r="M1238" t="str">
        <f t="shared" si="248"/>
        <v>Female</v>
      </c>
      <c r="N1238" t="str">
        <f t="shared" si="249"/>
        <v>Bachelor's Type 2</v>
      </c>
      <c r="O1238" t="str">
        <f t="shared" si="250"/>
        <v>Senior Level</v>
      </c>
      <c r="P1238" t="str">
        <f t="shared" si="251"/>
        <v>Low</v>
      </c>
      <c r="Q1238" t="str">
        <f t="shared" si="252"/>
        <v>Advanced</v>
      </c>
      <c r="R1238" t="str">
        <f t="shared" si="253"/>
        <v>Needs Improvement</v>
      </c>
      <c r="S1238" t="str">
        <f t="shared" si="254"/>
        <v>Not Hired</v>
      </c>
      <c r="T1238">
        <f t="shared" si="255"/>
        <v>50</v>
      </c>
      <c r="U1238" t="str">
        <f t="shared" si="256"/>
        <v>Developing</v>
      </c>
      <c r="V1238" t="str">
        <f t="shared" si="257"/>
        <v>Technical Skills</v>
      </c>
      <c r="W1238" t="str">
        <f t="shared" si="258"/>
        <v>Personality &amp; Communication</v>
      </c>
      <c r="X1238" t="str">
        <f t="shared" si="259"/>
        <v>Work on communication and personality development</v>
      </c>
    </row>
    <row r="1239" spans="1:24" x14ac:dyDescent="0.3">
      <c r="A1239">
        <v>26</v>
      </c>
      <c r="B1239">
        <v>1</v>
      </c>
      <c r="C1239">
        <v>1</v>
      </c>
      <c r="D1239">
        <v>15</v>
      </c>
      <c r="E1239">
        <v>3</v>
      </c>
      <c r="F1239">
        <v>25.664041366928</v>
      </c>
      <c r="G1239">
        <v>12</v>
      </c>
      <c r="H1239">
        <v>79</v>
      </c>
      <c r="I1239">
        <v>96</v>
      </c>
      <c r="J1239">
        <v>2</v>
      </c>
      <c r="K1239">
        <v>0</v>
      </c>
      <c r="L1239" t="str">
        <f t="shared" si="247"/>
        <v>C1238</v>
      </c>
      <c r="M1239" t="str">
        <f t="shared" si="248"/>
        <v>Female</v>
      </c>
      <c r="N1239" t="str">
        <f t="shared" si="249"/>
        <v>Bachelor's Type 1</v>
      </c>
      <c r="O1239" t="str">
        <f t="shared" si="250"/>
        <v>Senior Level</v>
      </c>
      <c r="P1239" t="str">
        <f t="shared" si="251"/>
        <v>Low</v>
      </c>
      <c r="Q1239" t="str">
        <f t="shared" si="252"/>
        <v>Advanced</v>
      </c>
      <c r="R1239" t="str">
        <f t="shared" si="253"/>
        <v>Strong</v>
      </c>
      <c r="S1239" t="str">
        <f t="shared" si="254"/>
        <v>Not Hired</v>
      </c>
      <c r="T1239">
        <f t="shared" si="255"/>
        <v>64</v>
      </c>
      <c r="U1239" t="str">
        <f t="shared" si="256"/>
        <v>Developing</v>
      </c>
      <c r="V1239" t="str">
        <f t="shared" si="257"/>
        <v>Personality</v>
      </c>
      <c r="W1239" t="str">
        <f t="shared" si="258"/>
        <v>Interview Preparation</v>
      </c>
      <c r="X1239" t="str">
        <f t="shared" si="259"/>
        <v>Improve interview preparation and communication</v>
      </c>
    </row>
    <row r="1240" spans="1:24" x14ac:dyDescent="0.3">
      <c r="A1240">
        <v>41</v>
      </c>
      <c r="B1240">
        <v>0</v>
      </c>
      <c r="C1240">
        <v>2</v>
      </c>
      <c r="D1240">
        <v>6</v>
      </c>
      <c r="E1240">
        <v>4</v>
      </c>
      <c r="F1240">
        <v>1.1979971506071301</v>
      </c>
      <c r="G1240">
        <v>8</v>
      </c>
      <c r="H1240">
        <v>10</v>
      </c>
      <c r="I1240">
        <v>67</v>
      </c>
      <c r="J1240">
        <v>1</v>
      </c>
      <c r="K1240">
        <v>1</v>
      </c>
      <c r="L1240" t="str">
        <f t="shared" si="247"/>
        <v>C1239</v>
      </c>
      <c r="M1240" t="str">
        <f t="shared" si="248"/>
        <v>Male</v>
      </c>
      <c r="N1240" t="str">
        <f t="shared" si="249"/>
        <v>Bachelor's Type 2</v>
      </c>
      <c r="O1240" t="str">
        <f t="shared" si="250"/>
        <v>Mid Level</v>
      </c>
      <c r="P1240" t="str">
        <f t="shared" si="251"/>
        <v>Low</v>
      </c>
      <c r="Q1240" t="str">
        <f t="shared" si="252"/>
        <v>Beginner</v>
      </c>
      <c r="R1240" t="str">
        <f t="shared" si="253"/>
        <v>Good</v>
      </c>
      <c r="S1240" t="str">
        <f t="shared" si="254"/>
        <v>Hired</v>
      </c>
      <c r="T1240">
        <f t="shared" si="255"/>
        <v>27</v>
      </c>
      <c r="U1240" t="str">
        <f t="shared" si="256"/>
        <v>Needs Improvement</v>
      </c>
      <c r="V1240" t="str">
        <f t="shared" si="257"/>
        <v>Personality</v>
      </c>
      <c r="W1240" t="str">
        <f t="shared" si="258"/>
        <v>Interview Preparation</v>
      </c>
      <c r="X1240" t="str">
        <f t="shared" si="259"/>
        <v>Improve interview preparation and communication</v>
      </c>
    </row>
    <row r="1241" spans="1:24" x14ac:dyDescent="0.3">
      <c r="A1241">
        <v>45</v>
      </c>
      <c r="B1241">
        <v>0</v>
      </c>
      <c r="C1241">
        <v>2</v>
      </c>
      <c r="D1241">
        <v>1</v>
      </c>
      <c r="E1241">
        <v>5</v>
      </c>
      <c r="F1241">
        <v>26.058136572874499</v>
      </c>
      <c r="G1241">
        <v>10</v>
      </c>
      <c r="H1241">
        <v>95</v>
      </c>
      <c r="I1241">
        <v>44</v>
      </c>
      <c r="J1241">
        <v>2</v>
      </c>
      <c r="K1241">
        <v>0</v>
      </c>
      <c r="L1241" t="str">
        <f t="shared" si="247"/>
        <v>C1240</v>
      </c>
      <c r="M1241" t="str">
        <f t="shared" si="248"/>
        <v>Male</v>
      </c>
      <c r="N1241" t="str">
        <f t="shared" si="249"/>
        <v>Bachelor's Type 2</v>
      </c>
      <c r="O1241" t="str">
        <f t="shared" si="250"/>
        <v>Entry Level</v>
      </c>
      <c r="P1241" t="str">
        <f t="shared" si="251"/>
        <v>Low</v>
      </c>
      <c r="Q1241" t="str">
        <f t="shared" si="252"/>
        <v>Advanced</v>
      </c>
      <c r="R1241" t="str">
        <f t="shared" si="253"/>
        <v>Needs Improvement</v>
      </c>
      <c r="S1241" t="str">
        <f t="shared" si="254"/>
        <v>Not Hired</v>
      </c>
      <c r="T1241">
        <f t="shared" si="255"/>
        <v>44</v>
      </c>
      <c r="U1241" t="str">
        <f t="shared" si="256"/>
        <v>Needs Improvement</v>
      </c>
      <c r="V1241" t="str">
        <f t="shared" si="257"/>
        <v>Technical Skills</v>
      </c>
      <c r="W1241" t="str">
        <f t="shared" si="258"/>
        <v>Interview Preparation</v>
      </c>
      <c r="X1241" t="str">
        <f t="shared" si="259"/>
        <v>Improve interview preparation and communication</v>
      </c>
    </row>
    <row r="1242" spans="1:24" x14ac:dyDescent="0.3">
      <c r="A1242">
        <v>49</v>
      </c>
      <c r="B1242">
        <v>0</v>
      </c>
      <c r="C1242">
        <v>3</v>
      </c>
      <c r="D1242">
        <v>5</v>
      </c>
      <c r="E1242">
        <v>3</v>
      </c>
      <c r="F1242">
        <v>20.188622898870399</v>
      </c>
      <c r="G1242">
        <v>74</v>
      </c>
      <c r="H1242">
        <v>5</v>
      </c>
      <c r="I1242">
        <v>74</v>
      </c>
      <c r="J1242">
        <v>2</v>
      </c>
      <c r="K1242">
        <v>0</v>
      </c>
      <c r="L1242" t="str">
        <f t="shared" si="247"/>
        <v>C1241</v>
      </c>
      <c r="M1242" t="str">
        <f t="shared" si="248"/>
        <v>Male</v>
      </c>
      <c r="N1242" t="str">
        <f t="shared" si="249"/>
        <v>Master's</v>
      </c>
      <c r="O1242" t="str">
        <f t="shared" si="250"/>
        <v>Mid Level</v>
      </c>
      <c r="P1242" t="str">
        <f t="shared" si="251"/>
        <v>Average</v>
      </c>
      <c r="Q1242" t="str">
        <f t="shared" si="252"/>
        <v>Beginner</v>
      </c>
      <c r="R1242" t="str">
        <f t="shared" si="253"/>
        <v>Good</v>
      </c>
      <c r="S1242" t="str">
        <f t="shared" si="254"/>
        <v>Not Hired</v>
      </c>
      <c r="T1242">
        <f t="shared" si="255"/>
        <v>47</v>
      </c>
      <c r="U1242" t="str">
        <f t="shared" si="256"/>
        <v>Needs Improvement</v>
      </c>
      <c r="V1242" t="str">
        <f t="shared" si="257"/>
        <v>Interview</v>
      </c>
      <c r="W1242" t="str">
        <f t="shared" si="258"/>
        <v>Technical Skills</v>
      </c>
      <c r="X1242" t="str">
        <f t="shared" si="259"/>
        <v>Strengthen technical skills and practical knowledge</v>
      </c>
    </row>
    <row r="1243" spans="1:24" x14ac:dyDescent="0.3">
      <c r="A1243">
        <v>31</v>
      </c>
      <c r="B1243">
        <v>1</v>
      </c>
      <c r="C1243">
        <v>2</v>
      </c>
      <c r="D1243">
        <v>1</v>
      </c>
      <c r="E1243">
        <v>1</v>
      </c>
      <c r="F1243">
        <v>49.603966773727798</v>
      </c>
      <c r="G1243">
        <v>69</v>
      </c>
      <c r="H1243">
        <v>34</v>
      </c>
      <c r="I1243">
        <v>41</v>
      </c>
      <c r="J1243">
        <v>1</v>
      </c>
      <c r="K1243">
        <v>0</v>
      </c>
      <c r="L1243" t="str">
        <f t="shared" si="247"/>
        <v>C1242</v>
      </c>
      <c r="M1243" t="str">
        <f t="shared" si="248"/>
        <v>Female</v>
      </c>
      <c r="N1243" t="str">
        <f t="shared" si="249"/>
        <v>Bachelor's Type 2</v>
      </c>
      <c r="O1243" t="str">
        <f t="shared" si="250"/>
        <v>Entry Level</v>
      </c>
      <c r="P1243" t="str">
        <f t="shared" si="251"/>
        <v>Average</v>
      </c>
      <c r="Q1243" t="str">
        <f t="shared" si="252"/>
        <v>Beginner</v>
      </c>
      <c r="R1243" t="str">
        <f t="shared" si="253"/>
        <v>Needs Improvement</v>
      </c>
      <c r="S1243" t="str">
        <f t="shared" si="254"/>
        <v>Not Hired</v>
      </c>
      <c r="T1243">
        <f t="shared" si="255"/>
        <v>43</v>
      </c>
      <c r="U1243" t="str">
        <f t="shared" si="256"/>
        <v>Needs Improvement</v>
      </c>
      <c r="V1243" t="str">
        <f t="shared" si="257"/>
        <v>Interview</v>
      </c>
      <c r="W1243" t="str">
        <f t="shared" si="258"/>
        <v>Technical Skills</v>
      </c>
      <c r="X1243" t="str">
        <f t="shared" si="259"/>
        <v>Strengthen technical skills and practical knowledge</v>
      </c>
    </row>
    <row r="1244" spans="1:24" x14ac:dyDescent="0.3">
      <c r="A1244">
        <v>44</v>
      </c>
      <c r="B1244">
        <v>1</v>
      </c>
      <c r="C1244">
        <v>4</v>
      </c>
      <c r="D1244">
        <v>14</v>
      </c>
      <c r="E1244">
        <v>2</v>
      </c>
      <c r="F1244">
        <v>8.9579541996914909</v>
      </c>
      <c r="G1244">
        <v>0</v>
      </c>
      <c r="H1244">
        <v>32</v>
      </c>
      <c r="I1244">
        <v>46</v>
      </c>
      <c r="J1244">
        <v>1</v>
      </c>
      <c r="K1244">
        <v>1</v>
      </c>
      <c r="L1244" t="str">
        <f t="shared" si="247"/>
        <v>C1243</v>
      </c>
      <c r="M1244" t="str">
        <f t="shared" si="248"/>
        <v>Female</v>
      </c>
      <c r="N1244" t="str">
        <f t="shared" si="249"/>
        <v>PhD</v>
      </c>
      <c r="O1244" t="str">
        <f t="shared" si="250"/>
        <v>Senior Level</v>
      </c>
      <c r="P1244" t="str">
        <f t="shared" si="251"/>
        <v>Low</v>
      </c>
      <c r="Q1244" t="str">
        <f t="shared" si="252"/>
        <v>Beginner</v>
      </c>
      <c r="R1244" t="str">
        <f t="shared" si="253"/>
        <v>Needs Improvement</v>
      </c>
      <c r="S1244" t="str">
        <f t="shared" si="254"/>
        <v>Hired</v>
      </c>
      <c r="T1244">
        <f t="shared" si="255"/>
        <v>38</v>
      </c>
      <c r="U1244" t="str">
        <f t="shared" si="256"/>
        <v>Needs Improvement</v>
      </c>
      <c r="V1244" t="str">
        <f t="shared" si="257"/>
        <v>Personality</v>
      </c>
      <c r="W1244" t="str">
        <f t="shared" si="258"/>
        <v>Interview Preparation</v>
      </c>
      <c r="X1244" t="str">
        <f t="shared" si="259"/>
        <v>Improve interview preparation and communication</v>
      </c>
    </row>
    <row r="1245" spans="1:24" x14ac:dyDescent="0.3">
      <c r="A1245">
        <v>36</v>
      </c>
      <c r="B1245">
        <v>0</v>
      </c>
      <c r="C1245">
        <v>4</v>
      </c>
      <c r="D1245">
        <v>0</v>
      </c>
      <c r="E1245">
        <v>2</v>
      </c>
      <c r="F1245">
        <v>18.707709837974701</v>
      </c>
      <c r="G1245">
        <v>69</v>
      </c>
      <c r="H1245">
        <v>17</v>
      </c>
      <c r="I1245">
        <v>4</v>
      </c>
      <c r="J1245">
        <v>3</v>
      </c>
      <c r="K1245">
        <v>0</v>
      </c>
      <c r="L1245" t="str">
        <f t="shared" si="247"/>
        <v>C1244</v>
      </c>
      <c r="M1245" t="str">
        <f t="shared" si="248"/>
        <v>Male</v>
      </c>
      <c r="N1245" t="str">
        <f t="shared" si="249"/>
        <v>PhD</v>
      </c>
      <c r="O1245" t="str">
        <f t="shared" si="250"/>
        <v>Entry Level</v>
      </c>
      <c r="P1245" t="str">
        <f t="shared" si="251"/>
        <v>Average</v>
      </c>
      <c r="Q1245" t="str">
        <f t="shared" si="252"/>
        <v>Beginner</v>
      </c>
      <c r="R1245" t="str">
        <f t="shared" si="253"/>
        <v>Needs Improvement</v>
      </c>
      <c r="S1245" t="str">
        <f t="shared" si="254"/>
        <v>Not Hired</v>
      </c>
      <c r="T1245">
        <f t="shared" si="255"/>
        <v>32</v>
      </c>
      <c r="U1245" t="str">
        <f t="shared" si="256"/>
        <v>Needs Improvement</v>
      </c>
      <c r="V1245" t="str">
        <f t="shared" si="257"/>
        <v>Interview</v>
      </c>
      <c r="W1245" t="str">
        <f t="shared" si="258"/>
        <v>Personality &amp; Communication</v>
      </c>
      <c r="X1245" t="str">
        <f t="shared" si="259"/>
        <v>Work on communication and personality development</v>
      </c>
    </row>
    <row r="1246" spans="1:24" x14ac:dyDescent="0.3">
      <c r="A1246">
        <v>32</v>
      </c>
      <c r="B1246">
        <v>1</v>
      </c>
      <c r="C1246">
        <v>2</v>
      </c>
      <c r="D1246">
        <v>13</v>
      </c>
      <c r="E1246">
        <v>1</v>
      </c>
      <c r="F1246">
        <v>21.974074254490901</v>
      </c>
      <c r="G1246">
        <v>76</v>
      </c>
      <c r="H1246">
        <v>36</v>
      </c>
      <c r="I1246">
        <v>88</v>
      </c>
      <c r="J1246">
        <v>2</v>
      </c>
      <c r="K1246">
        <v>0</v>
      </c>
      <c r="L1246" t="str">
        <f t="shared" si="247"/>
        <v>C1245</v>
      </c>
      <c r="M1246" t="str">
        <f t="shared" si="248"/>
        <v>Female</v>
      </c>
      <c r="N1246" t="str">
        <f t="shared" si="249"/>
        <v>Bachelor's Type 2</v>
      </c>
      <c r="O1246" t="str">
        <f t="shared" si="250"/>
        <v>Senior Level</v>
      </c>
      <c r="P1246" t="str">
        <f t="shared" si="251"/>
        <v>Strong</v>
      </c>
      <c r="Q1246" t="str">
        <f t="shared" si="252"/>
        <v>Beginner</v>
      </c>
      <c r="R1246" t="str">
        <f t="shared" si="253"/>
        <v>Strong</v>
      </c>
      <c r="S1246" t="str">
        <f t="shared" si="254"/>
        <v>Not Hired</v>
      </c>
      <c r="T1246">
        <f t="shared" si="255"/>
        <v>67</v>
      </c>
      <c r="U1246" t="str">
        <f t="shared" si="256"/>
        <v>Developing</v>
      </c>
      <c r="V1246" t="str">
        <f t="shared" si="257"/>
        <v>Personality</v>
      </c>
      <c r="W1246" t="str">
        <f t="shared" si="258"/>
        <v>Technical Skills</v>
      </c>
      <c r="X1246" t="str">
        <f t="shared" si="259"/>
        <v>Strengthen technical skills and practical knowledge</v>
      </c>
    </row>
    <row r="1247" spans="1:24" x14ac:dyDescent="0.3">
      <c r="A1247">
        <v>39</v>
      </c>
      <c r="B1247">
        <v>0</v>
      </c>
      <c r="C1247">
        <v>4</v>
      </c>
      <c r="D1247">
        <v>6</v>
      </c>
      <c r="E1247">
        <v>2</v>
      </c>
      <c r="F1247">
        <v>20.534676855047401</v>
      </c>
      <c r="G1247">
        <v>85</v>
      </c>
      <c r="H1247">
        <v>12</v>
      </c>
      <c r="I1247">
        <v>48</v>
      </c>
      <c r="J1247">
        <v>3</v>
      </c>
      <c r="K1247">
        <v>0</v>
      </c>
      <c r="L1247" t="str">
        <f t="shared" si="247"/>
        <v>C1246</v>
      </c>
      <c r="M1247" t="str">
        <f t="shared" si="248"/>
        <v>Male</v>
      </c>
      <c r="N1247" t="str">
        <f t="shared" si="249"/>
        <v>PhD</v>
      </c>
      <c r="O1247" t="str">
        <f t="shared" si="250"/>
        <v>Mid Level</v>
      </c>
      <c r="P1247" t="str">
        <f t="shared" si="251"/>
        <v>Strong</v>
      </c>
      <c r="Q1247" t="str">
        <f t="shared" si="252"/>
        <v>Beginner</v>
      </c>
      <c r="R1247" t="str">
        <f t="shared" si="253"/>
        <v>Needs Improvement</v>
      </c>
      <c r="S1247" t="str">
        <f t="shared" si="254"/>
        <v>Not Hired</v>
      </c>
      <c r="T1247">
        <f t="shared" si="255"/>
        <v>50</v>
      </c>
      <c r="U1247" t="str">
        <f t="shared" si="256"/>
        <v>Developing</v>
      </c>
      <c r="V1247" t="str">
        <f t="shared" si="257"/>
        <v>Interview</v>
      </c>
      <c r="W1247" t="str">
        <f t="shared" si="258"/>
        <v>Technical Skills</v>
      </c>
      <c r="X1247" t="str">
        <f t="shared" si="259"/>
        <v>Strengthen technical skills and practical knowledge</v>
      </c>
    </row>
    <row r="1248" spans="1:24" x14ac:dyDescent="0.3">
      <c r="A1248">
        <v>44</v>
      </c>
      <c r="B1248">
        <v>0</v>
      </c>
      <c r="C1248">
        <v>3</v>
      </c>
      <c r="D1248">
        <v>12</v>
      </c>
      <c r="E1248">
        <v>2</v>
      </c>
      <c r="F1248">
        <v>34.291541382593103</v>
      </c>
      <c r="G1248">
        <v>55</v>
      </c>
      <c r="H1248">
        <v>73</v>
      </c>
      <c r="I1248">
        <v>36</v>
      </c>
      <c r="J1248">
        <v>2</v>
      </c>
      <c r="K1248">
        <v>0</v>
      </c>
      <c r="L1248" t="str">
        <f t="shared" si="247"/>
        <v>C1247</v>
      </c>
      <c r="M1248" t="str">
        <f t="shared" si="248"/>
        <v>Male</v>
      </c>
      <c r="N1248" t="str">
        <f t="shared" si="249"/>
        <v>Master's</v>
      </c>
      <c r="O1248" t="str">
        <f t="shared" si="250"/>
        <v>Senior Level</v>
      </c>
      <c r="P1248" t="str">
        <f t="shared" si="251"/>
        <v>Average</v>
      </c>
      <c r="Q1248" t="str">
        <f t="shared" si="252"/>
        <v>Intermediate</v>
      </c>
      <c r="R1248" t="str">
        <f t="shared" si="253"/>
        <v>Needs Improvement</v>
      </c>
      <c r="S1248" t="str">
        <f t="shared" si="254"/>
        <v>Not Hired</v>
      </c>
      <c r="T1248">
        <f t="shared" si="255"/>
        <v>61</v>
      </c>
      <c r="U1248" t="str">
        <f t="shared" si="256"/>
        <v>Developing</v>
      </c>
      <c r="V1248" t="str">
        <f t="shared" si="257"/>
        <v>Technical Skills</v>
      </c>
      <c r="W1248" t="str">
        <f t="shared" si="258"/>
        <v>Personality &amp; Communication</v>
      </c>
      <c r="X1248" t="str">
        <f t="shared" si="259"/>
        <v>Work on communication and personality development</v>
      </c>
    </row>
    <row r="1249" spans="1:24" x14ac:dyDescent="0.3">
      <c r="A1249">
        <v>23</v>
      </c>
      <c r="B1249">
        <v>1</v>
      </c>
      <c r="C1249">
        <v>2</v>
      </c>
      <c r="D1249">
        <v>15</v>
      </c>
      <c r="E1249">
        <v>1</v>
      </c>
      <c r="F1249">
        <v>11.7756428773884</v>
      </c>
      <c r="G1249">
        <v>30</v>
      </c>
      <c r="H1249">
        <v>100</v>
      </c>
      <c r="I1249">
        <v>33</v>
      </c>
      <c r="J1249">
        <v>2</v>
      </c>
      <c r="K1249">
        <v>0</v>
      </c>
      <c r="L1249" t="str">
        <f t="shared" si="247"/>
        <v>C1248</v>
      </c>
      <c r="M1249" t="str">
        <f t="shared" si="248"/>
        <v>Female</v>
      </c>
      <c r="N1249" t="str">
        <f t="shared" si="249"/>
        <v>Bachelor's Type 2</v>
      </c>
      <c r="O1249" t="str">
        <f t="shared" si="250"/>
        <v>Senior Level</v>
      </c>
      <c r="P1249" t="str">
        <f t="shared" si="251"/>
        <v>Low</v>
      </c>
      <c r="Q1249" t="str">
        <f t="shared" si="252"/>
        <v>Advanced</v>
      </c>
      <c r="R1249" t="str">
        <f t="shared" si="253"/>
        <v>Needs Improvement</v>
      </c>
      <c r="S1249" t="str">
        <f t="shared" si="254"/>
        <v>Not Hired</v>
      </c>
      <c r="T1249">
        <f t="shared" si="255"/>
        <v>63</v>
      </c>
      <c r="U1249" t="str">
        <f t="shared" si="256"/>
        <v>Developing</v>
      </c>
      <c r="V1249" t="str">
        <f t="shared" si="257"/>
        <v>Technical Skills</v>
      </c>
      <c r="W1249" t="str">
        <f t="shared" si="258"/>
        <v>Interview Preparation</v>
      </c>
      <c r="X1249" t="str">
        <f t="shared" si="259"/>
        <v>Improve interview preparation and communication</v>
      </c>
    </row>
    <row r="1250" spans="1:24" x14ac:dyDescent="0.3">
      <c r="A1250">
        <v>29</v>
      </c>
      <c r="B1250">
        <v>1</v>
      </c>
      <c r="C1250">
        <v>1</v>
      </c>
      <c r="D1250">
        <v>1</v>
      </c>
      <c r="E1250">
        <v>1</v>
      </c>
      <c r="F1250">
        <v>12.053577640699499</v>
      </c>
      <c r="G1250">
        <v>85</v>
      </c>
      <c r="H1250">
        <v>89</v>
      </c>
      <c r="I1250">
        <v>72</v>
      </c>
      <c r="J1250">
        <v>2</v>
      </c>
      <c r="K1250">
        <v>0</v>
      </c>
      <c r="L1250" t="str">
        <f t="shared" si="247"/>
        <v>C1249</v>
      </c>
      <c r="M1250" t="str">
        <f t="shared" si="248"/>
        <v>Female</v>
      </c>
      <c r="N1250" t="str">
        <f t="shared" si="249"/>
        <v>Bachelor's Type 1</v>
      </c>
      <c r="O1250" t="str">
        <f t="shared" si="250"/>
        <v>Entry Level</v>
      </c>
      <c r="P1250" t="str">
        <f t="shared" si="251"/>
        <v>Strong</v>
      </c>
      <c r="Q1250" t="str">
        <f t="shared" si="252"/>
        <v>Advanced</v>
      </c>
      <c r="R1250" t="str">
        <f t="shared" si="253"/>
        <v>Good</v>
      </c>
      <c r="S1250" t="str">
        <f t="shared" si="254"/>
        <v>Not Hired</v>
      </c>
      <c r="T1250">
        <f t="shared" si="255"/>
        <v>70</v>
      </c>
      <c r="U1250" t="str">
        <f t="shared" si="256"/>
        <v>Developing</v>
      </c>
      <c r="V1250" t="str">
        <f t="shared" si="257"/>
        <v>Technical Skills</v>
      </c>
      <c r="W1250" t="str">
        <f t="shared" si="258"/>
        <v>Personality &amp; Communication</v>
      </c>
      <c r="X1250" t="str">
        <f t="shared" si="259"/>
        <v>Work on communication and personality development</v>
      </c>
    </row>
    <row r="1251" spans="1:24" x14ac:dyDescent="0.3">
      <c r="A1251">
        <v>22</v>
      </c>
      <c r="B1251">
        <v>1</v>
      </c>
      <c r="C1251">
        <v>2</v>
      </c>
      <c r="D1251">
        <v>12</v>
      </c>
      <c r="E1251">
        <v>3</v>
      </c>
      <c r="F1251">
        <v>37.460547425042598</v>
      </c>
      <c r="G1251">
        <v>36</v>
      </c>
      <c r="H1251">
        <v>80</v>
      </c>
      <c r="I1251">
        <v>69</v>
      </c>
      <c r="J1251">
        <v>2</v>
      </c>
      <c r="K1251">
        <v>0</v>
      </c>
      <c r="L1251" t="str">
        <f t="shared" si="247"/>
        <v>C1250</v>
      </c>
      <c r="M1251" t="str">
        <f t="shared" si="248"/>
        <v>Female</v>
      </c>
      <c r="N1251" t="str">
        <f t="shared" si="249"/>
        <v>Bachelor's Type 2</v>
      </c>
      <c r="O1251" t="str">
        <f t="shared" si="250"/>
        <v>Senior Level</v>
      </c>
      <c r="P1251" t="str">
        <f t="shared" si="251"/>
        <v>Low</v>
      </c>
      <c r="Q1251" t="str">
        <f t="shared" si="252"/>
        <v>Advanced</v>
      </c>
      <c r="R1251" t="str">
        <f t="shared" si="253"/>
        <v>Good</v>
      </c>
      <c r="S1251" t="str">
        <f t="shared" si="254"/>
        <v>Not Hired</v>
      </c>
      <c r="T1251">
        <f t="shared" si="255"/>
        <v>63</v>
      </c>
      <c r="U1251" t="str">
        <f t="shared" si="256"/>
        <v>Developing</v>
      </c>
      <c r="V1251" t="str">
        <f t="shared" si="257"/>
        <v>Technical Skills</v>
      </c>
      <c r="W1251" t="str">
        <f t="shared" si="258"/>
        <v>Interview Preparation</v>
      </c>
      <c r="X1251" t="str">
        <f t="shared" si="259"/>
        <v>Improve interview preparation and communication</v>
      </c>
    </row>
    <row r="1252" spans="1:24" x14ac:dyDescent="0.3">
      <c r="A1252">
        <v>28</v>
      </c>
      <c r="B1252">
        <v>1</v>
      </c>
      <c r="C1252">
        <v>2</v>
      </c>
      <c r="D1252">
        <v>13</v>
      </c>
      <c r="E1252">
        <v>3</v>
      </c>
      <c r="F1252">
        <v>26.014525933908899</v>
      </c>
      <c r="G1252">
        <v>46</v>
      </c>
      <c r="H1252">
        <v>63</v>
      </c>
      <c r="I1252">
        <v>17</v>
      </c>
      <c r="J1252">
        <v>1</v>
      </c>
      <c r="K1252">
        <v>1</v>
      </c>
      <c r="L1252" t="str">
        <f t="shared" si="247"/>
        <v>C1251</v>
      </c>
      <c r="M1252" t="str">
        <f t="shared" si="248"/>
        <v>Female</v>
      </c>
      <c r="N1252" t="str">
        <f t="shared" si="249"/>
        <v>Bachelor's Type 2</v>
      </c>
      <c r="O1252" t="str">
        <f t="shared" si="250"/>
        <v>Senior Level</v>
      </c>
      <c r="P1252" t="str">
        <f t="shared" si="251"/>
        <v>Low</v>
      </c>
      <c r="Q1252" t="str">
        <f t="shared" si="252"/>
        <v>Intermediate</v>
      </c>
      <c r="R1252" t="str">
        <f t="shared" si="253"/>
        <v>Needs Improvement</v>
      </c>
      <c r="S1252" t="str">
        <f t="shared" si="254"/>
        <v>Hired</v>
      </c>
      <c r="T1252">
        <f t="shared" si="255"/>
        <v>52</v>
      </c>
      <c r="U1252" t="str">
        <f t="shared" si="256"/>
        <v>Developing</v>
      </c>
      <c r="V1252" t="str">
        <f t="shared" si="257"/>
        <v>Technical Skills</v>
      </c>
      <c r="W1252" t="str">
        <f t="shared" si="258"/>
        <v>Personality &amp; Communication</v>
      </c>
      <c r="X1252" t="str">
        <f t="shared" si="259"/>
        <v>Work on communication and personality development</v>
      </c>
    </row>
    <row r="1253" spans="1:24" x14ac:dyDescent="0.3">
      <c r="A1253">
        <v>32</v>
      </c>
      <c r="B1253">
        <v>0</v>
      </c>
      <c r="C1253">
        <v>3</v>
      </c>
      <c r="D1253">
        <v>13</v>
      </c>
      <c r="E1253">
        <v>1</v>
      </c>
      <c r="F1253">
        <v>21.7577838028655</v>
      </c>
      <c r="G1253">
        <v>90</v>
      </c>
      <c r="H1253">
        <v>0</v>
      </c>
      <c r="I1253">
        <v>77</v>
      </c>
      <c r="J1253">
        <v>2</v>
      </c>
      <c r="K1253">
        <v>1</v>
      </c>
      <c r="L1253" t="str">
        <f t="shared" si="247"/>
        <v>C1252</v>
      </c>
      <c r="M1253" t="str">
        <f t="shared" si="248"/>
        <v>Male</v>
      </c>
      <c r="N1253" t="str">
        <f t="shared" si="249"/>
        <v>Master's</v>
      </c>
      <c r="O1253" t="str">
        <f t="shared" si="250"/>
        <v>Senior Level</v>
      </c>
      <c r="P1253" t="str">
        <f t="shared" si="251"/>
        <v>Strong</v>
      </c>
      <c r="Q1253" t="str">
        <f t="shared" si="252"/>
        <v>Beginner</v>
      </c>
      <c r="R1253" t="str">
        <f t="shared" si="253"/>
        <v>Strong</v>
      </c>
      <c r="S1253" t="str">
        <f t="shared" si="254"/>
        <v>Hired</v>
      </c>
      <c r="T1253">
        <f t="shared" si="255"/>
        <v>59</v>
      </c>
      <c r="U1253" t="str">
        <f t="shared" si="256"/>
        <v>Developing</v>
      </c>
      <c r="V1253" t="str">
        <f t="shared" si="257"/>
        <v>Interview</v>
      </c>
      <c r="W1253" t="str">
        <f t="shared" si="258"/>
        <v>Technical Skills</v>
      </c>
      <c r="X1253" t="str">
        <f t="shared" si="259"/>
        <v>Strengthen technical skills and practical knowledge</v>
      </c>
    </row>
    <row r="1254" spans="1:24" x14ac:dyDescent="0.3">
      <c r="A1254">
        <v>37</v>
      </c>
      <c r="B1254">
        <v>0</v>
      </c>
      <c r="C1254">
        <v>2</v>
      </c>
      <c r="D1254">
        <v>1</v>
      </c>
      <c r="E1254">
        <v>4</v>
      </c>
      <c r="F1254">
        <v>9.4601525838625893</v>
      </c>
      <c r="G1254">
        <v>77</v>
      </c>
      <c r="H1254">
        <v>62</v>
      </c>
      <c r="I1254">
        <v>18</v>
      </c>
      <c r="J1254">
        <v>2</v>
      </c>
      <c r="K1254">
        <v>0</v>
      </c>
      <c r="L1254" t="str">
        <f t="shared" si="247"/>
        <v>C1253</v>
      </c>
      <c r="M1254" t="str">
        <f t="shared" si="248"/>
        <v>Male</v>
      </c>
      <c r="N1254" t="str">
        <f t="shared" si="249"/>
        <v>Bachelor's Type 2</v>
      </c>
      <c r="O1254" t="str">
        <f t="shared" si="250"/>
        <v>Entry Level</v>
      </c>
      <c r="P1254" t="str">
        <f t="shared" si="251"/>
        <v>Strong</v>
      </c>
      <c r="Q1254" t="str">
        <f t="shared" si="252"/>
        <v>Intermediate</v>
      </c>
      <c r="R1254" t="str">
        <f t="shared" si="253"/>
        <v>Needs Improvement</v>
      </c>
      <c r="S1254" t="str">
        <f t="shared" si="254"/>
        <v>Not Hired</v>
      </c>
      <c r="T1254">
        <f t="shared" si="255"/>
        <v>49</v>
      </c>
      <c r="U1254" t="str">
        <f t="shared" si="256"/>
        <v>Needs Improvement</v>
      </c>
      <c r="V1254" t="str">
        <f t="shared" si="257"/>
        <v>Interview</v>
      </c>
      <c r="W1254" t="str">
        <f t="shared" si="258"/>
        <v>Personality &amp; Communication</v>
      </c>
      <c r="X1254" t="str">
        <f t="shared" si="259"/>
        <v>Work on communication and personality development</v>
      </c>
    </row>
    <row r="1255" spans="1:24" x14ac:dyDescent="0.3">
      <c r="A1255">
        <v>34</v>
      </c>
      <c r="B1255">
        <v>0</v>
      </c>
      <c r="C1255">
        <v>3</v>
      </c>
      <c r="D1255">
        <v>12</v>
      </c>
      <c r="E1255">
        <v>2</v>
      </c>
      <c r="F1255">
        <v>10.3763611456083</v>
      </c>
      <c r="G1255">
        <v>46</v>
      </c>
      <c r="H1255">
        <v>88</v>
      </c>
      <c r="I1255">
        <v>77</v>
      </c>
      <c r="J1255">
        <v>1</v>
      </c>
      <c r="K1255">
        <v>1</v>
      </c>
      <c r="L1255" t="str">
        <f t="shared" si="247"/>
        <v>C1254</v>
      </c>
      <c r="M1255" t="str">
        <f t="shared" si="248"/>
        <v>Male</v>
      </c>
      <c r="N1255" t="str">
        <f t="shared" si="249"/>
        <v>Master's</v>
      </c>
      <c r="O1255" t="str">
        <f t="shared" si="250"/>
        <v>Senior Level</v>
      </c>
      <c r="P1255" t="str">
        <f t="shared" si="251"/>
        <v>Low</v>
      </c>
      <c r="Q1255" t="str">
        <f t="shared" si="252"/>
        <v>Advanced</v>
      </c>
      <c r="R1255" t="str">
        <f t="shared" si="253"/>
        <v>Strong</v>
      </c>
      <c r="S1255" t="str">
        <f t="shared" si="254"/>
        <v>Hired</v>
      </c>
      <c r="T1255">
        <f t="shared" si="255"/>
        <v>71</v>
      </c>
      <c r="U1255" t="str">
        <f t="shared" si="256"/>
        <v>Developing</v>
      </c>
      <c r="V1255" t="str">
        <f t="shared" si="257"/>
        <v>Technical Skills</v>
      </c>
      <c r="W1255" t="str">
        <f t="shared" si="258"/>
        <v>Interview Preparation</v>
      </c>
      <c r="X1255" t="str">
        <f t="shared" si="259"/>
        <v>Improve interview preparation and communication</v>
      </c>
    </row>
    <row r="1256" spans="1:24" x14ac:dyDescent="0.3">
      <c r="A1256">
        <v>23</v>
      </c>
      <c r="B1256">
        <v>0</v>
      </c>
      <c r="C1256">
        <v>2</v>
      </c>
      <c r="D1256">
        <v>10</v>
      </c>
      <c r="E1256">
        <v>3</v>
      </c>
      <c r="F1256">
        <v>1.5275818407950199</v>
      </c>
      <c r="G1256">
        <v>68</v>
      </c>
      <c r="H1256">
        <v>33</v>
      </c>
      <c r="I1256">
        <v>39</v>
      </c>
      <c r="J1256">
        <v>1</v>
      </c>
      <c r="K1256">
        <v>0</v>
      </c>
      <c r="L1256" t="str">
        <f t="shared" si="247"/>
        <v>C1255</v>
      </c>
      <c r="M1256" t="str">
        <f t="shared" si="248"/>
        <v>Male</v>
      </c>
      <c r="N1256" t="str">
        <f t="shared" si="249"/>
        <v>Bachelor's Type 2</v>
      </c>
      <c r="O1256" t="str">
        <f t="shared" si="250"/>
        <v>Senior Level</v>
      </c>
      <c r="P1256" t="str">
        <f t="shared" si="251"/>
        <v>Average</v>
      </c>
      <c r="Q1256" t="str">
        <f t="shared" si="252"/>
        <v>Beginner</v>
      </c>
      <c r="R1256" t="str">
        <f t="shared" si="253"/>
        <v>Needs Improvement</v>
      </c>
      <c r="S1256" t="str">
        <f t="shared" si="254"/>
        <v>Not Hired</v>
      </c>
      <c r="T1256">
        <f t="shared" si="255"/>
        <v>51</v>
      </c>
      <c r="U1256" t="str">
        <f t="shared" si="256"/>
        <v>Developing</v>
      </c>
      <c r="V1256" t="str">
        <f t="shared" si="257"/>
        <v>Interview</v>
      </c>
      <c r="W1256" t="str">
        <f t="shared" si="258"/>
        <v>Technical Skills</v>
      </c>
      <c r="X1256" t="str">
        <f t="shared" si="259"/>
        <v>Strengthen technical skills and practical knowledge</v>
      </c>
    </row>
    <row r="1257" spans="1:24" x14ac:dyDescent="0.3">
      <c r="A1257">
        <v>34</v>
      </c>
      <c r="B1257">
        <v>0</v>
      </c>
      <c r="C1257">
        <v>1</v>
      </c>
      <c r="D1257">
        <v>4</v>
      </c>
      <c r="E1257">
        <v>2</v>
      </c>
      <c r="F1257">
        <v>5.5713134430854598</v>
      </c>
      <c r="G1257">
        <v>57</v>
      </c>
      <c r="H1257">
        <v>9</v>
      </c>
      <c r="I1257">
        <v>16</v>
      </c>
      <c r="J1257">
        <v>1</v>
      </c>
      <c r="K1257">
        <v>0</v>
      </c>
      <c r="L1257" t="str">
        <f t="shared" si="247"/>
        <v>C1256</v>
      </c>
      <c r="M1257" t="str">
        <f t="shared" si="248"/>
        <v>Male</v>
      </c>
      <c r="N1257" t="str">
        <f t="shared" si="249"/>
        <v>Bachelor's Type 1</v>
      </c>
      <c r="O1257" t="str">
        <f t="shared" si="250"/>
        <v>Mid Level</v>
      </c>
      <c r="P1257" t="str">
        <f t="shared" si="251"/>
        <v>Average</v>
      </c>
      <c r="Q1257" t="str">
        <f t="shared" si="252"/>
        <v>Beginner</v>
      </c>
      <c r="R1257" t="str">
        <f t="shared" si="253"/>
        <v>Needs Improvement</v>
      </c>
      <c r="S1257" t="str">
        <f t="shared" si="254"/>
        <v>Not Hired</v>
      </c>
      <c r="T1257">
        <f t="shared" si="255"/>
        <v>30</v>
      </c>
      <c r="U1257" t="str">
        <f t="shared" si="256"/>
        <v>Needs Improvement</v>
      </c>
      <c r="V1257" t="str">
        <f t="shared" si="257"/>
        <v>Interview</v>
      </c>
      <c r="W1257" t="str">
        <f t="shared" si="258"/>
        <v>Technical Skills</v>
      </c>
      <c r="X1257" t="str">
        <f t="shared" si="259"/>
        <v>Strengthen technical skills and practical knowledge</v>
      </c>
    </row>
    <row r="1258" spans="1:24" x14ac:dyDescent="0.3">
      <c r="A1258">
        <v>41</v>
      </c>
      <c r="B1258">
        <v>1</v>
      </c>
      <c r="C1258">
        <v>4</v>
      </c>
      <c r="D1258">
        <v>13</v>
      </c>
      <c r="E1258">
        <v>5</v>
      </c>
      <c r="F1258">
        <v>28.841934734512002</v>
      </c>
      <c r="G1258">
        <v>35</v>
      </c>
      <c r="H1258">
        <v>83</v>
      </c>
      <c r="I1258">
        <v>59</v>
      </c>
      <c r="J1258">
        <v>2</v>
      </c>
      <c r="K1258">
        <v>0</v>
      </c>
      <c r="L1258" t="str">
        <f t="shared" si="247"/>
        <v>C1257</v>
      </c>
      <c r="M1258" t="str">
        <f t="shared" si="248"/>
        <v>Female</v>
      </c>
      <c r="N1258" t="str">
        <f t="shared" si="249"/>
        <v>PhD</v>
      </c>
      <c r="O1258" t="str">
        <f t="shared" si="250"/>
        <v>Senior Level</v>
      </c>
      <c r="P1258" t="str">
        <f t="shared" si="251"/>
        <v>Low</v>
      </c>
      <c r="Q1258" t="str">
        <f t="shared" si="252"/>
        <v>Advanced</v>
      </c>
      <c r="R1258" t="str">
        <f t="shared" si="253"/>
        <v>Good</v>
      </c>
      <c r="S1258" t="str">
        <f t="shared" si="254"/>
        <v>Not Hired</v>
      </c>
      <c r="T1258">
        <f t="shared" si="255"/>
        <v>65</v>
      </c>
      <c r="U1258" t="str">
        <f t="shared" si="256"/>
        <v>Developing</v>
      </c>
      <c r="V1258" t="str">
        <f t="shared" si="257"/>
        <v>Technical Skills</v>
      </c>
      <c r="W1258" t="str">
        <f t="shared" si="258"/>
        <v>Interview Preparation</v>
      </c>
      <c r="X1258" t="str">
        <f t="shared" si="259"/>
        <v>Improve interview preparation and communication</v>
      </c>
    </row>
    <row r="1259" spans="1:24" x14ac:dyDescent="0.3">
      <c r="A1259">
        <v>21</v>
      </c>
      <c r="B1259">
        <v>0</v>
      </c>
      <c r="C1259">
        <v>2</v>
      </c>
      <c r="D1259">
        <v>4</v>
      </c>
      <c r="E1259">
        <v>1</v>
      </c>
      <c r="F1259">
        <v>45.593656500420401</v>
      </c>
      <c r="G1259">
        <v>31</v>
      </c>
      <c r="H1259">
        <v>6</v>
      </c>
      <c r="I1259">
        <v>98</v>
      </c>
      <c r="J1259">
        <v>2</v>
      </c>
      <c r="K1259">
        <v>0</v>
      </c>
      <c r="L1259" t="str">
        <f t="shared" si="247"/>
        <v>C1258</v>
      </c>
      <c r="M1259" t="str">
        <f t="shared" si="248"/>
        <v>Male</v>
      </c>
      <c r="N1259" t="str">
        <f t="shared" si="249"/>
        <v>Bachelor's Type 2</v>
      </c>
      <c r="O1259" t="str">
        <f t="shared" si="250"/>
        <v>Mid Level</v>
      </c>
      <c r="P1259" t="str">
        <f t="shared" si="251"/>
        <v>Low</v>
      </c>
      <c r="Q1259" t="str">
        <f t="shared" si="252"/>
        <v>Beginner</v>
      </c>
      <c r="R1259" t="str">
        <f t="shared" si="253"/>
        <v>Strong</v>
      </c>
      <c r="S1259" t="str">
        <f t="shared" si="254"/>
        <v>Not Hired</v>
      </c>
      <c r="T1259">
        <f t="shared" si="255"/>
        <v>37</v>
      </c>
      <c r="U1259" t="str">
        <f t="shared" si="256"/>
        <v>Needs Improvement</v>
      </c>
      <c r="V1259" t="str">
        <f t="shared" si="257"/>
        <v>Personality</v>
      </c>
      <c r="W1259" t="str">
        <f t="shared" si="258"/>
        <v>Technical Skills</v>
      </c>
      <c r="X1259" t="str">
        <f t="shared" si="259"/>
        <v>Strengthen technical skills and practical knowledge</v>
      </c>
    </row>
    <row r="1260" spans="1:24" x14ac:dyDescent="0.3">
      <c r="A1260">
        <v>34</v>
      </c>
      <c r="B1260">
        <v>0</v>
      </c>
      <c r="C1260">
        <v>2</v>
      </c>
      <c r="D1260">
        <v>15</v>
      </c>
      <c r="E1260">
        <v>4</v>
      </c>
      <c r="F1260">
        <v>15.3582382565278</v>
      </c>
      <c r="G1260">
        <v>97</v>
      </c>
      <c r="H1260">
        <v>55</v>
      </c>
      <c r="I1260">
        <v>92</v>
      </c>
      <c r="J1260">
        <v>3</v>
      </c>
      <c r="K1260">
        <v>1</v>
      </c>
      <c r="L1260" t="str">
        <f t="shared" si="247"/>
        <v>C1259</v>
      </c>
      <c r="M1260" t="str">
        <f t="shared" si="248"/>
        <v>Male</v>
      </c>
      <c r="N1260" t="str">
        <f t="shared" si="249"/>
        <v>Bachelor's Type 2</v>
      </c>
      <c r="O1260" t="str">
        <f t="shared" si="250"/>
        <v>Senior Level</v>
      </c>
      <c r="P1260" t="str">
        <f t="shared" si="251"/>
        <v>Strong</v>
      </c>
      <c r="Q1260" t="str">
        <f t="shared" si="252"/>
        <v>Intermediate</v>
      </c>
      <c r="R1260" t="str">
        <f t="shared" si="253"/>
        <v>Strong</v>
      </c>
      <c r="S1260" t="str">
        <f t="shared" si="254"/>
        <v>Hired</v>
      </c>
      <c r="T1260">
        <f t="shared" si="255"/>
        <v>82</v>
      </c>
      <c r="U1260" t="str">
        <f t="shared" si="256"/>
        <v>Job Ready</v>
      </c>
      <c r="V1260" t="str">
        <f t="shared" si="257"/>
        <v>Interview</v>
      </c>
      <c r="W1260" t="str">
        <f t="shared" si="258"/>
        <v>Technical Skills</v>
      </c>
      <c r="X1260" t="str">
        <f t="shared" si="259"/>
        <v>Strengthen technical skills and practical knowledge</v>
      </c>
    </row>
    <row r="1261" spans="1:24" x14ac:dyDescent="0.3">
      <c r="A1261">
        <v>27</v>
      </c>
      <c r="B1261">
        <v>0</v>
      </c>
      <c r="C1261">
        <v>2</v>
      </c>
      <c r="D1261">
        <v>6</v>
      </c>
      <c r="E1261">
        <v>5</v>
      </c>
      <c r="F1261">
        <v>17.3873612948064</v>
      </c>
      <c r="G1261">
        <v>63</v>
      </c>
      <c r="H1261">
        <v>79</v>
      </c>
      <c r="I1261">
        <v>41</v>
      </c>
      <c r="J1261">
        <v>1</v>
      </c>
      <c r="K1261">
        <v>1</v>
      </c>
      <c r="L1261" t="str">
        <f t="shared" si="247"/>
        <v>C1260</v>
      </c>
      <c r="M1261" t="str">
        <f t="shared" si="248"/>
        <v>Male</v>
      </c>
      <c r="N1261" t="str">
        <f t="shared" si="249"/>
        <v>Bachelor's Type 2</v>
      </c>
      <c r="O1261" t="str">
        <f t="shared" si="250"/>
        <v>Mid Level</v>
      </c>
      <c r="P1261" t="str">
        <f t="shared" si="251"/>
        <v>Average</v>
      </c>
      <c r="Q1261" t="str">
        <f t="shared" si="252"/>
        <v>Advanced</v>
      </c>
      <c r="R1261" t="str">
        <f t="shared" si="253"/>
        <v>Needs Improvement</v>
      </c>
      <c r="S1261" t="str">
        <f t="shared" si="254"/>
        <v>Hired</v>
      </c>
      <c r="T1261">
        <f t="shared" si="255"/>
        <v>59</v>
      </c>
      <c r="U1261" t="str">
        <f t="shared" si="256"/>
        <v>Developing</v>
      </c>
      <c r="V1261" t="str">
        <f t="shared" si="257"/>
        <v>Technical Skills</v>
      </c>
      <c r="W1261" t="str">
        <f t="shared" si="258"/>
        <v>Personality &amp; Communication</v>
      </c>
      <c r="X1261" t="str">
        <f t="shared" si="259"/>
        <v>Work on communication and personality development</v>
      </c>
    </row>
    <row r="1262" spans="1:24" x14ac:dyDescent="0.3">
      <c r="A1262">
        <v>27</v>
      </c>
      <c r="B1262">
        <v>1</v>
      </c>
      <c r="C1262">
        <v>1</v>
      </c>
      <c r="D1262">
        <v>0</v>
      </c>
      <c r="E1262">
        <v>5</v>
      </c>
      <c r="F1262">
        <v>6.7802805305755998</v>
      </c>
      <c r="G1262">
        <v>70</v>
      </c>
      <c r="H1262">
        <v>36</v>
      </c>
      <c r="I1262">
        <v>80</v>
      </c>
      <c r="J1262">
        <v>1</v>
      </c>
      <c r="K1262">
        <v>0</v>
      </c>
      <c r="L1262" t="str">
        <f t="shared" si="247"/>
        <v>C1261</v>
      </c>
      <c r="M1262" t="str">
        <f t="shared" si="248"/>
        <v>Female</v>
      </c>
      <c r="N1262" t="str">
        <f t="shared" si="249"/>
        <v>Bachelor's Type 1</v>
      </c>
      <c r="O1262" t="str">
        <f t="shared" si="250"/>
        <v>Entry Level</v>
      </c>
      <c r="P1262" t="str">
        <f t="shared" si="251"/>
        <v>Average</v>
      </c>
      <c r="Q1262" t="str">
        <f t="shared" si="252"/>
        <v>Beginner</v>
      </c>
      <c r="R1262" t="str">
        <f t="shared" si="253"/>
        <v>Strong</v>
      </c>
      <c r="S1262" t="str">
        <f t="shared" si="254"/>
        <v>Not Hired</v>
      </c>
      <c r="T1262">
        <f t="shared" si="255"/>
        <v>50</v>
      </c>
      <c r="U1262" t="str">
        <f t="shared" si="256"/>
        <v>Developing</v>
      </c>
      <c r="V1262" t="str">
        <f t="shared" si="257"/>
        <v>Personality</v>
      </c>
      <c r="W1262" t="str">
        <f t="shared" si="258"/>
        <v>Technical Skills</v>
      </c>
      <c r="X1262" t="str">
        <f t="shared" si="259"/>
        <v>Strengthen technical skills and practical knowledge</v>
      </c>
    </row>
    <row r="1263" spans="1:24" x14ac:dyDescent="0.3">
      <c r="A1263">
        <v>36</v>
      </c>
      <c r="B1263">
        <v>1</v>
      </c>
      <c r="C1263">
        <v>2</v>
      </c>
      <c r="D1263">
        <v>7</v>
      </c>
      <c r="E1263">
        <v>5</v>
      </c>
      <c r="F1263">
        <v>20.431547280355101</v>
      </c>
      <c r="G1263">
        <v>41</v>
      </c>
      <c r="H1263">
        <v>28</v>
      </c>
      <c r="I1263">
        <v>71</v>
      </c>
      <c r="J1263">
        <v>2</v>
      </c>
      <c r="K1263">
        <v>0</v>
      </c>
      <c r="L1263" t="str">
        <f t="shared" si="247"/>
        <v>C1262</v>
      </c>
      <c r="M1263" t="str">
        <f t="shared" si="248"/>
        <v>Female</v>
      </c>
      <c r="N1263" t="str">
        <f t="shared" si="249"/>
        <v>Bachelor's Type 2</v>
      </c>
      <c r="O1263" t="str">
        <f t="shared" si="250"/>
        <v>Senior Level</v>
      </c>
      <c r="P1263" t="str">
        <f t="shared" si="251"/>
        <v>Low</v>
      </c>
      <c r="Q1263" t="str">
        <f t="shared" si="252"/>
        <v>Beginner</v>
      </c>
      <c r="R1263" t="str">
        <f t="shared" si="253"/>
        <v>Good</v>
      </c>
      <c r="S1263" t="str">
        <f t="shared" si="254"/>
        <v>Not Hired</v>
      </c>
      <c r="T1263">
        <f t="shared" si="255"/>
        <v>44</v>
      </c>
      <c r="U1263" t="str">
        <f t="shared" si="256"/>
        <v>Needs Improvement</v>
      </c>
      <c r="V1263" t="str">
        <f t="shared" si="257"/>
        <v>Personality</v>
      </c>
      <c r="W1263" t="str">
        <f t="shared" si="258"/>
        <v>Technical Skills</v>
      </c>
      <c r="X1263" t="str">
        <f t="shared" si="259"/>
        <v>Strengthen technical skills and practical knowledge</v>
      </c>
    </row>
    <row r="1264" spans="1:24" x14ac:dyDescent="0.3">
      <c r="A1264">
        <v>31</v>
      </c>
      <c r="B1264">
        <v>1</v>
      </c>
      <c r="C1264">
        <v>2</v>
      </c>
      <c r="D1264">
        <v>2</v>
      </c>
      <c r="E1264">
        <v>1</v>
      </c>
      <c r="F1264">
        <v>2.8610852284664499</v>
      </c>
      <c r="G1264">
        <v>47</v>
      </c>
      <c r="H1264">
        <v>11</v>
      </c>
      <c r="I1264">
        <v>64</v>
      </c>
      <c r="J1264">
        <v>3</v>
      </c>
      <c r="K1264">
        <v>0</v>
      </c>
      <c r="L1264" t="str">
        <f t="shared" si="247"/>
        <v>C1263</v>
      </c>
      <c r="M1264" t="str">
        <f t="shared" si="248"/>
        <v>Female</v>
      </c>
      <c r="N1264" t="str">
        <f t="shared" si="249"/>
        <v>Bachelor's Type 2</v>
      </c>
      <c r="O1264" t="str">
        <f t="shared" si="250"/>
        <v>Entry Level</v>
      </c>
      <c r="P1264" t="str">
        <f t="shared" si="251"/>
        <v>Low</v>
      </c>
      <c r="Q1264" t="str">
        <f t="shared" si="252"/>
        <v>Beginner</v>
      </c>
      <c r="R1264" t="str">
        <f t="shared" si="253"/>
        <v>Good</v>
      </c>
      <c r="S1264" t="str">
        <f t="shared" si="254"/>
        <v>Not Hired</v>
      </c>
      <c r="T1264">
        <f t="shared" si="255"/>
        <v>35</v>
      </c>
      <c r="U1264" t="str">
        <f t="shared" si="256"/>
        <v>Needs Improvement</v>
      </c>
      <c r="V1264" t="str">
        <f t="shared" si="257"/>
        <v>Personality</v>
      </c>
      <c r="W1264" t="str">
        <f t="shared" si="258"/>
        <v>Technical Skills</v>
      </c>
      <c r="X1264" t="str">
        <f t="shared" si="259"/>
        <v>Strengthen technical skills and practical knowledge</v>
      </c>
    </row>
    <row r="1265" spans="1:24" x14ac:dyDescent="0.3">
      <c r="A1265">
        <v>38</v>
      </c>
      <c r="B1265">
        <v>1</v>
      </c>
      <c r="C1265">
        <v>2</v>
      </c>
      <c r="D1265">
        <v>3</v>
      </c>
      <c r="E1265">
        <v>3</v>
      </c>
      <c r="F1265">
        <v>46.880034813095001</v>
      </c>
      <c r="G1265">
        <v>73</v>
      </c>
      <c r="H1265">
        <v>16</v>
      </c>
      <c r="I1265">
        <v>52</v>
      </c>
      <c r="J1265">
        <v>1</v>
      </c>
      <c r="K1265">
        <v>0</v>
      </c>
      <c r="L1265" t="str">
        <f t="shared" si="247"/>
        <v>C1264</v>
      </c>
      <c r="M1265" t="str">
        <f t="shared" si="248"/>
        <v>Female</v>
      </c>
      <c r="N1265" t="str">
        <f t="shared" si="249"/>
        <v>Bachelor's Type 2</v>
      </c>
      <c r="O1265" t="str">
        <f t="shared" si="250"/>
        <v>Mid Level</v>
      </c>
      <c r="P1265" t="str">
        <f t="shared" si="251"/>
        <v>Average</v>
      </c>
      <c r="Q1265" t="str">
        <f t="shared" si="252"/>
        <v>Beginner</v>
      </c>
      <c r="R1265" t="str">
        <f t="shared" si="253"/>
        <v>Good</v>
      </c>
      <c r="S1265" t="str">
        <f t="shared" si="254"/>
        <v>Not Hired</v>
      </c>
      <c r="T1265">
        <f t="shared" si="255"/>
        <v>43</v>
      </c>
      <c r="U1265" t="str">
        <f t="shared" si="256"/>
        <v>Needs Improvement</v>
      </c>
      <c r="V1265" t="str">
        <f t="shared" si="257"/>
        <v>Interview</v>
      </c>
      <c r="W1265" t="str">
        <f t="shared" si="258"/>
        <v>Technical Skills</v>
      </c>
      <c r="X1265" t="str">
        <f t="shared" si="259"/>
        <v>Strengthen technical skills and practical knowledge</v>
      </c>
    </row>
    <row r="1266" spans="1:24" x14ac:dyDescent="0.3">
      <c r="A1266">
        <v>29</v>
      </c>
      <c r="B1266">
        <v>0</v>
      </c>
      <c r="C1266">
        <v>4</v>
      </c>
      <c r="D1266">
        <v>14</v>
      </c>
      <c r="E1266">
        <v>1</v>
      </c>
      <c r="F1266">
        <v>34.655567406226403</v>
      </c>
      <c r="G1266">
        <v>80</v>
      </c>
      <c r="H1266">
        <v>47</v>
      </c>
      <c r="I1266">
        <v>99</v>
      </c>
      <c r="J1266">
        <v>2</v>
      </c>
      <c r="K1266">
        <v>1</v>
      </c>
      <c r="L1266" t="str">
        <f t="shared" si="247"/>
        <v>C1265</v>
      </c>
      <c r="M1266" t="str">
        <f t="shared" si="248"/>
        <v>Male</v>
      </c>
      <c r="N1266" t="str">
        <f t="shared" si="249"/>
        <v>PhD</v>
      </c>
      <c r="O1266" t="str">
        <f t="shared" si="250"/>
        <v>Senior Level</v>
      </c>
      <c r="P1266" t="str">
        <f t="shared" si="251"/>
        <v>Strong</v>
      </c>
      <c r="Q1266" t="str">
        <f t="shared" si="252"/>
        <v>Beginner</v>
      </c>
      <c r="R1266" t="str">
        <f t="shared" si="253"/>
        <v>Strong</v>
      </c>
      <c r="S1266" t="str">
        <f t="shared" si="254"/>
        <v>Hired</v>
      </c>
      <c r="T1266">
        <f t="shared" si="255"/>
        <v>77</v>
      </c>
      <c r="U1266" t="str">
        <f t="shared" si="256"/>
        <v>Job Ready</v>
      </c>
      <c r="V1266" t="str">
        <f t="shared" si="257"/>
        <v>Personality</v>
      </c>
      <c r="W1266" t="str">
        <f t="shared" si="258"/>
        <v>Technical Skills</v>
      </c>
      <c r="X1266" t="str">
        <f t="shared" si="259"/>
        <v>Strengthen technical skills and practical knowledge</v>
      </c>
    </row>
    <row r="1267" spans="1:24" x14ac:dyDescent="0.3">
      <c r="A1267">
        <v>28</v>
      </c>
      <c r="B1267">
        <v>0</v>
      </c>
      <c r="C1267">
        <v>2</v>
      </c>
      <c r="D1267">
        <v>8</v>
      </c>
      <c r="E1267">
        <v>3</v>
      </c>
      <c r="F1267">
        <v>50.537440469660901</v>
      </c>
      <c r="G1267">
        <v>29</v>
      </c>
      <c r="H1267">
        <v>83</v>
      </c>
      <c r="I1267">
        <v>6</v>
      </c>
      <c r="J1267">
        <v>2</v>
      </c>
      <c r="K1267">
        <v>0</v>
      </c>
      <c r="L1267" t="str">
        <f t="shared" si="247"/>
        <v>C1266</v>
      </c>
      <c r="M1267" t="str">
        <f t="shared" si="248"/>
        <v>Male</v>
      </c>
      <c r="N1267" t="str">
        <f t="shared" si="249"/>
        <v>Bachelor's Type 2</v>
      </c>
      <c r="O1267" t="str">
        <f t="shared" si="250"/>
        <v>Senior Level</v>
      </c>
      <c r="P1267" t="str">
        <f t="shared" si="251"/>
        <v>Low</v>
      </c>
      <c r="Q1267" t="str">
        <f t="shared" si="252"/>
        <v>Advanced</v>
      </c>
      <c r="R1267" t="str">
        <f t="shared" si="253"/>
        <v>Needs Improvement</v>
      </c>
      <c r="S1267" t="str">
        <f t="shared" si="254"/>
        <v>Not Hired</v>
      </c>
      <c r="T1267">
        <f t="shared" si="255"/>
        <v>45</v>
      </c>
      <c r="U1267" t="str">
        <f t="shared" si="256"/>
        <v>Needs Improvement</v>
      </c>
      <c r="V1267" t="str">
        <f t="shared" si="257"/>
        <v>Technical Skills</v>
      </c>
      <c r="W1267" t="str">
        <f t="shared" si="258"/>
        <v>Personality &amp; Communication</v>
      </c>
      <c r="X1267" t="str">
        <f t="shared" si="259"/>
        <v>Work on communication and personality development</v>
      </c>
    </row>
    <row r="1268" spans="1:24" x14ac:dyDescent="0.3">
      <c r="A1268">
        <v>24</v>
      </c>
      <c r="B1268">
        <v>1</v>
      </c>
      <c r="C1268">
        <v>2</v>
      </c>
      <c r="D1268">
        <v>3</v>
      </c>
      <c r="E1268">
        <v>5</v>
      </c>
      <c r="F1268">
        <v>45.141158133924598</v>
      </c>
      <c r="G1268">
        <v>20</v>
      </c>
      <c r="H1268">
        <v>25</v>
      </c>
      <c r="I1268">
        <v>4</v>
      </c>
      <c r="J1268">
        <v>1</v>
      </c>
      <c r="K1268">
        <v>0</v>
      </c>
      <c r="L1268" t="str">
        <f t="shared" si="247"/>
        <v>C1267</v>
      </c>
      <c r="M1268" t="str">
        <f t="shared" si="248"/>
        <v>Female</v>
      </c>
      <c r="N1268" t="str">
        <f t="shared" si="249"/>
        <v>Bachelor's Type 2</v>
      </c>
      <c r="O1268" t="str">
        <f t="shared" si="250"/>
        <v>Mid Level</v>
      </c>
      <c r="P1268" t="str">
        <f t="shared" si="251"/>
        <v>Low</v>
      </c>
      <c r="Q1268" t="str">
        <f t="shared" si="252"/>
        <v>Beginner</v>
      </c>
      <c r="R1268" t="str">
        <f t="shared" si="253"/>
        <v>Needs Improvement</v>
      </c>
      <c r="S1268" t="str">
        <f t="shared" si="254"/>
        <v>Not Hired</v>
      </c>
      <c r="T1268">
        <f t="shared" si="255"/>
        <v>20</v>
      </c>
      <c r="U1268" t="str">
        <f t="shared" si="256"/>
        <v>Needs Improvement</v>
      </c>
      <c r="V1268" t="str">
        <f t="shared" si="257"/>
        <v>Technical Skills</v>
      </c>
      <c r="W1268" t="str">
        <f t="shared" si="258"/>
        <v>Personality &amp; Communication</v>
      </c>
      <c r="X1268" t="str">
        <f t="shared" si="259"/>
        <v>Work on communication and personality development</v>
      </c>
    </row>
    <row r="1269" spans="1:24" x14ac:dyDescent="0.3">
      <c r="A1269">
        <v>25</v>
      </c>
      <c r="B1269">
        <v>1</v>
      </c>
      <c r="C1269">
        <v>2</v>
      </c>
      <c r="D1269">
        <v>9</v>
      </c>
      <c r="E1269">
        <v>5</v>
      </c>
      <c r="F1269">
        <v>24.649529684907598</v>
      </c>
      <c r="G1269">
        <v>59</v>
      </c>
      <c r="H1269">
        <v>82</v>
      </c>
      <c r="I1269">
        <v>23</v>
      </c>
      <c r="J1269">
        <v>2</v>
      </c>
      <c r="K1269">
        <v>0</v>
      </c>
      <c r="L1269" t="str">
        <f t="shared" si="247"/>
        <v>C1268</v>
      </c>
      <c r="M1269" t="str">
        <f t="shared" si="248"/>
        <v>Female</v>
      </c>
      <c r="N1269" t="str">
        <f t="shared" si="249"/>
        <v>Bachelor's Type 2</v>
      </c>
      <c r="O1269" t="str">
        <f t="shared" si="250"/>
        <v>Senior Level</v>
      </c>
      <c r="P1269" t="str">
        <f t="shared" si="251"/>
        <v>Average</v>
      </c>
      <c r="Q1269" t="str">
        <f t="shared" si="252"/>
        <v>Advanced</v>
      </c>
      <c r="R1269" t="str">
        <f t="shared" si="253"/>
        <v>Needs Improvement</v>
      </c>
      <c r="S1269" t="str">
        <f t="shared" si="254"/>
        <v>Not Hired</v>
      </c>
      <c r="T1269">
        <f t="shared" si="255"/>
        <v>58</v>
      </c>
      <c r="U1269" t="str">
        <f t="shared" si="256"/>
        <v>Developing</v>
      </c>
      <c r="V1269" t="str">
        <f t="shared" si="257"/>
        <v>Technical Skills</v>
      </c>
      <c r="W1269" t="str">
        <f t="shared" si="258"/>
        <v>Personality &amp; Communication</v>
      </c>
      <c r="X1269" t="str">
        <f t="shared" si="259"/>
        <v>Work on communication and personality development</v>
      </c>
    </row>
    <row r="1270" spans="1:24" x14ac:dyDescent="0.3">
      <c r="A1270">
        <v>39</v>
      </c>
      <c r="B1270">
        <v>0</v>
      </c>
      <c r="C1270">
        <v>4</v>
      </c>
      <c r="D1270">
        <v>11</v>
      </c>
      <c r="E1270">
        <v>4</v>
      </c>
      <c r="F1270">
        <v>26.9842515575188</v>
      </c>
      <c r="G1270">
        <v>12</v>
      </c>
      <c r="H1270">
        <v>11</v>
      </c>
      <c r="I1270">
        <v>27</v>
      </c>
      <c r="J1270">
        <v>1</v>
      </c>
      <c r="K1270">
        <v>1</v>
      </c>
      <c r="L1270" t="str">
        <f t="shared" si="247"/>
        <v>C1269</v>
      </c>
      <c r="M1270" t="str">
        <f t="shared" si="248"/>
        <v>Male</v>
      </c>
      <c r="N1270" t="str">
        <f t="shared" si="249"/>
        <v>PhD</v>
      </c>
      <c r="O1270" t="str">
        <f t="shared" si="250"/>
        <v>Senior Level</v>
      </c>
      <c r="P1270" t="str">
        <f t="shared" si="251"/>
        <v>Low</v>
      </c>
      <c r="Q1270" t="str">
        <f t="shared" si="252"/>
        <v>Beginner</v>
      </c>
      <c r="R1270" t="str">
        <f t="shared" si="253"/>
        <v>Needs Improvement</v>
      </c>
      <c r="S1270" t="str">
        <f t="shared" si="254"/>
        <v>Hired</v>
      </c>
      <c r="T1270">
        <f t="shared" si="255"/>
        <v>28</v>
      </c>
      <c r="U1270" t="str">
        <f t="shared" si="256"/>
        <v>Needs Improvement</v>
      </c>
      <c r="V1270" t="str">
        <f t="shared" si="257"/>
        <v>Personality</v>
      </c>
      <c r="W1270" t="str">
        <f t="shared" si="258"/>
        <v>Technical Skills</v>
      </c>
      <c r="X1270" t="str">
        <f t="shared" si="259"/>
        <v>Strengthen technical skills and practical knowledge</v>
      </c>
    </row>
    <row r="1271" spans="1:24" x14ac:dyDescent="0.3">
      <c r="A1271">
        <v>45</v>
      </c>
      <c r="B1271">
        <v>0</v>
      </c>
      <c r="C1271">
        <v>1</v>
      </c>
      <c r="D1271">
        <v>14</v>
      </c>
      <c r="E1271">
        <v>3</v>
      </c>
      <c r="F1271">
        <v>10.5288023258596</v>
      </c>
      <c r="G1271">
        <v>0</v>
      </c>
      <c r="H1271">
        <v>20</v>
      </c>
      <c r="I1271">
        <v>61</v>
      </c>
      <c r="J1271">
        <v>3</v>
      </c>
      <c r="K1271">
        <v>0</v>
      </c>
      <c r="L1271" t="str">
        <f t="shared" si="247"/>
        <v>C1270</v>
      </c>
      <c r="M1271" t="str">
        <f t="shared" si="248"/>
        <v>Male</v>
      </c>
      <c r="N1271" t="str">
        <f t="shared" si="249"/>
        <v>Bachelor's Type 1</v>
      </c>
      <c r="O1271" t="str">
        <f t="shared" si="250"/>
        <v>Senior Level</v>
      </c>
      <c r="P1271" t="str">
        <f t="shared" si="251"/>
        <v>Low</v>
      </c>
      <c r="Q1271" t="str">
        <f t="shared" si="252"/>
        <v>Beginner</v>
      </c>
      <c r="R1271" t="str">
        <f t="shared" si="253"/>
        <v>Good</v>
      </c>
      <c r="S1271" t="str">
        <f t="shared" si="254"/>
        <v>Not Hired</v>
      </c>
      <c r="T1271">
        <f t="shared" si="255"/>
        <v>35</v>
      </c>
      <c r="U1271" t="str">
        <f t="shared" si="256"/>
        <v>Needs Improvement</v>
      </c>
      <c r="V1271" t="str">
        <f t="shared" si="257"/>
        <v>Personality</v>
      </c>
      <c r="W1271" t="str">
        <f t="shared" si="258"/>
        <v>Interview Preparation</v>
      </c>
      <c r="X1271" t="str">
        <f t="shared" si="259"/>
        <v>Improve interview preparation and communication</v>
      </c>
    </row>
    <row r="1272" spans="1:24" x14ac:dyDescent="0.3">
      <c r="A1272">
        <v>21</v>
      </c>
      <c r="B1272">
        <v>1</v>
      </c>
      <c r="C1272">
        <v>2</v>
      </c>
      <c r="D1272">
        <v>4</v>
      </c>
      <c r="E1272">
        <v>5</v>
      </c>
      <c r="F1272">
        <v>24.101967141977699</v>
      </c>
      <c r="G1272">
        <v>64</v>
      </c>
      <c r="H1272">
        <v>41</v>
      </c>
      <c r="I1272">
        <v>16</v>
      </c>
      <c r="J1272">
        <v>2</v>
      </c>
      <c r="K1272">
        <v>0</v>
      </c>
      <c r="L1272" t="str">
        <f t="shared" si="247"/>
        <v>C1271</v>
      </c>
      <c r="M1272" t="str">
        <f t="shared" si="248"/>
        <v>Female</v>
      </c>
      <c r="N1272" t="str">
        <f t="shared" si="249"/>
        <v>Bachelor's Type 2</v>
      </c>
      <c r="O1272" t="str">
        <f t="shared" si="250"/>
        <v>Mid Level</v>
      </c>
      <c r="P1272" t="str">
        <f t="shared" si="251"/>
        <v>Average</v>
      </c>
      <c r="Q1272" t="str">
        <f t="shared" si="252"/>
        <v>Beginner</v>
      </c>
      <c r="R1272" t="str">
        <f t="shared" si="253"/>
        <v>Needs Improvement</v>
      </c>
      <c r="S1272" t="str">
        <f t="shared" si="254"/>
        <v>Not Hired</v>
      </c>
      <c r="T1272">
        <f t="shared" si="255"/>
        <v>41</v>
      </c>
      <c r="U1272" t="str">
        <f t="shared" si="256"/>
        <v>Needs Improvement</v>
      </c>
      <c r="V1272" t="str">
        <f t="shared" si="257"/>
        <v>Interview</v>
      </c>
      <c r="W1272" t="str">
        <f t="shared" si="258"/>
        <v>Personality &amp; Communication</v>
      </c>
      <c r="X1272" t="str">
        <f t="shared" si="259"/>
        <v>Work on communication and personality development</v>
      </c>
    </row>
    <row r="1273" spans="1:24" x14ac:dyDescent="0.3">
      <c r="A1273">
        <v>46</v>
      </c>
      <c r="B1273">
        <v>1</v>
      </c>
      <c r="C1273">
        <v>1</v>
      </c>
      <c r="D1273">
        <v>6</v>
      </c>
      <c r="E1273">
        <v>2</v>
      </c>
      <c r="F1273">
        <v>46.151393674640502</v>
      </c>
      <c r="G1273">
        <v>32</v>
      </c>
      <c r="H1273">
        <v>60</v>
      </c>
      <c r="I1273">
        <v>100</v>
      </c>
      <c r="J1273">
        <v>2</v>
      </c>
      <c r="K1273">
        <v>0</v>
      </c>
      <c r="L1273" t="str">
        <f t="shared" si="247"/>
        <v>C1272</v>
      </c>
      <c r="M1273" t="str">
        <f t="shared" si="248"/>
        <v>Female</v>
      </c>
      <c r="N1273" t="str">
        <f t="shared" si="249"/>
        <v>Bachelor's Type 1</v>
      </c>
      <c r="O1273" t="str">
        <f t="shared" si="250"/>
        <v>Mid Level</v>
      </c>
      <c r="P1273" t="str">
        <f t="shared" si="251"/>
        <v>Low</v>
      </c>
      <c r="Q1273" t="str">
        <f t="shared" si="252"/>
        <v>Intermediate</v>
      </c>
      <c r="R1273" t="str">
        <f t="shared" si="253"/>
        <v>Strong</v>
      </c>
      <c r="S1273" t="str">
        <f t="shared" si="254"/>
        <v>Not Hired</v>
      </c>
      <c r="T1273">
        <f t="shared" si="255"/>
        <v>56</v>
      </c>
      <c r="U1273" t="str">
        <f t="shared" si="256"/>
        <v>Developing</v>
      </c>
      <c r="V1273" t="str">
        <f t="shared" si="257"/>
        <v>Personality</v>
      </c>
      <c r="W1273" t="str">
        <f t="shared" si="258"/>
        <v>Interview Preparation</v>
      </c>
      <c r="X1273" t="str">
        <f t="shared" si="259"/>
        <v>Improve interview preparation and communication</v>
      </c>
    </row>
    <row r="1274" spans="1:24" x14ac:dyDescent="0.3">
      <c r="A1274">
        <v>43</v>
      </c>
      <c r="B1274">
        <v>1</v>
      </c>
      <c r="C1274">
        <v>1</v>
      </c>
      <c r="D1274">
        <v>15</v>
      </c>
      <c r="E1274">
        <v>4</v>
      </c>
      <c r="F1274">
        <v>3.5426711817910501</v>
      </c>
      <c r="G1274">
        <v>37</v>
      </c>
      <c r="H1274">
        <v>57</v>
      </c>
      <c r="I1274">
        <v>19</v>
      </c>
      <c r="J1274">
        <v>2</v>
      </c>
      <c r="K1274">
        <v>0</v>
      </c>
      <c r="L1274" t="str">
        <f t="shared" si="247"/>
        <v>C1273</v>
      </c>
      <c r="M1274" t="str">
        <f t="shared" si="248"/>
        <v>Female</v>
      </c>
      <c r="N1274" t="str">
        <f t="shared" si="249"/>
        <v>Bachelor's Type 1</v>
      </c>
      <c r="O1274" t="str">
        <f t="shared" si="250"/>
        <v>Senior Level</v>
      </c>
      <c r="P1274" t="str">
        <f t="shared" si="251"/>
        <v>Low</v>
      </c>
      <c r="Q1274" t="str">
        <f t="shared" si="252"/>
        <v>Intermediate</v>
      </c>
      <c r="R1274" t="str">
        <f t="shared" si="253"/>
        <v>Needs Improvement</v>
      </c>
      <c r="S1274" t="str">
        <f t="shared" si="254"/>
        <v>Not Hired</v>
      </c>
      <c r="T1274">
        <f t="shared" si="255"/>
        <v>50</v>
      </c>
      <c r="U1274" t="str">
        <f t="shared" si="256"/>
        <v>Developing</v>
      </c>
      <c r="V1274" t="str">
        <f t="shared" si="257"/>
        <v>Technical Skills</v>
      </c>
      <c r="W1274" t="str">
        <f t="shared" si="258"/>
        <v>Personality &amp; Communication</v>
      </c>
      <c r="X1274" t="str">
        <f t="shared" si="259"/>
        <v>Work on communication and personality development</v>
      </c>
    </row>
    <row r="1275" spans="1:24" x14ac:dyDescent="0.3">
      <c r="A1275">
        <v>46</v>
      </c>
      <c r="B1275">
        <v>1</v>
      </c>
      <c r="C1275">
        <v>3</v>
      </c>
      <c r="D1275">
        <v>3</v>
      </c>
      <c r="E1275">
        <v>1</v>
      </c>
      <c r="F1275">
        <v>44.177840149915397</v>
      </c>
      <c r="G1275">
        <v>24</v>
      </c>
      <c r="H1275">
        <v>53</v>
      </c>
      <c r="I1275">
        <v>2</v>
      </c>
      <c r="J1275">
        <v>2</v>
      </c>
      <c r="K1275">
        <v>0</v>
      </c>
      <c r="L1275" t="str">
        <f t="shared" si="247"/>
        <v>C1274</v>
      </c>
      <c r="M1275" t="str">
        <f t="shared" si="248"/>
        <v>Female</v>
      </c>
      <c r="N1275" t="str">
        <f t="shared" si="249"/>
        <v>Master's</v>
      </c>
      <c r="O1275" t="str">
        <f t="shared" si="250"/>
        <v>Mid Level</v>
      </c>
      <c r="P1275" t="str">
        <f t="shared" si="251"/>
        <v>Low</v>
      </c>
      <c r="Q1275" t="str">
        <f t="shared" si="252"/>
        <v>Intermediate</v>
      </c>
      <c r="R1275" t="str">
        <f t="shared" si="253"/>
        <v>Needs Improvement</v>
      </c>
      <c r="S1275" t="str">
        <f t="shared" si="254"/>
        <v>Not Hired</v>
      </c>
      <c r="T1275">
        <f t="shared" si="255"/>
        <v>30</v>
      </c>
      <c r="U1275" t="str">
        <f t="shared" si="256"/>
        <v>Needs Improvement</v>
      </c>
      <c r="V1275" t="str">
        <f t="shared" si="257"/>
        <v>Technical Skills</v>
      </c>
      <c r="W1275" t="str">
        <f t="shared" si="258"/>
        <v>Personality &amp; Communication</v>
      </c>
      <c r="X1275" t="str">
        <f t="shared" si="259"/>
        <v>Work on communication and personality development</v>
      </c>
    </row>
    <row r="1276" spans="1:24" x14ac:dyDescent="0.3">
      <c r="A1276">
        <v>32</v>
      </c>
      <c r="B1276">
        <v>0</v>
      </c>
      <c r="C1276">
        <v>3</v>
      </c>
      <c r="D1276">
        <v>13</v>
      </c>
      <c r="E1276">
        <v>4</v>
      </c>
      <c r="F1276">
        <v>18.047390082130399</v>
      </c>
      <c r="G1276">
        <v>25</v>
      </c>
      <c r="H1276">
        <v>33</v>
      </c>
      <c r="I1276">
        <v>36</v>
      </c>
      <c r="J1276">
        <v>2</v>
      </c>
      <c r="K1276">
        <v>0</v>
      </c>
      <c r="L1276" t="str">
        <f t="shared" si="247"/>
        <v>C1275</v>
      </c>
      <c r="M1276" t="str">
        <f t="shared" si="248"/>
        <v>Male</v>
      </c>
      <c r="N1276" t="str">
        <f t="shared" si="249"/>
        <v>Master's</v>
      </c>
      <c r="O1276" t="str">
        <f t="shared" si="250"/>
        <v>Senior Level</v>
      </c>
      <c r="P1276" t="str">
        <f t="shared" si="251"/>
        <v>Low</v>
      </c>
      <c r="Q1276" t="str">
        <f t="shared" si="252"/>
        <v>Beginner</v>
      </c>
      <c r="R1276" t="str">
        <f t="shared" si="253"/>
        <v>Needs Improvement</v>
      </c>
      <c r="S1276" t="str">
        <f t="shared" si="254"/>
        <v>Not Hired</v>
      </c>
      <c r="T1276">
        <f t="shared" si="255"/>
        <v>41</v>
      </c>
      <c r="U1276" t="str">
        <f t="shared" si="256"/>
        <v>Needs Improvement</v>
      </c>
      <c r="V1276" t="str">
        <f t="shared" si="257"/>
        <v>Personality</v>
      </c>
      <c r="W1276" t="str">
        <f t="shared" si="258"/>
        <v>Interview Preparation</v>
      </c>
      <c r="X1276" t="str">
        <f t="shared" si="259"/>
        <v>Improve interview preparation and communication</v>
      </c>
    </row>
    <row r="1277" spans="1:24" x14ac:dyDescent="0.3">
      <c r="A1277">
        <v>25</v>
      </c>
      <c r="B1277">
        <v>0</v>
      </c>
      <c r="C1277">
        <v>2</v>
      </c>
      <c r="D1277">
        <v>0</v>
      </c>
      <c r="E1277">
        <v>2</v>
      </c>
      <c r="F1277">
        <v>45.975638254815401</v>
      </c>
      <c r="G1277">
        <v>76</v>
      </c>
      <c r="H1277">
        <v>6</v>
      </c>
      <c r="I1277">
        <v>89</v>
      </c>
      <c r="J1277">
        <v>1</v>
      </c>
      <c r="K1277">
        <v>1</v>
      </c>
      <c r="L1277" t="str">
        <f t="shared" si="247"/>
        <v>C1276</v>
      </c>
      <c r="M1277" t="str">
        <f t="shared" si="248"/>
        <v>Male</v>
      </c>
      <c r="N1277" t="str">
        <f t="shared" si="249"/>
        <v>Bachelor's Type 2</v>
      </c>
      <c r="O1277" t="str">
        <f t="shared" si="250"/>
        <v>Entry Level</v>
      </c>
      <c r="P1277" t="str">
        <f t="shared" si="251"/>
        <v>Strong</v>
      </c>
      <c r="Q1277" t="str">
        <f t="shared" si="252"/>
        <v>Beginner</v>
      </c>
      <c r="R1277" t="str">
        <f t="shared" si="253"/>
        <v>Strong</v>
      </c>
      <c r="S1277" t="str">
        <f t="shared" si="254"/>
        <v>Hired</v>
      </c>
      <c r="T1277">
        <f t="shared" si="255"/>
        <v>45</v>
      </c>
      <c r="U1277" t="str">
        <f t="shared" si="256"/>
        <v>Needs Improvement</v>
      </c>
      <c r="V1277" t="str">
        <f t="shared" si="257"/>
        <v>Personality</v>
      </c>
      <c r="W1277" t="str">
        <f t="shared" si="258"/>
        <v>Technical Skills</v>
      </c>
      <c r="X1277" t="str">
        <f t="shared" si="259"/>
        <v>Strengthen technical skills and practical knowledge</v>
      </c>
    </row>
    <row r="1278" spans="1:24" x14ac:dyDescent="0.3">
      <c r="A1278">
        <v>24</v>
      </c>
      <c r="B1278">
        <v>0</v>
      </c>
      <c r="C1278">
        <v>2</v>
      </c>
      <c r="D1278">
        <v>8</v>
      </c>
      <c r="E1278">
        <v>3</v>
      </c>
      <c r="F1278">
        <v>48.043995317074199</v>
      </c>
      <c r="G1278">
        <v>58</v>
      </c>
      <c r="H1278">
        <v>34</v>
      </c>
      <c r="I1278">
        <v>14</v>
      </c>
      <c r="J1278">
        <v>2</v>
      </c>
      <c r="K1278">
        <v>0</v>
      </c>
      <c r="L1278" t="str">
        <f t="shared" si="247"/>
        <v>C1277</v>
      </c>
      <c r="M1278" t="str">
        <f t="shared" si="248"/>
        <v>Male</v>
      </c>
      <c r="N1278" t="str">
        <f t="shared" si="249"/>
        <v>Bachelor's Type 2</v>
      </c>
      <c r="O1278" t="str">
        <f t="shared" si="250"/>
        <v>Senior Level</v>
      </c>
      <c r="P1278" t="str">
        <f t="shared" si="251"/>
        <v>Average</v>
      </c>
      <c r="Q1278" t="str">
        <f t="shared" si="252"/>
        <v>Beginner</v>
      </c>
      <c r="R1278" t="str">
        <f t="shared" si="253"/>
        <v>Needs Improvement</v>
      </c>
      <c r="S1278" t="str">
        <f t="shared" si="254"/>
        <v>Not Hired</v>
      </c>
      <c r="T1278">
        <f t="shared" si="255"/>
        <v>41</v>
      </c>
      <c r="U1278" t="str">
        <f t="shared" si="256"/>
        <v>Needs Improvement</v>
      </c>
      <c r="V1278" t="str">
        <f t="shared" si="257"/>
        <v>Interview</v>
      </c>
      <c r="W1278" t="str">
        <f t="shared" si="258"/>
        <v>Personality &amp; Communication</v>
      </c>
      <c r="X1278" t="str">
        <f t="shared" si="259"/>
        <v>Work on communication and personality development</v>
      </c>
    </row>
    <row r="1279" spans="1:24" x14ac:dyDescent="0.3">
      <c r="A1279">
        <v>44</v>
      </c>
      <c r="B1279">
        <v>1</v>
      </c>
      <c r="C1279">
        <v>2</v>
      </c>
      <c r="D1279">
        <v>3</v>
      </c>
      <c r="E1279">
        <v>1</v>
      </c>
      <c r="F1279">
        <v>34.5432443500953</v>
      </c>
      <c r="G1279">
        <v>91</v>
      </c>
      <c r="H1279">
        <v>14</v>
      </c>
      <c r="I1279">
        <v>50</v>
      </c>
      <c r="J1279">
        <v>1</v>
      </c>
      <c r="K1279">
        <v>0</v>
      </c>
      <c r="L1279" t="str">
        <f t="shared" si="247"/>
        <v>C1278</v>
      </c>
      <c r="M1279" t="str">
        <f t="shared" si="248"/>
        <v>Female</v>
      </c>
      <c r="N1279" t="str">
        <f t="shared" si="249"/>
        <v>Bachelor's Type 2</v>
      </c>
      <c r="O1279" t="str">
        <f t="shared" si="250"/>
        <v>Mid Level</v>
      </c>
      <c r="P1279" t="str">
        <f t="shared" si="251"/>
        <v>Strong</v>
      </c>
      <c r="Q1279" t="str">
        <f t="shared" si="252"/>
        <v>Beginner</v>
      </c>
      <c r="R1279" t="str">
        <f t="shared" si="253"/>
        <v>Good</v>
      </c>
      <c r="S1279" t="str">
        <f t="shared" si="254"/>
        <v>Not Hired</v>
      </c>
      <c r="T1279">
        <f t="shared" si="255"/>
        <v>47</v>
      </c>
      <c r="U1279" t="str">
        <f t="shared" si="256"/>
        <v>Needs Improvement</v>
      </c>
      <c r="V1279" t="str">
        <f t="shared" si="257"/>
        <v>Interview</v>
      </c>
      <c r="W1279" t="str">
        <f t="shared" si="258"/>
        <v>Technical Skills</v>
      </c>
      <c r="X1279" t="str">
        <f t="shared" si="259"/>
        <v>Strengthen technical skills and practical knowledge</v>
      </c>
    </row>
    <row r="1280" spans="1:24" x14ac:dyDescent="0.3">
      <c r="A1280">
        <v>20</v>
      </c>
      <c r="B1280">
        <v>1</v>
      </c>
      <c r="C1280">
        <v>4</v>
      </c>
      <c r="D1280">
        <v>8</v>
      </c>
      <c r="E1280">
        <v>1</v>
      </c>
      <c r="F1280">
        <v>34.221189329633802</v>
      </c>
      <c r="G1280">
        <v>32</v>
      </c>
      <c r="H1280">
        <v>64</v>
      </c>
      <c r="I1280">
        <v>47</v>
      </c>
      <c r="J1280">
        <v>2</v>
      </c>
      <c r="K1280">
        <v>0</v>
      </c>
      <c r="L1280" t="str">
        <f t="shared" si="247"/>
        <v>C1279</v>
      </c>
      <c r="M1280" t="str">
        <f t="shared" si="248"/>
        <v>Female</v>
      </c>
      <c r="N1280" t="str">
        <f t="shared" si="249"/>
        <v>PhD</v>
      </c>
      <c r="O1280" t="str">
        <f t="shared" si="250"/>
        <v>Senior Level</v>
      </c>
      <c r="P1280" t="str">
        <f t="shared" si="251"/>
        <v>Low</v>
      </c>
      <c r="Q1280" t="str">
        <f t="shared" si="252"/>
        <v>Intermediate</v>
      </c>
      <c r="R1280" t="str">
        <f t="shared" si="253"/>
        <v>Needs Improvement</v>
      </c>
      <c r="S1280" t="str">
        <f t="shared" si="254"/>
        <v>Not Hired</v>
      </c>
      <c r="T1280">
        <f t="shared" si="255"/>
        <v>51</v>
      </c>
      <c r="U1280" t="str">
        <f t="shared" si="256"/>
        <v>Developing</v>
      </c>
      <c r="V1280" t="str">
        <f t="shared" si="257"/>
        <v>Technical Skills</v>
      </c>
      <c r="W1280" t="str">
        <f t="shared" si="258"/>
        <v>Interview Preparation</v>
      </c>
      <c r="X1280" t="str">
        <f t="shared" si="259"/>
        <v>Improve interview preparation and communication</v>
      </c>
    </row>
    <row r="1281" spans="1:24" x14ac:dyDescent="0.3">
      <c r="A1281">
        <v>40</v>
      </c>
      <c r="B1281">
        <v>0</v>
      </c>
      <c r="C1281">
        <v>4</v>
      </c>
      <c r="D1281">
        <v>5</v>
      </c>
      <c r="E1281">
        <v>3</v>
      </c>
      <c r="F1281">
        <v>23.637716885437001</v>
      </c>
      <c r="G1281">
        <v>100</v>
      </c>
      <c r="H1281">
        <v>89</v>
      </c>
      <c r="I1281">
        <v>7</v>
      </c>
      <c r="J1281">
        <v>1</v>
      </c>
      <c r="K1281">
        <v>1</v>
      </c>
      <c r="L1281" t="str">
        <f t="shared" si="247"/>
        <v>C1280</v>
      </c>
      <c r="M1281" t="str">
        <f t="shared" si="248"/>
        <v>Male</v>
      </c>
      <c r="N1281" t="str">
        <f t="shared" si="249"/>
        <v>PhD</v>
      </c>
      <c r="O1281" t="str">
        <f t="shared" si="250"/>
        <v>Mid Level</v>
      </c>
      <c r="P1281" t="str">
        <f t="shared" si="251"/>
        <v>Strong</v>
      </c>
      <c r="Q1281" t="str">
        <f t="shared" si="252"/>
        <v>Advanced</v>
      </c>
      <c r="R1281" t="str">
        <f t="shared" si="253"/>
        <v>Needs Improvement</v>
      </c>
      <c r="S1281" t="str">
        <f t="shared" si="254"/>
        <v>Hired</v>
      </c>
      <c r="T1281">
        <f t="shared" si="255"/>
        <v>68</v>
      </c>
      <c r="U1281" t="str">
        <f t="shared" si="256"/>
        <v>Developing</v>
      </c>
      <c r="V1281" t="str">
        <f t="shared" si="257"/>
        <v>Interview</v>
      </c>
      <c r="W1281" t="str">
        <f t="shared" si="258"/>
        <v>Personality &amp; Communication</v>
      </c>
      <c r="X1281" t="str">
        <f t="shared" si="259"/>
        <v>Work on communication and personality development</v>
      </c>
    </row>
    <row r="1282" spans="1:24" x14ac:dyDescent="0.3">
      <c r="A1282">
        <v>41</v>
      </c>
      <c r="B1282">
        <v>0</v>
      </c>
      <c r="C1282">
        <v>2</v>
      </c>
      <c r="D1282">
        <v>14</v>
      </c>
      <c r="E1282">
        <v>4</v>
      </c>
      <c r="F1282">
        <v>42.777011227185298</v>
      </c>
      <c r="G1282">
        <v>40</v>
      </c>
      <c r="H1282">
        <v>98</v>
      </c>
      <c r="I1282">
        <v>12</v>
      </c>
      <c r="J1282">
        <v>2</v>
      </c>
      <c r="K1282">
        <v>0</v>
      </c>
      <c r="L1282" t="str">
        <f t="shared" si="247"/>
        <v>C1281</v>
      </c>
      <c r="M1282" t="str">
        <f t="shared" si="248"/>
        <v>Male</v>
      </c>
      <c r="N1282" t="str">
        <f t="shared" si="249"/>
        <v>Bachelor's Type 2</v>
      </c>
      <c r="O1282" t="str">
        <f t="shared" si="250"/>
        <v>Senior Level</v>
      </c>
      <c r="P1282" t="str">
        <f t="shared" si="251"/>
        <v>Low</v>
      </c>
      <c r="Q1282" t="str">
        <f t="shared" si="252"/>
        <v>Advanced</v>
      </c>
      <c r="R1282" t="str">
        <f t="shared" si="253"/>
        <v>Needs Improvement</v>
      </c>
      <c r="S1282" t="str">
        <f t="shared" si="254"/>
        <v>Not Hired</v>
      </c>
      <c r="T1282">
        <f t="shared" si="255"/>
        <v>60</v>
      </c>
      <c r="U1282" t="str">
        <f t="shared" si="256"/>
        <v>Developing</v>
      </c>
      <c r="V1282" t="str">
        <f t="shared" si="257"/>
        <v>Technical Skills</v>
      </c>
      <c r="W1282" t="str">
        <f t="shared" si="258"/>
        <v>Personality &amp; Communication</v>
      </c>
      <c r="X1282" t="str">
        <f t="shared" si="259"/>
        <v>Work on communication and personality development</v>
      </c>
    </row>
    <row r="1283" spans="1:24" x14ac:dyDescent="0.3">
      <c r="A1283">
        <v>40</v>
      </c>
      <c r="B1283">
        <v>0</v>
      </c>
      <c r="C1283">
        <v>3</v>
      </c>
      <c r="D1283">
        <v>0</v>
      </c>
      <c r="E1283">
        <v>5</v>
      </c>
      <c r="F1283">
        <v>49.080637921664099</v>
      </c>
      <c r="G1283">
        <v>29</v>
      </c>
      <c r="H1283">
        <v>24</v>
      </c>
      <c r="I1283">
        <v>47</v>
      </c>
      <c r="J1283">
        <v>1</v>
      </c>
      <c r="K1283">
        <v>0</v>
      </c>
      <c r="L1283" t="str">
        <f t="shared" ref="L1283:L1346" si="260">"C"&amp;TEXT(ROW()-1,"000")</f>
        <v>C1282</v>
      </c>
      <c r="M1283" t="str">
        <f t="shared" ref="M1283:M1346" si="261">IF(B1283=0,"Male","Female")</f>
        <v>Male</v>
      </c>
      <c r="N1283" t="str">
        <f t="shared" ref="N1283:N1346" si="262">IF(C1283=1,"Bachelor's Type 1",IF(C1283=2,"Bachelor's Type 2",IF(C1283=3,"Master's","PhD")))</f>
        <v>Master's</v>
      </c>
      <c r="O1283" t="str">
        <f t="shared" ref="O1283:O1346" si="263">IF(D1283&lt;=2,"Entry Level",IF(D1283&lt;=6,"Mid Level","Senior Level"))</f>
        <v>Entry Level</v>
      </c>
      <c r="P1283" t="str">
        <f t="shared" ref="P1283:P1346" si="264">IF(G1283&lt;50,"Low",IF(G1283&lt;75,"Average","Strong"))</f>
        <v>Low</v>
      </c>
      <c r="Q1283" t="str">
        <f t="shared" ref="Q1283:Q1346" si="265">IF(H1283&lt;50,"Beginner",IF(H1283&lt;75,"Intermediate","Advanced"))</f>
        <v>Beginner</v>
      </c>
      <c r="R1283" t="str">
        <f t="shared" ref="R1283:R1346" si="266">IF(I1283&lt;50,"Needs Improvement",IF(I1283&lt;75,"Good","Strong"))</f>
        <v>Needs Improvement</v>
      </c>
      <c r="S1283" t="str">
        <f t="shared" ref="S1283:S1346" si="267">IF(K1283=1,"Hired","Not Hired")</f>
        <v>Not Hired</v>
      </c>
      <c r="T1283">
        <f t="shared" ref="T1283:T1346" si="268">ROUND((G1283*30%)+(H1283*30%)+(I1283*20%)+((D1283/15)*100*15%)+(IF(C1283&lt;=2,50,IF(C1283=3,75,100))*5%),0)</f>
        <v>29</v>
      </c>
      <c r="U1283" t="str">
        <f t="shared" ref="U1283:U1346" si="269">IF(T1283&lt;50,"Needs Improvement",IF(T1283&lt;75,"Developing","Job Ready"))</f>
        <v>Needs Improvement</v>
      </c>
      <c r="V1283" t="str">
        <f t="shared" ref="V1283:V1346" si="270">IF(AND(G1283&gt;=H1283,G1283&gt;=I1283),"Interview",IF(H1283&gt;=I1283,"Technical Skills","Personality"))</f>
        <v>Personality</v>
      </c>
      <c r="W1283" t="str">
        <f t="shared" ref="W1283:W1346" si="271">IF(AND(G1283&lt;=H1283,G1283&lt;=I1283),"Interview Preparation",IF(H1283&lt;=I1283,"Technical Skills","Personality &amp; Communication"))</f>
        <v>Technical Skills</v>
      </c>
      <c r="X1283" t="str">
        <f t="shared" ref="X1283:X1346" si="272">IF(W1283="Interview Preparation","Improve interview preparation and communication",IF(W1283="Technical Skills","Strengthen technical skills and practical knowledge","Work on communication and personality development"))</f>
        <v>Strengthen technical skills and practical knowledge</v>
      </c>
    </row>
    <row r="1284" spans="1:24" x14ac:dyDescent="0.3">
      <c r="A1284">
        <v>25</v>
      </c>
      <c r="B1284">
        <v>0</v>
      </c>
      <c r="C1284">
        <v>3</v>
      </c>
      <c r="D1284">
        <v>11</v>
      </c>
      <c r="E1284">
        <v>4</v>
      </c>
      <c r="F1284">
        <v>39.7540900169559</v>
      </c>
      <c r="G1284">
        <v>56</v>
      </c>
      <c r="H1284">
        <v>58</v>
      </c>
      <c r="I1284">
        <v>2</v>
      </c>
      <c r="J1284">
        <v>3</v>
      </c>
      <c r="K1284">
        <v>0</v>
      </c>
      <c r="L1284" t="str">
        <f t="shared" si="260"/>
        <v>C1283</v>
      </c>
      <c r="M1284" t="str">
        <f t="shared" si="261"/>
        <v>Male</v>
      </c>
      <c r="N1284" t="str">
        <f t="shared" si="262"/>
        <v>Master's</v>
      </c>
      <c r="O1284" t="str">
        <f t="shared" si="263"/>
        <v>Senior Level</v>
      </c>
      <c r="P1284" t="str">
        <f t="shared" si="264"/>
        <v>Average</v>
      </c>
      <c r="Q1284" t="str">
        <f t="shared" si="265"/>
        <v>Intermediate</v>
      </c>
      <c r="R1284" t="str">
        <f t="shared" si="266"/>
        <v>Needs Improvement</v>
      </c>
      <c r="S1284" t="str">
        <f t="shared" si="267"/>
        <v>Not Hired</v>
      </c>
      <c r="T1284">
        <f t="shared" si="268"/>
        <v>49</v>
      </c>
      <c r="U1284" t="str">
        <f t="shared" si="269"/>
        <v>Needs Improvement</v>
      </c>
      <c r="V1284" t="str">
        <f t="shared" si="270"/>
        <v>Technical Skills</v>
      </c>
      <c r="W1284" t="str">
        <f t="shared" si="271"/>
        <v>Personality &amp; Communication</v>
      </c>
      <c r="X1284" t="str">
        <f t="shared" si="272"/>
        <v>Work on communication and personality development</v>
      </c>
    </row>
    <row r="1285" spans="1:24" x14ac:dyDescent="0.3">
      <c r="A1285">
        <v>25</v>
      </c>
      <c r="B1285">
        <v>1</v>
      </c>
      <c r="C1285">
        <v>2</v>
      </c>
      <c r="D1285">
        <v>2</v>
      </c>
      <c r="E1285">
        <v>2</v>
      </c>
      <c r="F1285">
        <v>32.096836687835399</v>
      </c>
      <c r="G1285">
        <v>48</v>
      </c>
      <c r="H1285">
        <v>78</v>
      </c>
      <c r="I1285">
        <v>64</v>
      </c>
      <c r="J1285">
        <v>2</v>
      </c>
      <c r="K1285">
        <v>0</v>
      </c>
      <c r="L1285" t="str">
        <f t="shared" si="260"/>
        <v>C1284</v>
      </c>
      <c r="M1285" t="str">
        <f t="shared" si="261"/>
        <v>Female</v>
      </c>
      <c r="N1285" t="str">
        <f t="shared" si="262"/>
        <v>Bachelor's Type 2</v>
      </c>
      <c r="O1285" t="str">
        <f t="shared" si="263"/>
        <v>Entry Level</v>
      </c>
      <c r="P1285" t="str">
        <f t="shared" si="264"/>
        <v>Low</v>
      </c>
      <c r="Q1285" t="str">
        <f t="shared" si="265"/>
        <v>Advanced</v>
      </c>
      <c r="R1285" t="str">
        <f t="shared" si="266"/>
        <v>Good</v>
      </c>
      <c r="S1285" t="str">
        <f t="shared" si="267"/>
        <v>Not Hired</v>
      </c>
      <c r="T1285">
        <f t="shared" si="268"/>
        <v>55</v>
      </c>
      <c r="U1285" t="str">
        <f t="shared" si="269"/>
        <v>Developing</v>
      </c>
      <c r="V1285" t="str">
        <f t="shared" si="270"/>
        <v>Technical Skills</v>
      </c>
      <c r="W1285" t="str">
        <f t="shared" si="271"/>
        <v>Interview Preparation</v>
      </c>
      <c r="X1285" t="str">
        <f t="shared" si="272"/>
        <v>Improve interview preparation and communication</v>
      </c>
    </row>
    <row r="1286" spans="1:24" x14ac:dyDescent="0.3">
      <c r="A1286">
        <v>42</v>
      </c>
      <c r="B1286">
        <v>0</v>
      </c>
      <c r="C1286">
        <v>2</v>
      </c>
      <c r="D1286">
        <v>10</v>
      </c>
      <c r="E1286">
        <v>5</v>
      </c>
      <c r="F1286">
        <v>31.339644791066799</v>
      </c>
      <c r="G1286">
        <v>47</v>
      </c>
      <c r="H1286">
        <v>85</v>
      </c>
      <c r="I1286">
        <v>72</v>
      </c>
      <c r="J1286">
        <v>2</v>
      </c>
      <c r="K1286">
        <v>0</v>
      </c>
      <c r="L1286" t="str">
        <f t="shared" si="260"/>
        <v>C1285</v>
      </c>
      <c r="M1286" t="str">
        <f t="shared" si="261"/>
        <v>Male</v>
      </c>
      <c r="N1286" t="str">
        <f t="shared" si="262"/>
        <v>Bachelor's Type 2</v>
      </c>
      <c r="O1286" t="str">
        <f t="shared" si="263"/>
        <v>Senior Level</v>
      </c>
      <c r="P1286" t="str">
        <f t="shared" si="264"/>
        <v>Low</v>
      </c>
      <c r="Q1286" t="str">
        <f t="shared" si="265"/>
        <v>Advanced</v>
      </c>
      <c r="R1286" t="str">
        <f t="shared" si="266"/>
        <v>Good</v>
      </c>
      <c r="S1286" t="str">
        <f t="shared" si="267"/>
        <v>Not Hired</v>
      </c>
      <c r="T1286">
        <f t="shared" si="268"/>
        <v>67</v>
      </c>
      <c r="U1286" t="str">
        <f t="shared" si="269"/>
        <v>Developing</v>
      </c>
      <c r="V1286" t="str">
        <f t="shared" si="270"/>
        <v>Technical Skills</v>
      </c>
      <c r="W1286" t="str">
        <f t="shared" si="271"/>
        <v>Interview Preparation</v>
      </c>
      <c r="X1286" t="str">
        <f t="shared" si="272"/>
        <v>Improve interview preparation and communication</v>
      </c>
    </row>
    <row r="1287" spans="1:24" x14ac:dyDescent="0.3">
      <c r="A1287">
        <v>35</v>
      </c>
      <c r="B1287">
        <v>0</v>
      </c>
      <c r="C1287">
        <v>2</v>
      </c>
      <c r="D1287">
        <v>1</v>
      </c>
      <c r="E1287">
        <v>4</v>
      </c>
      <c r="F1287">
        <v>43.473495079183103</v>
      </c>
      <c r="G1287">
        <v>71</v>
      </c>
      <c r="H1287">
        <v>5</v>
      </c>
      <c r="I1287">
        <v>30</v>
      </c>
      <c r="J1287">
        <v>3</v>
      </c>
      <c r="K1287">
        <v>0</v>
      </c>
      <c r="L1287" t="str">
        <f t="shared" si="260"/>
        <v>C1286</v>
      </c>
      <c r="M1287" t="str">
        <f t="shared" si="261"/>
        <v>Male</v>
      </c>
      <c r="N1287" t="str">
        <f t="shared" si="262"/>
        <v>Bachelor's Type 2</v>
      </c>
      <c r="O1287" t="str">
        <f t="shared" si="263"/>
        <v>Entry Level</v>
      </c>
      <c r="P1287" t="str">
        <f t="shared" si="264"/>
        <v>Average</v>
      </c>
      <c r="Q1287" t="str">
        <f t="shared" si="265"/>
        <v>Beginner</v>
      </c>
      <c r="R1287" t="str">
        <f t="shared" si="266"/>
        <v>Needs Improvement</v>
      </c>
      <c r="S1287" t="str">
        <f t="shared" si="267"/>
        <v>Not Hired</v>
      </c>
      <c r="T1287">
        <f t="shared" si="268"/>
        <v>32</v>
      </c>
      <c r="U1287" t="str">
        <f t="shared" si="269"/>
        <v>Needs Improvement</v>
      </c>
      <c r="V1287" t="str">
        <f t="shared" si="270"/>
        <v>Interview</v>
      </c>
      <c r="W1287" t="str">
        <f t="shared" si="271"/>
        <v>Technical Skills</v>
      </c>
      <c r="X1287" t="str">
        <f t="shared" si="272"/>
        <v>Strengthen technical skills and practical knowledge</v>
      </c>
    </row>
    <row r="1288" spans="1:24" x14ac:dyDescent="0.3">
      <c r="A1288">
        <v>23</v>
      </c>
      <c r="B1288">
        <v>0</v>
      </c>
      <c r="C1288">
        <v>3</v>
      </c>
      <c r="D1288">
        <v>15</v>
      </c>
      <c r="E1288">
        <v>3</v>
      </c>
      <c r="F1288">
        <v>28.060188288564898</v>
      </c>
      <c r="G1288">
        <v>48</v>
      </c>
      <c r="H1288">
        <v>51</v>
      </c>
      <c r="I1288">
        <v>25</v>
      </c>
      <c r="J1288">
        <v>2</v>
      </c>
      <c r="K1288">
        <v>0</v>
      </c>
      <c r="L1288" t="str">
        <f t="shared" si="260"/>
        <v>C1287</v>
      </c>
      <c r="M1288" t="str">
        <f t="shared" si="261"/>
        <v>Male</v>
      </c>
      <c r="N1288" t="str">
        <f t="shared" si="262"/>
        <v>Master's</v>
      </c>
      <c r="O1288" t="str">
        <f t="shared" si="263"/>
        <v>Senior Level</v>
      </c>
      <c r="P1288" t="str">
        <f t="shared" si="264"/>
        <v>Low</v>
      </c>
      <c r="Q1288" t="str">
        <f t="shared" si="265"/>
        <v>Intermediate</v>
      </c>
      <c r="R1288" t="str">
        <f t="shared" si="266"/>
        <v>Needs Improvement</v>
      </c>
      <c r="S1288" t="str">
        <f t="shared" si="267"/>
        <v>Not Hired</v>
      </c>
      <c r="T1288">
        <f t="shared" si="268"/>
        <v>53</v>
      </c>
      <c r="U1288" t="str">
        <f t="shared" si="269"/>
        <v>Developing</v>
      </c>
      <c r="V1288" t="str">
        <f t="shared" si="270"/>
        <v>Technical Skills</v>
      </c>
      <c r="W1288" t="str">
        <f t="shared" si="271"/>
        <v>Personality &amp; Communication</v>
      </c>
      <c r="X1288" t="str">
        <f t="shared" si="272"/>
        <v>Work on communication and personality development</v>
      </c>
    </row>
    <row r="1289" spans="1:24" x14ac:dyDescent="0.3">
      <c r="A1289">
        <v>49</v>
      </c>
      <c r="B1289">
        <v>0</v>
      </c>
      <c r="C1289">
        <v>4</v>
      </c>
      <c r="D1289">
        <v>8</v>
      </c>
      <c r="E1289">
        <v>2</v>
      </c>
      <c r="F1289">
        <v>41.192994312441101</v>
      </c>
      <c r="G1289">
        <v>46</v>
      </c>
      <c r="H1289">
        <v>78</v>
      </c>
      <c r="I1289">
        <v>80</v>
      </c>
      <c r="J1289">
        <v>3</v>
      </c>
      <c r="K1289">
        <v>1</v>
      </c>
      <c r="L1289" t="str">
        <f t="shared" si="260"/>
        <v>C1288</v>
      </c>
      <c r="M1289" t="str">
        <f t="shared" si="261"/>
        <v>Male</v>
      </c>
      <c r="N1289" t="str">
        <f t="shared" si="262"/>
        <v>PhD</v>
      </c>
      <c r="O1289" t="str">
        <f t="shared" si="263"/>
        <v>Senior Level</v>
      </c>
      <c r="P1289" t="str">
        <f t="shared" si="264"/>
        <v>Low</v>
      </c>
      <c r="Q1289" t="str">
        <f t="shared" si="265"/>
        <v>Advanced</v>
      </c>
      <c r="R1289" t="str">
        <f t="shared" si="266"/>
        <v>Strong</v>
      </c>
      <c r="S1289" t="str">
        <f t="shared" si="267"/>
        <v>Hired</v>
      </c>
      <c r="T1289">
        <f t="shared" si="268"/>
        <v>66</v>
      </c>
      <c r="U1289" t="str">
        <f t="shared" si="269"/>
        <v>Developing</v>
      </c>
      <c r="V1289" t="str">
        <f t="shared" si="270"/>
        <v>Personality</v>
      </c>
      <c r="W1289" t="str">
        <f t="shared" si="271"/>
        <v>Interview Preparation</v>
      </c>
      <c r="X1289" t="str">
        <f t="shared" si="272"/>
        <v>Improve interview preparation and communication</v>
      </c>
    </row>
    <row r="1290" spans="1:24" x14ac:dyDescent="0.3">
      <c r="A1290">
        <v>30</v>
      </c>
      <c r="B1290">
        <v>0</v>
      </c>
      <c r="C1290">
        <v>3</v>
      </c>
      <c r="D1290">
        <v>15</v>
      </c>
      <c r="E1290">
        <v>2</v>
      </c>
      <c r="F1290">
        <v>26.444262758712199</v>
      </c>
      <c r="G1290">
        <v>55</v>
      </c>
      <c r="H1290">
        <v>87</v>
      </c>
      <c r="I1290">
        <v>55</v>
      </c>
      <c r="J1290">
        <v>1</v>
      </c>
      <c r="K1290">
        <v>1</v>
      </c>
      <c r="L1290" t="str">
        <f t="shared" si="260"/>
        <v>C1289</v>
      </c>
      <c r="M1290" t="str">
        <f t="shared" si="261"/>
        <v>Male</v>
      </c>
      <c r="N1290" t="str">
        <f t="shared" si="262"/>
        <v>Master's</v>
      </c>
      <c r="O1290" t="str">
        <f t="shared" si="263"/>
        <v>Senior Level</v>
      </c>
      <c r="P1290" t="str">
        <f t="shared" si="264"/>
        <v>Average</v>
      </c>
      <c r="Q1290" t="str">
        <f t="shared" si="265"/>
        <v>Advanced</v>
      </c>
      <c r="R1290" t="str">
        <f t="shared" si="266"/>
        <v>Good</v>
      </c>
      <c r="S1290" t="str">
        <f t="shared" si="267"/>
        <v>Hired</v>
      </c>
      <c r="T1290">
        <f t="shared" si="268"/>
        <v>72</v>
      </c>
      <c r="U1290" t="str">
        <f t="shared" si="269"/>
        <v>Developing</v>
      </c>
      <c r="V1290" t="str">
        <f t="shared" si="270"/>
        <v>Technical Skills</v>
      </c>
      <c r="W1290" t="str">
        <f t="shared" si="271"/>
        <v>Interview Preparation</v>
      </c>
      <c r="X1290" t="str">
        <f t="shared" si="272"/>
        <v>Improve interview preparation and communication</v>
      </c>
    </row>
    <row r="1291" spans="1:24" x14ac:dyDescent="0.3">
      <c r="A1291">
        <v>49</v>
      </c>
      <c r="B1291">
        <v>0</v>
      </c>
      <c r="C1291">
        <v>3</v>
      </c>
      <c r="D1291">
        <v>14</v>
      </c>
      <c r="E1291">
        <v>2</v>
      </c>
      <c r="F1291">
        <v>4.1222137486961996</v>
      </c>
      <c r="G1291">
        <v>64</v>
      </c>
      <c r="H1291">
        <v>20</v>
      </c>
      <c r="I1291">
        <v>33</v>
      </c>
      <c r="J1291">
        <v>2</v>
      </c>
      <c r="K1291">
        <v>0</v>
      </c>
      <c r="L1291" t="str">
        <f t="shared" si="260"/>
        <v>C1290</v>
      </c>
      <c r="M1291" t="str">
        <f t="shared" si="261"/>
        <v>Male</v>
      </c>
      <c r="N1291" t="str">
        <f t="shared" si="262"/>
        <v>Master's</v>
      </c>
      <c r="O1291" t="str">
        <f t="shared" si="263"/>
        <v>Senior Level</v>
      </c>
      <c r="P1291" t="str">
        <f t="shared" si="264"/>
        <v>Average</v>
      </c>
      <c r="Q1291" t="str">
        <f t="shared" si="265"/>
        <v>Beginner</v>
      </c>
      <c r="R1291" t="str">
        <f t="shared" si="266"/>
        <v>Needs Improvement</v>
      </c>
      <c r="S1291" t="str">
        <f t="shared" si="267"/>
        <v>Not Hired</v>
      </c>
      <c r="T1291">
        <f t="shared" si="268"/>
        <v>50</v>
      </c>
      <c r="U1291" t="str">
        <f t="shared" si="269"/>
        <v>Developing</v>
      </c>
      <c r="V1291" t="str">
        <f t="shared" si="270"/>
        <v>Interview</v>
      </c>
      <c r="W1291" t="str">
        <f t="shared" si="271"/>
        <v>Technical Skills</v>
      </c>
      <c r="X1291" t="str">
        <f t="shared" si="272"/>
        <v>Strengthen technical skills and practical knowledge</v>
      </c>
    </row>
    <row r="1292" spans="1:24" x14ac:dyDescent="0.3">
      <c r="A1292">
        <v>49</v>
      </c>
      <c r="B1292">
        <v>0</v>
      </c>
      <c r="C1292">
        <v>2</v>
      </c>
      <c r="D1292">
        <v>11</v>
      </c>
      <c r="E1292">
        <v>5</v>
      </c>
      <c r="F1292">
        <v>20.1973504452077</v>
      </c>
      <c r="G1292">
        <v>11</v>
      </c>
      <c r="H1292">
        <v>70</v>
      </c>
      <c r="I1292">
        <v>8</v>
      </c>
      <c r="J1292">
        <v>2</v>
      </c>
      <c r="K1292">
        <v>0</v>
      </c>
      <c r="L1292" t="str">
        <f t="shared" si="260"/>
        <v>C1291</v>
      </c>
      <c r="M1292" t="str">
        <f t="shared" si="261"/>
        <v>Male</v>
      </c>
      <c r="N1292" t="str">
        <f t="shared" si="262"/>
        <v>Bachelor's Type 2</v>
      </c>
      <c r="O1292" t="str">
        <f t="shared" si="263"/>
        <v>Senior Level</v>
      </c>
      <c r="P1292" t="str">
        <f t="shared" si="264"/>
        <v>Low</v>
      </c>
      <c r="Q1292" t="str">
        <f t="shared" si="265"/>
        <v>Intermediate</v>
      </c>
      <c r="R1292" t="str">
        <f t="shared" si="266"/>
        <v>Needs Improvement</v>
      </c>
      <c r="S1292" t="str">
        <f t="shared" si="267"/>
        <v>Not Hired</v>
      </c>
      <c r="T1292">
        <f t="shared" si="268"/>
        <v>39</v>
      </c>
      <c r="U1292" t="str">
        <f t="shared" si="269"/>
        <v>Needs Improvement</v>
      </c>
      <c r="V1292" t="str">
        <f t="shared" si="270"/>
        <v>Technical Skills</v>
      </c>
      <c r="W1292" t="str">
        <f t="shared" si="271"/>
        <v>Personality &amp; Communication</v>
      </c>
      <c r="X1292" t="str">
        <f t="shared" si="272"/>
        <v>Work on communication and personality development</v>
      </c>
    </row>
    <row r="1293" spans="1:24" x14ac:dyDescent="0.3">
      <c r="A1293">
        <v>49</v>
      </c>
      <c r="B1293">
        <v>1</v>
      </c>
      <c r="C1293">
        <v>3</v>
      </c>
      <c r="D1293">
        <v>0</v>
      </c>
      <c r="E1293">
        <v>1</v>
      </c>
      <c r="F1293">
        <v>23.222047883574898</v>
      </c>
      <c r="G1293">
        <v>68</v>
      </c>
      <c r="H1293">
        <v>92</v>
      </c>
      <c r="I1293">
        <v>61</v>
      </c>
      <c r="J1293">
        <v>3</v>
      </c>
      <c r="K1293">
        <v>0</v>
      </c>
      <c r="L1293" t="str">
        <f t="shared" si="260"/>
        <v>C1292</v>
      </c>
      <c r="M1293" t="str">
        <f t="shared" si="261"/>
        <v>Female</v>
      </c>
      <c r="N1293" t="str">
        <f t="shared" si="262"/>
        <v>Master's</v>
      </c>
      <c r="O1293" t="str">
        <f t="shared" si="263"/>
        <v>Entry Level</v>
      </c>
      <c r="P1293" t="str">
        <f t="shared" si="264"/>
        <v>Average</v>
      </c>
      <c r="Q1293" t="str">
        <f t="shared" si="265"/>
        <v>Advanced</v>
      </c>
      <c r="R1293" t="str">
        <f t="shared" si="266"/>
        <v>Good</v>
      </c>
      <c r="S1293" t="str">
        <f t="shared" si="267"/>
        <v>Not Hired</v>
      </c>
      <c r="T1293">
        <f t="shared" si="268"/>
        <v>64</v>
      </c>
      <c r="U1293" t="str">
        <f t="shared" si="269"/>
        <v>Developing</v>
      </c>
      <c r="V1293" t="str">
        <f t="shared" si="270"/>
        <v>Technical Skills</v>
      </c>
      <c r="W1293" t="str">
        <f t="shared" si="271"/>
        <v>Personality &amp; Communication</v>
      </c>
      <c r="X1293" t="str">
        <f t="shared" si="272"/>
        <v>Work on communication and personality development</v>
      </c>
    </row>
    <row r="1294" spans="1:24" x14ac:dyDescent="0.3">
      <c r="A1294">
        <v>50</v>
      </c>
      <c r="B1294">
        <v>1</v>
      </c>
      <c r="C1294">
        <v>3</v>
      </c>
      <c r="D1294">
        <v>12</v>
      </c>
      <c r="E1294">
        <v>5</v>
      </c>
      <c r="F1294">
        <v>8.0808622493308597</v>
      </c>
      <c r="G1294">
        <v>87</v>
      </c>
      <c r="H1294">
        <v>95</v>
      </c>
      <c r="I1294">
        <v>12</v>
      </c>
      <c r="J1294">
        <v>1</v>
      </c>
      <c r="K1294">
        <v>1</v>
      </c>
      <c r="L1294" t="str">
        <f t="shared" si="260"/>
        <v>C1293</v>
      </c>
      <c r="M1294" t="str">
        <f t="shared" si="261"/>
        <v>Female</v>
      </c>
      <c r="N1294" t="str">
        <f t="shared" si="262"/>
        <v>Master's</v>
      </c>
      <c r="O1294" t="str">
        <f t="shared" si="263"/>
        <v>Senior Level</v>
      </c>
      <c r="P1294" t="str">
        <f t="shared" si="264"/>
        <v>Strong</v>
      </c>
      <c r="Q1294" t="str">
        <f t="shared" si="265"/>
        <v>Advanced</v>
      </c>
      <c r="R1294" t="str">
        <f t="shared" si="266"/>
        <v>Needs Improvement</v>
      </c>
      <c r="S1294" t="str">
        <f t="shared" si="267"/>
        <v>Hired</v>
      </c>
      <c r="T1294">
        <f t="shared" si="268"/>
        <v>73</v>
      </c>
      <c r="U1294" t="str">
        <f t="shared" si="269"/>
        <v>Developing</v>
      </c>
      <c r="V1294" t="str">
        <f t="shared" si="270"/>
        <v>Technical Skills</v>
      </c>
      <c r="W1294" t="str">
        <f t="shared" si="271"/>
        <v>Personality &amp; Communication</v>
      </c>
      <c r="X1294" t="str">
        <f t="shared" si="272"/>
        <v>Work on communication and personality development</v>
      </c>
    </row>
    <row r="1295" spans="1:24" x14ac:dyDescent="0.3">
      <c r="A1295">
        <v>43</v>
      </c>
      <c r="B1295">
        <v>1</v>
      </c>
      <c r="C1295">
        <v>2</v>
      </c>
      <c r="D1295">
        <v>13</v>
      </c>
      <c r="E1295">
        <v>4</v>
      </c>
      <c r="F1295">
        <v>6.1248164594606402</v>
      </c>
      <c r="G1295">
        <v>5</v>
      </c>
      <c r="H1295">
        <v>31</v>
      </c>
      <c r="I1295">
        <v>68</v>
      </c>
      <c r="J1295">
        <v>3</v>
      </c>
      <c r="K1295">
        <v>0</v>
      </c>
      <c r="L1295" t="str">
        <f t="shared" si="260"/>
        <v>C1294</v>
      </c>
      <c r="M1295" t="str">
        <f t="shared" si="261"/>
        <v>Female</v>
      </c>
      <c r="N1295" t="str">
        <f t="shared" si="262"/>
        <v>Bachelor's Type 2</v>
      </c>
      <c r="O1295" t="str">
        <f t="shared" si="263"/>
        <v>Senior Level</v>
      </c>
      <c r="P1295" t="str">
        <f t="shared" si="264"/>
        <v>Low</v>
      </c>
      <c r="Q1295" t="str">
        <f t="shared" si="265"/>
        <v>Beginner</v>
      </c>
      <c r="R1295" t="str">
        <f t="shared" si="266"/>
        <v>Good</v>
      </c>
      <c r="S1295" t="str">
        <f t="shared" si="267"/>
        <v>Not Hired</v>
      </c>
      <c r="T1295">
        <f t="shared" si="268"/>
        <v>40</v>
      </c>
      <c r="U1295" t="str">
        <f t="shared" si="269"/>
        <v>Needs Improvement</v>
      </c>
      <c r="V1295" t="str">
        <f t="shared" si="270"/>
        <v>Personality</v>
      </c>
      <c r="W1295" t="str">
        <f t="shared" si="271"/>
        <v>Interview Preparation</v>
      </c>
      <c r="X1295" t="str">
        <f t="shared" si="272"/>
        <v>Improve interview preparation and communication</v>
      </c>
    </row>
    <row r="1296" spans="1:24" x14ac:dyDescent="0.3">
      <c r="A1296">
        <v>42</v>
      </c>
      <c r="B1296">
        <v>1</v>
      </c>
      <c r="C1296">
        <v>2</v>
      </c>
      <c r="D1296">
        <v>8</v>
      </c>
      <c r="E1296">
        <v>1</v>
      </c>
      <c r="F1296">
        <v>27.773247482847701</v>
      </c>
      <c r="G1296">
        <v>88</v>
      </c>
      <c r="H1296">
        <v>52</v>
      </c>
      <c r="I1296">
        <v>40</v>
      </c>
      <c r="J1296">
        <v>2</v>
      </c>
      <c r="K1296">
        <v>0</v>
      </c>
      <c r="L1296" t="str">
        <f t="shared" si="260"/>
        <v>C1295</v>
      </c>
      <c r="M1296" t="str">
        <f t="shared" si="261"/>
        <v>Female</v>
      </c>
      <c r="N1296" t="str">
        <f t="shared" si="262"/>
        <v>Bachelor's Type 2</v>
      </c>
      <c r="O1296" t="str">
        <f t="shared" si="263"/>
        <v>Senior Level</v>
      </c>
      <c r="P1296" t="str">
        <f t="shared" si="264"/>
        <v>Strong</v>
      </c>
      <c r="Q1296" t="str">
        <f t="shared" si="265"/>
        <v>Intermediate</v>
      </c>
      <c r="R1296" t="str">
        <f t="shared" si="266"/>
        <v>Needs Improvement</v>
      </c>
      <c r="S1296" t="str">
        <f t="shared" si="267"/>
        <v>Not Hired</v>
      </c>
      <c r="T1296">
        <f t="shared" si="268"/>
        <v>61</v>
      </c>
      <c r="U1296" t="str">
        <f t="shared" si="269"/>
        <v>Developing</v>
      </c>
      <c r="V1296" t="str">
        <f t="shared" si="270"/>
        <v>Interview</v>
      </c>
      <c r="W1296" t="str">
        <f t="shared" si="271"/>
        <v>Personality &amp; Communication</v>
      </c>
      <c r="X1296" t="str">
        <f t="shared" si="272"/>
        <v>Work on communication and personality development</v>
      </c>
    </row>
    <row r="1297" spans="1:24" x14ac:dyDescent="0.3">
      <c r="A1297">
        <v>28</v>
      </c>
      <c r="B1297">
        <v>0</v>
      </c>
      <c r="C1297">
        <v>3</v>
      </c>
      <c r="D1297">
        <v>8</v>
      </c>
      <c r="E1297">
        <v>4</v>
      </c>
      <c r="F1297">
        <v>5.2571818278041</v>
      </c>
      <c r="G1297">
        <v>64</v>
      </c>
      <c r="H1297">
        <v>58</v>
      </c>
      <c r="I1297">
        <v>76</v>
      </c>
      <c r="J1297">
        <v>3</v>
      </c>
      <c r="K1297">
        <v>1</v>
      </c>
      <c r="L1297" t="str">
        <f t="shared" si="260"/>
        <v>C1296</v>
      </c>
      <c r="M1297" t="str">
        <f t="shared" si="261"/>
        <v>Male</v>
      </c>
      <c r="N1297" t="str">
        <f t="shared" si="262"/>
        <v>Master's</v>
      </c>
      <c r="O1297" t="str">
        <f t="shared" si="263"/>
        <v>Senior Level</v>
      </c>
      <c r="P1297" t="str">
        <f t="shared" si="264"/>
        <v>Average</v>
      </c>
      <c r="Q1297" t="str">
        <f t="shared" si="265"/>
        <v>Intermediate</v>
      </c>
      <c r="R1297" t="str">
        <f t="shared" si="266"/>
        <v>Strong</v>
      </c>
      <c r="S1297" t="str">
        <f t="shared" si="267"/>
        <v>Hired</v>
      </c>
      <c r="T1297">
        <f t="shared" si="268"/>
        <v>64</v>
      </c>
      <c r="U1297" t="str">
        <f t="shared" si="269"/>
        <v>Developing</v>
      </c>
      <c r="V1297" t="str">
        <f t="shared" si="270"/>
        <v>Personality</v>
      </c>
      <c r="W1297" t="str">
        <f t="shared" si="271"/>
        <v>Technical Skills</v>
      </c>
      <c r="X1297" t="str">
        <f t="shared" si="272"/>
        <v>Strengthen technical skills and practical knowledge</v>
      </c>
    </row>
    <row r="1298" spans="1:24" x14ac:dyDescent="0.3">
      <c r="A1298">
        <v>42</v>
      </c>
      <c r="B1298">
        <v>1</v>
      </c>
      <c r="C1298">
        <v>1</v>
      </c>
      <c r="D1298">
        <v>7</v>
      </c>
      <c r="E1298">
        <v>1</v>
      </c>
      <c r="F1298">
        <v>16.147258394504199</v>
      </c>
      <c r="G1298">
        <v>24</v>
      </c>
      <c r="H1298">
        <v>68</v>
      </c>
      <c r="I1298">
        <v>0</v>
      </c>
      <c r="J1298">
        <v>2</v>
      </c>
      <c r="K1298">
        <v>0</v>
      </c>
      <c r="L1298" t="str">
        <f t="shared" si="260"/>
        <v>C1297</v>
      </c>
      <c r="M1298" t="str">
        <f t="shared" si="261"/>
        <v>Female</v>
      </c>
      <c r="N1298" t="str">
        <f t="shared" si="262"/>
        <v>Bachelor's Type 1</v>
      </c>
      <c r="O1298" t="str">
        <f t="shared" si="263"/>
        <v>Senior Level</v>
      </c>
      <c r="P1298" t="str">
        <f t="shared" si="264"/>
        <v>Low</v>
      </c>
      <c r="Q1298" t="str">
        <f t="shared" si="265"/>
        <v>Intermediate</v>
      </c>
      <c r="R1298" t="str">
        <f t="shared" si="266"/>
        <v>Needs Improvement</v>
      </c>
      <c r="S1298" t="str">
        <f t="shared" si="267"/>
        <v>Not Hired</v>
      </c>
      <c r="T1298">
        <f t="shared" si="268"/>
        <v>37</v>
      </c>
      <c r="U1298" t="str">
        <f t="shared" si="269"/>
        <v>Needs Improvement</v>
      </c>
      <c r="V1298" t="str">
        <f t="shared" si="270"/>
        <v>Technical Skills</v>
      </c>
      <c r="W1298" t="str">
        <f t="shared" si="271"/>
        <v>Personality &amp; Communication</v>
      </c>
      <c r="X1298" t="str">
        <f t="shared" si="272"/>
        <v>Work on communication and personality development</v>
      </c>
    </row>
    <row r="1299" spans="1:24" x14ac:dyDescent="0.3">
      <c r="A1299">
        <v>22</v>
      </c>
      <c r="B1299">
        <v>1</v>
      </c>
      <c r="C1299">
        <v>3</v>
      </c>
      <c r="D1299">
        <v>7</v>
      </c>
      <c r="E1299">
        <v>5</v>
      </c>
      <c r="F1299">
        <v>38.229848798153697</v>
      </c>
      <c r="G1299">
        <v>0</v>
      </c>
      <c r="H1299">
        <v>61</v>
      </c>
      <c r="I1299">
        <v>88</v>
      </c>
      <c r="J1299">
        <v>1</v>
      </c>
      <c r="K1299">
        <v>1</v>
      </c>
      <c r="L1299" t="str">
        <f t="shared" si="260"/>
        <v>C1298</v>
      </c>
      <c r="M1299" t="str">
        <f t="shared" si="261"/>
        <v>Female</v>
      </c>
      <c r="N1299" t="str">
        <f t="shared" si="262"/>
        <v>Master's</v>
      </c>
      <c r="O1299" t="str">
        <f t="shared" si="263"/>
        <v>Senior Level</v>
      </c>
      <c r="P1299" t="str">
        <f t="shared" si="264"/>
        <v>Low</v>
      </c>
      <c r="Q1299" t="str">
        <f t="shared" si="265"/>
        <v>Intermediate</v>
      </c>
      <c r="R1299" t="str">
        <f t="shared" si="266"/>
        <v>Strong</v>
      </c>
      <c r="S1299" t="str">
        <f t="shared" si="267"/>
        <v>Hired</v>
      </c>
      <c r="T1299">
        <f t="shared" si="268"/>
        <v>47</v>
      </c>
      <c r="U1299" t="str">
        <f t="shared" si="269"/>
        <v>Needs Improvement</v>
      </c>
      <c r="V1299" t="str">
        <f t="shared" si="270"/>
        <v>Personality</v>
      </c>
      <c r="W1299" t="str">
        <f t="shared" si="271"/>
        <v>Interview Preparation</v>
      </c>
      <c r="X1299" t="str">
        <f t="shared" si="272"/>
        <v>Improve interview preparation and communication</v>
      </c>
    </row>
    <row r="1300" spans="1:24" x14ac:dyDescent="0.3">
      <c r="A1300">
        <v>38</v>
      </c>
      <c r="B1300">
        <v>0</v>
      </c>
      <c r="C1300">
        <v>1</v>
      </c>
      <c r="D1300">
        <v>10</v>
      </c>
      <c r="E1300">
        <v>2</v>
      </c>
      <c r="F1300">
        <v>49.221608978398997</v>
      </c>
      <c r="G1300">
        <v>31</v>
      </c>
      <c r="H1300">
        <v>3</v>
      </c>
      <c r="I1300">
        <v>46</v>
      </c>
      <c r="J1300">
        <v>3</v>
      </c>
      <c r="K1300">
        <v>0</v>
      </c>
      <c r="L1300" t="str">
        <f t="shared" si="260"/>
        <v>C1299</v>
      </c>
      <c r="M1300" t="str">
        <f t="shared" si="261"/>
        <v>Male</v>
      </c>
      <c r="N1300" t="str">
        <f t="shared" si="262"/>
        <v>Bachelor's Type 1</v>
      </c>
      <c r="O1300" t="str">
        <f t="shared" si="263"/>
        <v>Senior Level</v>
      </c>
      <c r="P1300" t="str">
        <f t="shared" si="264"/>
        <v>Low</v>
      </c>
      <c r="Q1300" t="str">
        <f t="shared" si="265"/>
        <v>Beginner</v>
      </c>
      <c r="R1300" t="str">
        <f t="shared" si="266"/>
        <v>Needs Improvement</v>
      </c>
      <c r="S1300" t="str">
        <f t="shared" si="267"/>
        <v>Not Hired</v>
      </c>
      <c r="T1300">
        <f t="shared" si="268"/>
        <v>32</v>
      </c>
      <c r="U1300" t="str">
        <f t="shared" si="269"/>
        <v>Needs Improvement</v>
      </c>
      <c r="V1300" t="str">
        <f t="shared" si="270"/>
        <v>Personality</v>
      </c>
      <c r="W1300" t="str">
        <f t="shared" si="271"/>
        <v>Technical Skills</v>
      </c>
      <c r="X1300" t="str">
        <f t="shared" si="272"/>
        <v>Strengthen technical skills and practical knowledge</v>
      </c>
    </row>
    <row r="1301" spans="1:24" x14ac:dyDescent="0.3">
      <c r="A1301">
        <v>50</v>
      </c>
      <c r="B1301">
        <v>0</v>
      </c>
      <c r="C1301">
        <v>2</v>
      </c>
      <c r="D1301">
        <v>13</v>
      </c>
      <c r="E1301">
        <v>3</v>
      </c>
      <c r="F1301">
        <v>36.893529027596401</v>
      </c>
      <c r="G1301">
        <v>2</v>
      </c>
      <c r="H1301">
        <v>85</v>
      </c>
      <c r="I1301">
        <v>3</v>
      </c>
      <c r="J1301">
        <v>3</v>
      </c>
      <c r="K1301">
        <v>0</v>
      </c>
      <c r="L1301" t="str">
        <f t="shared" si="260"/>
        <v>C1300</v>
      </c>
      <c r="M1301" t="str">
        <f t="shared" si="261"/>
        <v>Male</v>
      </c>
      <c r="N1301" t="str">
        <f t="shared" si="262"/>
        <v>Bachelor's Type 2</v>
      </c>
      <c r="O1301" t="str">
        <f t="shared" si="263"/>
        <v>Senior Level</v>
      </c>
      <c r="P1301" t="str">
        <f t="shared" si="264"/>
        <v>Low</v>
      </c>
      <c r="Q1301" t="str">
        <f t="shared" si="265"/>
        <v>Advanced</v>
      </c>
      <c r="R1301" t="str">
        <f t="shared" si="266"/>
        <v>Needs Improvement</v>
      </c>
      <c r="S1301" t="str">
        <f t="shared" si="267"/>
        <v>Not Hired</v>
      </c>
      <c r="T1301">
        <f t="shared" si="268"/>
        <v>42</v>
      </c>
      <c r="U1301" t="str">
        <f t="shared" si="269"/>
        <v>Needs Improvement</v>
      </c>
      <c r="V1301" t="str">
        <f t="shared" si="270"/>
        <v>Technical Skills</v>
      </c>
      <c r="W1301" t="str">
        <f t="shared" si="271"/>
        <v>Interview Preparation</v>
      </c>
      <c r="X1301" t="str">
        <f t="shared" si="272"/>
        <v>Improve interview preparation and communication</v>
      </c>
    </row>
    <row r="1302" spans="1:24" x14ac:dyDescent="0.3">
      <c r="A1302">
        <v>27</v>
      </c>
      <c r="B1302">
        <v>1</v>
      </c>
      <c r="C1302">
        <v>3</v>
      </c>
      <c r="D1302">
        <v>11</v>
      </c>
      <c r="E1302">
        <v>2</v>
      </c>
      <c r="F1302">
        <v>50.6312774226435</v>
      </c>
      <c r="G1302">
        <v>48</v>
      </c>
      <c r="H1302">
        <v>17</v>
      </c>
      <c r="I1302">
        <v>99</v>
      </c>
      <c r="J1302">
        <v>2</v>
      </c>
      <c r="K1302">
        <v>0</v>
      </c>
      <c r="L1302" t="str">
        <f t="shared" si="260"/>
        <v>C1301</v>
      </c>
      <c r="M1302" t="str">
        <f t="shared" si="261"/>
        <v>Female</v>
      </c>
      <c r="N1302" t="str">
        <f t="shared" si="262"/>
        <v>Master's</v>
      </c>
      <c r="O1302" t="str">
        <f t="shared" si="263"/>
        <v>Senior Level</v>
      </c>
      <c r="P1302" t="str">
        <f t="shared" si="264"/>
        <v>Low</v>
      </c>
      <c r="Q1302" t="str">
        <f t="shared" si="265"/>
        <v>Beginner</v>
      </c>
      <c r="R1302" t="str">
        <f t="shared" si="266"/>
        <v>Strong</v>
      </c>
      <c r="S1302" t="str">
        <f t="shared" si="267"/>
        <v>Not Hired</v>
      </c>
      <c r="T1302">
        <f t="shared" si="268"/>
        <v>54</v>
      </c>
      <c r="U1302" t="str">
        <f t="shared" si="269"/>
        <v>Developing</v>
      </c>
      <c r="V1302" t="str">
        <f t="shared" si="270"/>
        <v>Personality</v>
      </c>
      <c r="W1302" t="str">
        <f t="shared" si="271"/>
        <v>Technical Skills</v>
      </c>
      <c r="X1302" t="str">
        <f t="shared" si="272"/>
        <v>Strengthen technical skills and practical knowledge</v>
      </c>
    </row>
    <row r="1303" spans="1:24" x14ac:dyDescent="0.3">
      <c r="A1303">
        <v>24</v>
      </c>
      <c r="B1303">
        <v>1</v>
      </c>
      <c r="C1303">
        <v>2</v>
      </c>
      <c r="D1303">
        <v>0</v>
      </c>
      <c r="E1303">
        <v>5</v>
      </c>
      <c r="F1303">
        <v>35.916898563970101</v>
      </c>
      <c r="G1303">
        <v>18</v>
      </c>
      <c r="H1303">
        <v>98</v>
      </c>
      <c r="I1303">
        <v>62</v>
      </c>
      <c r="J1303">
        <v>1</v>
      </c>
      <c r="K1303">
        <v>1</v>
      </c>
      <c r="L1303" t="str">
        <f t="shared" si="260"/>
        <v>C1302</v>
      </c>
      <c r="M1303" t="str">
        <f t="shared" si="261"/>
        <v>Female</v>
      </c>
      <c r="N1303" t="str">
        <f t="shared" si="262"/>
        <v>Bachelor's Type 2</v>
      </c>
      <c r="O1303" t="str">
        <f t="shared" si="263"/>
        <v>Entry Level</v>
      </c>
      <c r="P1303" t="str">
        <f t="shared" si="264"/>
        <v>Low</v>
      </c>
      <c r="Q1303" t="str">
        <f t="shared" si="265"/>
        <v>Advanced</v>
      </c>
      <c r="R1303" t="str">
        <f t="shared" si="266"/>
        <v>Good</v>
      </c>
      <c r="S1303" t="str">
        <f t="shared" si="267"/>
        <v>Hired</v>
      </c>
      <c r="T1303">
        <f t="shared" si="268"/>
        <v>50</v>
      </c>
      <c r="U1303" t="str">
        <f t="shared" si="269"/>
        <v>Developing</v>
      </c>
      <c r="V1303" t="str">
        <f t="shared" si="270"/>
        <v>Technical Skills</v>
      </c>
      <c r="W1303" t="str">
        <f t="shared" si="271"/>
        <v>Interview Preparation</v>
      </c>
      <c r="X1303" t="str">
        <f t="shared" si="272"/>
        <v>Improve interview preparation and communication</v>
      </c>
    </row>
    <row r="1304" spans="1:24" x14ac:dyDescent="0.3">
      <c r="A1304">
        <v>23</v>
      </c>
      <c r="B1304">
        <v>0</v>
      </c>
      <c r="C1304">
        <v>2</v>
      </c>
      <c r="D1304">
        <v>10</v>
      </c>
      <c r="E1304">
        <v>1</v>
      </c>
      <c r="F1304">
        <v>15.6897235327163</v>
      </c>
      <c r="G1304">
        <v>59</v>
      </c>
      <c r="H1304">
        <v>80</v>
      </c>
      <c r="I1304">
        <v>51</v>
      </c>
      <c r="J1304">
        <v>1</v>
      </c>
      <c r="K1304">
        <v>1</v>
      </c>
      <c r="L1304" t="str">
        <f t="shared" si="260"/>
        <v>C1303</v>
      </c>
      <c r="M1304" t="str">
        <f t="shared" si="261"/>
        <v>Male</v>
      </c>
      <c r="N1304" t="str">
        <f t="shared" si="262"/>
        <v>Bachelor's Type 2</v>
      </c>
      <c r="O1304" t="str">
        <f t="shared" si="263"/>
        <v>Senior Level</v>
      </c>
      <c r="P1304" t="str">
        <f t="shared" si="264"/>
        <v>Average</v>
      </c>
      <c r="Q1304" t="str">
        <f t="shared" si="265"/>
        <v>Advanced</v>
      </c>
      <c r="R1304" t="str">
        <f t="shared" si="266"/>
        <v>Good</v>
      </c>
      <c r="S1304" t="str">
        <f t="shared" si="267"/>
        <v>Hired</v>
      </c>
      <c r="T1304">
        <f t="shared" si="268"/>
        <v>64</v>
      </c>
      <c r="U1304" t="str">
        <f t="shared" si="269"/>
        <v>Developing</v>
      </c>
      <c r="V1304" t="str">
        <f t="shared" si="270"/>
        <v>Technical Skills</v>
      </c>
      <c r="W1304" t="str">
        <f t="shared" si="271"/>
        <v>Personality &amp; Communication</v>
      </c>
      <c r="X1304" t="str">
        <f t="shared" si="272"/>
        <v>Work on communication and personality development</v>
      </c>
    </row>
    <row r="1305" spans="1:24" x14ac:dyDescent="0.3">
      <c r="A1305">
        <v>43</v>
      </c>
      <c r="B1305">
        <v>1</v>
      </c>
      <c r="C1305">
        <v>2</v>
      </c>
      <c r="D1305">
        <v>7</v>
      </c>
      <c r="E1305">
        <v>2</v>
      </c>
      <c r="F1305">
        <v>34.602627025267999</v>
      </c>
      <c r="G1305">
        <v>28</v>
      </c>
      <c r="H1305">
        <v>55</v>
      </c>
      <c r="I1305">
        <v>9</v>
      </c>
      <c r="J1305">
        <v>2</v>
      </c>
      <c r="K1305">
        <v>0</v>
      </c>
      <c r="L1305" t="str">
        <f t="shared" si="260"/>
        <v>C1304</v>
      </c>
      <c r="M1305" t="str">
        <f t="shared" si="261"/>
        <v>Female</v>
      </c>
      <c r="N1305" t="str">
        <f t="shared" si="262"/>
        <v>Bachelor's Type 2</v>
      </c>
      <c r="O1305" t="str">
        <f t="shared" si="263"/>
        <v>Senior Level</v>
      </c>
      <c r="P1305" t="str">
        <f t="shared" si="264"/>
        <v>Low</v>
      </c>
      <c r="Q1305" t="str">
        <f t="shared" si="265"/>
        <v>Intermediate</v>
      </c>
      <c r="R1305" t="str">
        <f t="shared" si="266"/>
        <v>Needs Improvement</v>
      </c>
      <c r="S1305" t="str">
        <f t="shared" si="267"/>
        <v>Not Hired</v>
      </c>
      <c r="T1305">
        <f t="shared" si="268"/>
        <v>36</v>
      </c>
      <c r="U1305" t="str">
        <f t="shared" si="269"/>
        <v>Needs Improvement</v>
      </c>
      <c r="V1305" t="str">
        <f t="shared" si="270"/>
        <v>Technical Skills</v>
      </c>
      <c r="W1305" t="str">
        <f t="shared" si="271"/>
        <v>Personality &amp; Communication</v>
      </c>
      <c r="X1305" t="str">
        <f t="shared" si="272"/>
        <v>Work on communication and personality development</v>
      </c>
    </row>
    <row r="1306" spans="1:24" x14ac:dyDescent="0.3">
      <c r="A1306">
        <v>50</v>
      </c>
      <c r="B1306">
        <v>0</v>
      </c>
      <c r="C1306">
        <v>3</v>
      </c>
      <c r="D1306">
        <v>9</v>
      </c>
      <c r="E1306">
        <v>5</v>
      </c>
      <c r="F1306">
        <v>36.107838259845103</v>
      </c>
      <c r="G1306">
        <v>49</v>
      </c>
      <c r="H1306">
        <v>23</v>
      </c>
      <c r="I1306">
        <v>27</v>
      </c>
      <c r="J1306">
        <v>1</v>
      </c>
      <c r="K1306">
        <v>1</v>
      </c>
      <c r="L1306" t="str">
        <f t="shared" si="260"/>
        <v>C1305</v>
      </c>
      <c r="M1306" t="str">
        <f t="shared" si="261"/>
        <v>Male</v>
      </c>
      <c r="N1306" t="str">
        <f t="shared" si="262"/>
        <v>Master's</v>
      </c>
      <c r="O1306" t="str">
        <f t="shared" si="263"/>
        <v>Senior Level</v>
      </c>
      <c r="P1306" t="str">
        <f t="shared" si="264"/>
        <v>Low</v>
      </c>
      <c r="Q1306" t="str">
        <f t="shared" si="265"/>
        <v>Beginner</v>
      </c>
      <c r="R1306" t="str">
        <f t="shared" si="266"/>
        <v>Needs Improvement</v>
      </c>
      <c r="S1306" t="str">
        <f t="shared" si="267"/>
        <v>Hired</v>
      </c>
      <c r="T1306">
        <f t="shared" si="268"/>
        <v>40</v>
      </c>
      <c r="U1306" t="str">
        <f t="shared" si="269"/>
        <v>Needs Improvement</v>
      </c>
      <c r="V1306" t="str">
        <f t="shared" si="270"/>
        <v>Interview</v>
      </c>
      <c r="W1306" t="str">
        <f t="shared" si="271"/>
        <v>Technical Skills</v>
      </c>
      <c r="X1306" t="str">
        <f t="shared" si="272"/>
        <v>Strengthen technical skills and practical knowledge</v>
      </c>
    </row>
    <row r="1307" spans="1:24" x14ac:dyDescent="0.3">
      <c r="A1307">
        <v>25</v>
      </c>
      <c r="B1307">
        <v>0</v>
      </c>
      <c r="C1307">
        <v>1</v>
      </c>
      <c r="D1307">
        <v>13</v>
      </c>
      <c r="E1307">
        <v>4</v>
      </c>
      <c r="F1307">
        <v>19.586349230823</v>
      </c>
      <c r="G1307">
        <v>1</v>
      </c>
      <c r="H1307">
        <v>65</v>
      </c>
      <c r="I1307">
        <v>5</v>
      </c>
      <c r="J1307">
        <v>2</v>
      </c>
      <c r="K1307">
        <v>0</v>
      </c>
      <c r="L1307" t="str">
        <f t="shared" si="260"/>
        <v>C1306</v>
      </c>
      <c r="M1307" t="str">
        <f t="shared" si="261"/>
        <v>Male</v>
      </c>
      <c r="N1307" t="str">
        <f t="shared" si="262"/>
        <v>Bachelor's Type 1</v>
      </c>
      <c r="O1307" t="str">
        <f t="shared" si="263"/>
        <v>Senior Level</v>
      </c>
      <c r="P1307" t="str">
        <f t="shared" si="264"/>
        <v>Low</v>
      </c>
      <c r="Q1307" t="str">
        <f t="shared" si="265"/>
        <v>Intermediate</v>
      </c>
      <c r="R1307" t="str">
        <f t="shared" si="266"/>
        <v>Needs Improvement</v>
      </c>
      <c r="S1307" t="str">
        <f t="shared" si="267"/>
        <v>Not Hired</v>
      </c>
      <c r="T1307">
        <f t="shared" si="268"/>
        <v>36</v>
      </c>
      <c r="U1307" t="str">
        <f t="shared" si="269"/>
        <v>Needs Improvement</v>
      </c>
      <c r="V1307" t="str">
        <f t="shared" si="270"/>
        <v>Technical Skills</v>
      </c>
      <c r="W1307" t="str">
        <f t="shared" si="271"/>
        <v>Interview Preparation</v>
      </c>
      <c r="X1307" t="str">
        <f t="shared" si="272"/>
        <v>Improve interview preparation and communication</v>
      </c>
    </row>
    <row r="1308" spans="1:24" x14ac:dyDescent="0.3">
      <c r="A1308">
        <v>21</v>
      </c>
      <c r="B1308">
        <v>0</v>
      </c>
      <c r="C1308">
        <v>4</v>
      </c>
      <c r="D1308">
        <v>2</v>
      </c>
      <c r="E1308">
        <v>3</v>
      </c>
      <c r="F1308">
        <v>1.8856925304694501</v>
      </c>
      <c r="G1308">
        <v>72</v>
      </c>
      <c r="H1308">
        <v>12</v>
      </c>
      <c r="I1308">
        <v>26</v>
      </c>
      <c r="J1308">
        <v>2</v>
      </c>
      <c r="K1308">
        <v>0</v>
      </c>
      <c r="L1308" t="str">
        <f t="shared" si="260"/>
        <v>C1307</v>
      </c>
      <c r="M1308" t="str">
        <f t="shared" si="261"/>
        <v>Male</v>
      </c>
      <c r="N1308" t="str">
        <f t="shared" si="262"/>
        <v>PhD</v>
      </c>
      <c r="O1308" t="str">
        <f t="shared" si="263"/>
        <v>Entry Level</v>
      </c>
      <c r="P1308" t="str">
        <f t="shared" si="264"/>
        <v>Average</v>
      </c>
      <c r="Q1308" t="str">
        <f t="shared" si="265"/>
        <v>Beginner</v>
      </c>
      <c r="R1308" t="str">
        <f t="shared" si="266"/>
        <v>Needs Improvement</v>
      </c>
      <c r="S1308" t="str">
        <f t="shared" si="267"/>
        <v>Not Hired</v>
      </c>
      <c r="T1308">
        <f t="shared" si="268"/>
        <v>37</v>
      </c>
      <c r="U1308" t="str">
        <f t="shared" si="269"/>
        <v>Needs Improvement</v>
      </c>
      <c r="V1308" t="str">
        <f t="shared" si="270"/>
        <v>Interview</v>
      </c>
      <c r="W1308" t="str">
        <f t="shared" si="271"/>
        <v>Technical Skills</v>
      </c>
      <c r="X1308" t="str">
        <f t="shared" si="272"/>
        <v>Strengthen technical skills and practical knowledge</v>
      </c>
    </row>
    <row r="1309" spans="1:24" x14ac:dyDescent="0.3">
      <c r="A1309">
        <v>39</v>
      </c>
      <c r="B1309">
        <v>0</v>
      </c>
      <c r="C1309">
        <v>1</v>
      </c>
      <c r="D1309">
        <v>10</v>
      </c>
      <c r="E1309">
        <v>2</v>
      </c>
      <c r="F1309">
        <v>36.159989238774301</v>
      </c>
      <c r="G1309">
        <v>55</v>
      </c>
      <c r="H1309">
        <v>61</v>
      </c>
      <c r="I1309">
        <v>11</v>
      </c>
      <c r="J1309">
        <v>2</v>
      </c>
      <c r="K1309">
        <v>0</v>
      </c>
      <c r="L1309" t="str">
        <f t="shared" si="260"/>
        <v>C1308</v>
      </c>
      <c r="M1309" t="str">
        <f t="shared" si="261"/>
        <v>Male</v>
      </c>
      <c r="N1309" t="str">
        <f t="shared" si="262"/>
        <v>Bachelor's Type 1</v>
      </c>
      <c r="O1309" t="str">
        <f t="shared" si="263"/>
        <v>Senior Level</v>
      </c>
      <c r="P1309" t="str">
        <f t="shared" si="264"/>
        <v>Average</v>
      </c>
      <c r="Q1309" t="str">
        <f t="shared" si="265"/>
        <v>Intermediate</v>
      </c>
      <c r="R1309" t="str">
        <f t="shared" si="266"/>
        <v>Needs Improvement</v>
      </c>
      <c r="S1309" t="str">
        <f t="shared" si="267"/>
        <v>Not Hired</v>
      </c>
      <c r="T1309">
        <f t="shared" si="268"/>
        <v>50</v>
      </c>
      <c r="U1309" t="str">
        <f t="shared" si="269"/>
        <v>Developing</v>
      </c>
      <c r="V1309" t="str">
        <f t="shared" si="270"/>
        <v>Technical Skills</v>
      </c>
      <c r="W1309" t="str">
        <f t="shared" si="271"/>
        <v>Personality &amp; Communication</v>
      </c>
      <c r="X1309" t="str">
        <f t="shared" si="272"/>
        <v>Work on communication and personality development</v>
      </c>
    </row>
    <row r="1310" spans="1:24" x14ac:dyDescent="0.3">
      <c r="A1310">
        <v>47</v>
      </c>
      <c r="B1310">
        <v>1</v>
      </c>
      <c r="C1310">
        <v>4</v>
      </c>
      <c r="D1310">
        <v>6</v>
      </c>
      <c r="E1310">
        <v>1</v>
      </c>
      <c r="F1310">
        <v>2.0850047637770799</v>
      </c>
      <c r="G1310">
        <v>16</v>
      </c>
      <c r="H1310">
        <v>53</v>
      </c>
      <c r="I1310">
        <v>61</v>
      </c>
      <c r="J1310">
        <v>1</v>
      </c>
      <c r="K1310">
        <v>1</v>
      </c>
      <c r="L1310" t="str">
        <f t="shared" si="260"/>
        <v>C1309</v>
      </c>
      <c r="M1310" t="str">
        <f t="shared" si="261"/>
        <v>Female</v>
      </c>
      <c r="N1310" t="str">
        <f t="shared" si="262"/>
        <v>PhD</v>
      </c>
      <c r="O1310" t="str">
        <f t="shared" si="263"/>
        <v>Mid Level</v>
      </c>
      <c r="P1310" t="str">
        <f t="shared" si="264"/>
        <v>Low</v>
      </c>
      <c r="Q1310" t="str">
        <f t="shared" si="265"/>
        <v>Intermediate</v>
      </c>
      <c r="R1310" t="str">
        <f t="shared" si="266"/>
        <v>Good</v>
      </c>
      <c r="S1310" t="str">
        <f t="shared" si="267"/>
        <v>Hired</v>
      </c>
      <c r="T1310">
        <f t="shared" si="268"/>
        <v>44</v>
      </c>
      <c r="U1310" t="str">
        <f t="shared" si="269"/>
        <v>Needs Improvement</v>
      </c>
      <c r="V1310" t="str">
        <f t="shared" si="270"/>
        <v>Personality</v>
      </c>
      <c r="W1310" t="str">
        <f t="shared" si="271"/>
        <v>Interview Preparation</v>
      </c>
      <c r="X1310" t="str">
        <f t="shared" si="272"/>
        <v>Improve interview preparation and communication</v>
      </c>
    </row>
    <row r="1311" spans="1:24" x14ac:dyDescent="0.3">
      <c r="A1311">
        <v>30</v>
      </c>
      <c r="B1311">
        <v>0</v>
      </c>
      <c r="C1311">
        <v>4</v>
      </c>
      <c r="D1311">
        <v>10</v>
      </c>
      <c r="E1311">
        <v>4</v>
      </c>
      <c r="F1311">
        <v>32.559403903003499</v>
      </c>
      <c r="G1311">
        <v>59</v>
      </c>
      <c r="H1311">
        <v>14</v>
      </c>
      <c r="I1311">
        <v>51</v>
      </c>
      <c r="J1311">
        <v>2</v>
      </c>
      <c r="K1311">
        <v>0</v>
      </c>
      <c r="L1311" t="str">
        <f t="shared" si="260"/>
        <v>C1310</v>
      </c>
      <c r="M1311" t="str">
        <f t="shared" si="261"/>
        <v>Male</v>
      </c>
      <c r="N1311" t="str">
        <f t="shared" si="262"/>
        <v>PhD</v>
      </c>
      <c r="O1311" t="str">
        <f t="shared" si="263"/>
        <v>Senior Level</v>
      </c>
      <c r="P1311" t="str">
        <f t="shared" si="264"/>
        <v>Average</v>
      </c>
      <c r="Q1311" t="str">
        <f t="shared" si="265"/>
        <v>Beginner</v>
      </c>
      <c r="R1311" t="str">
        <f t="shared" si="266"/>
        <v>Good</v>
      </c>
      <c r="S1311" t="str">
        <f t="shared" si="267"/>
        <v>Not Hired</v>
      </c>
      <c r="T1311">
        <f t="shared" si="268"/>
        <v>47</v>
      </c>
      <c r="U1311" t="str">
        <f t="shared" si="269"/>
        <v>Needs Improvement</v>
      </c>
      <c r="V1311" t="str">
        <f t="shared" si="270"/>
        <v>Interview</v>
      </c>
      <c r="W1311" t="str">
        <f t="shared" si="271"/>
        <v>Technical Skills</v>
      </c>
      <c r="X1311" t="str">
        <f t="shared" si="272"/>
        <v>Strengthen technical skills and practical knowledge</v>
      </c>
    </row>
    <row r="1312" spans="1:24" x14ac:dyDescent="0.3">
      <c r="A1312">
        <v>23</v>
      </c>
      <c r="B1312">
        <v>0</v>
      </c>
      <c r="C1312">
        <v>2</v>
      </c>
      <c r="D1312">
        <v>14</v>
      </c>
      <c r="E1312">
        <v>5</v>
      </c>
      <c r="F1312">
        <v>9.1808244371277503</v>
      </c>
      <c r="G1312">
        <v>35</v>
      </c>
      <c r="H1312">
        <v>68</v>
      </c>
      <c r="I1312">
        <v>47</v>
      </c>
      <c r="J1312">
        <v>2</v>
      </c>
      <c r="K1312">
        <v>0</v>
      </c>
      <c r="L1312" t="str">
        <f t="shared" si="260"/>
        <v>C1311</v>
      </c>
      <c r="M1312" t="str">
        <f t="shared" si="261"/>
        <v>Male</v>
      </c>
      <c r="N1312" t="str">
        <f t="shared" si="262"/>
        <v>Bachelor's Type 2</v>
      </c>
      <c r="O1312" t="str">
        <f t="shared" si="263"/>
        <v>Senior Level</v>
      </c>
      <c r="P1312" t="str">
        <f t="shared" si="264"/>
        <v>Low</v>
      </c>
      <c r="Q1312" t="str">
        <f t="shared" si="265"/>
        <v>Intermediate</v>
      </c>
      <c r="R1312" t="str">
        <f t="shared" si="266"/>
        <v>Needs Improvement</v>
      </c>
      <c r="S1312" t="str">
        <f t="shared" si="267"/>
        <v>Not Hired</v>
      </c>
      <c r="T1312">
        <f t="shared" si="268"/>
        <v>57</v>
      </c>
      <c r="U1312" t="str">
        <f t="shared" si="269"/>
        <v>Developing</v>
      </c>
      <c r="V1312" t="str">
        <f t="shared" si="270"/>
        <v>Technical Skills</v>
      </c>
      <c r="W1312" t="str">
        <f t="shared" si="271"/>
        <v>Interview Preparation</v>
      </c>
      <c r="X1312" t="str">
        <f t="shared" si="272"/>
        <v>Improve interview preparation and communication</v>
      </c>
    </row>
    <row r="1313" spans="1:24" x14ac:dyDescent="0.3">
      <c r="A1313">
        <v>34</v>
      </c>
      <c r="B1313">
        <v>1</v>
      </c>
      <c r="C1313">
        <v>2</v>
      </c>
      <c r="D1313">
        <v>0</v>
      </c>
      <c r="E1313">
        <v>3</v>
      </c>
      <c r="F1313">
        <v>29.280176387402101</v>
      </c>
      <c r="G1313">
        <v>60</v>
      </c>
      <c r="H1313">
        <v>2</v>
      </c>
      <c r="I1313">
        <v>66</v>
      </c>
      <c r="J1313">
        <v>2</v>
      </c>
      <c r="K1313">
        <v>0</v>
      </c>
      <c r="L1313" t="str">
        <f t="shared" si="260"/>
        <v>C1312</v>
      </c>
      <c r="M1313" t="str">
        <f t="shared" si="261"/>
        <v>Female</v>
      </c>
      <c r="N1313" t="str">
        <f t="shared" si="262"/>
        <v>Bachelor's Type 2</v>
      </c>
      <c r="O1313" t="str">
        <f t="shared" si="263"/>
        <v>Entry Level</v>
      </c>
      <c r="P1313" t="str">
        <f t="shared" si="264"/>
        <v>Average</v>
      </c>
      <c r="Q1313" t="str">
        <f t="shared" si="265"/>
        <v>Beginner</v>
      </c>
      <c r="R1313" t="str">
        <f t="shared" si="266"/>
        <v>Good</v>
      </c>
      <c r="S1313" t="str">
        <f t="shared" si="267"/>
        <v>Not Hired</v>
      </c>
      <c r="T1313">
        <f t="shared" si="268"/>
        <v>34</v>
      </c>
      <c r="U1313" t="str">
        <f t="shared" si="269"/>
        <v>Needs Improvement</v>
      </c>
      <c r="V1313" t="str">
        <f t="shared" si="270"/>
        <v>Personality</v>
      </c>
      <c r="W1313" t="str">
        <f t="shared" si="271"/>
        <v>Technical Skills</v>
      </c>
      <c r="X1313" t="str">
        <f t="shared" si="272"/>
        <v>Strengthen technical skills and practical knowledge</v>
      </c>
    </row>
    <row r="1314" spans="1:24" x14ac:dyDescent="0.3">
      <c r="A1314">
        <v>25</v>
      </c>
      <c r="B1314">
        <v>0</v>
      </c>
      <c r="C1314">
        <v>2</v>
      </c>
      <c r="D1314">
        <v>0</v>
      </c>
      <c r="E1314">
        <v>1</v>
      </c>
      <c r="F1314">
        <v>26.195651269030002</v>
      </c>
      <c r="G1314">
        <v>16</v>
      </c>
      <c r="H1314">
        <v>36</v>
      </c>
      <c r="I1314">
        <v>45</v>
      </c>
      <c r="J1314">
        <v>2</v>
      </c>
      <c r="K1314">
        <v>0</v>
      </c>
      <c r="L1314" t="str">
        <f t="shared" si="260"/>
        <v>C1313</v>
      </c>
      <c r="M1314" t="str">
        <f t="shared" si="261"/>
        <v>Male</v>
      </c>
      <c r="N1314" t="str">
        <f t="shared" si="262"/>
        <v>Bachelor's Type 2</v>
      </c>
      <c r="O1314" t="str">
        <f t="shared" si="263"/>
        <v>Entry Level</v>
      </c>
      <c r="P1314" t="str">
        <f t="shared" si="264"/>
        <v>Low</v>
      </c>
      <c r="Q1314" t="str">
        <f t="shared" si="265"/>
        <v>Beginner</v>
      </c>
      <c r="R1314" t="str">
        <f t="shared" si="266"/>
        <v>Needs Improvement</v>
      </c>
      <c r="S1314" t="str">
        <f t="shared" si="267"/>
        <v>Not Hired</v>
      </c>
      <c r="T1314">
        <f t="shared" si="268"/>
        <v>27</v>
      </c>
      <c r="U1314" t="str">
        <f t="shared" si="269"/>
        <v>Needs Improvement</v>
      </c>
      <c r="V1314" t="str">
        <f t="shared" si="270"/>
        <v>Personality</v>
      </c>
      <c r="W1314" t="str">
        <f t="shared" si="271"/>
        <v>Interview Preparation</v>
      </c>
      <c r="X1314" t="str">
        <f t="shared" si="272"/>
        <v>Improve interview preparation and communication</v>
      </c>
    </row>
    <row r="1315" spans="1:24" x14ac:dyDescent="0.3">
      <c r="A1315">
        <v>41</v>
      </c>
      <c r="B1315">
        <v>1</v>
      </c>
      <c r="C1315">
        <v>2</v>
      </c>
      <c r="D1315">
        <v>15</v>
      </c>
      <c r="E1315">
        <v>5</v>
      </c>
      <c r="F1315">
        <v>1.6756821153091199</v>
      </c>
      <c r="G1315">
        <v>48</v>
      </c>
      <c r="H1315">
        <v>36</v>
      </c>
      <c r="I1315">
        <v>96</v>
      </c>
      <c r="J1315">
        <v>2</v>
      </c>
      <c r="K1315">
        <v>0</v>
      </c>
      <c r="L1315" t="str">
        <f t="shared" si="260"/>
        <v>C1314</v>
      </c>
      <c r="M1315" t="str">
        <f t="shared" si="261"/>
        <v>Female</v>
      </c>
      <c r="N1315" t="str">
        <f t="shared" si="262"/>
        <v>Bachelor's Type 2</v>
      </c>
      <c r="O1315" t="str">
        <f t="shared" si="263"/>
        <v>Senior Level</v>
      </c>
      <c r="P1315" t="str">
        <f t="shared" si="264"/>
        <v>Low</v>
      </c>
      <c r="Q1315" t="str">
        <f t="shared" si="265"/>
        <v>Beginner</v>
      </c>
      <c r="R1315" t="str">
        <f t="shared" si="266"/>
        <v>Strong</v>
      </c>
      <c r="S1315" t="str">
        <f t="shared" si="267"/>
        <v>Not Hired</v>
      </c>
      <c r="T1315">
        <f t="shared" si="268"/>
        <v>62</v>
      </c>
      <c r="U1315" t="str">
        <f t="shared" si="269"/>
        <v>Developing</v>
      </c>
      <c r="V1315" t="str">
        <f t="shared" si="270"/>
        <v>Personality</v>
      </c>
      <c r="W1315" t="str">
        <f t="shared" si="271"/>
        <v>Technical Skills</v>
      </c>
      <c r="X1315" t="str">
        <f t="shared" si="272"/>
        <v>Strengthen technical skills and practical knowledge</v>
      </c>
    </row>
    <row r="1316" spans="1:24" x14ac:dyDescent="0.3">
      <c r="A1316">
        <v>36</v>
      </c>
      <c r="B1316">
        <v>1</v>
      </c>
      <c r="C1316">
        <v>1</v>
      </c>
      <c r="D1316">
        <v>9</v>
      </c>
      <c r="E1316">
        <v>5</v>
      </c>
      <c r="F1316">
        <v>19.1432908497551</v>
      </c>
      <c r="G1316">
        <v>75</v>
      </c>
      <c r="H1316">
        <v>100</v>
      </c>
      <c r="I1316">
        <v>73</v>
      </c>
      <c r="J1316">
        <v>2</v>
      </c>
      <c r="K1316">
        <v>1</v>
      </c>
      <c r="L1316" t="str">
        <f t="shared" si="260"/>
        <v>C1315</v>
      </c>
      <c r="M1316" t="str">
        <f t="shared" si="261"/>
        <v>Female</v>
      </c>
      <c r="N1316" t="str">
        <f t="shared" si="262"/>
        <v>Bachelor's Type 1</v>
      </c>
      <c r="O1316" t="str">
        <f t="shared" si="263"/>
        <v>Senior Level</v>
      </c>
      <c r="P1316" t="str">
        <f t="shared" si="264"/>
        <v>Strong</v>
      </c>
      <c r="Q1316" t="str">
        <f t="shared" si="265"/>
        <v>Advanced</v>
      </c>
      <c r="R1316" t="str">
        <f t="shared" si="266"/>
        <v>Good</v>
      </c>
      <c r="S1316" t="str">
        <f t="shared" si="267"/>
        <v>Hired</v>
      </c>
      <c r="T1316">
        <f t="shared" si="268"/>
        <v>79</v>
      </c>
      <c r="U1316" t="str">
        <f t="shared" si="269"/>
        <v>Job Ready</v>
      </c>
      <c r="V1316" t="str">
        <f t="shared" si="270"/>
        <v>Technical Skills</v>
      </c>
      <c r="W1316" t="str">
        <f t="shared" si="271"/>
        <v>Personality &amp; Communication</v>
      </c>
      <c r="X1316" t="str">
        <f t="shared" si="272"/>
        <v>Work on communication and personality development</v>
      </c>
    </row>
    <row r="1317" spans="1:24" x14ac:dyDescent="0.3">
      <c r="A1317">
        <v>49</v>
      </c>
      <c r="B1317">
        <v>1</v>
      </c>
      <c r="C1317">
        <v>1</v>
      </c>
      <c r="D1317">
        <v>12</v>
      </c>
      <c r="E1317">
        <v>2</v>
      </c>
      <c r="F1317">
        <v>31.054558369815101</v>
      </c>
      <c r="G1317">
        <v>59</v>
      </c>
      <c r="H1317">
        <v>2</v>
      </c>
      <c r="I1317">
        <v>94</v>
      </c>
      <c r="J1317">
        <v>3</v>
      </c>
      <c r="K1317">
        <v>0</v>
      </c>
      <c r="L1317" t="str">
        <f t="shared" si="260"/>
        <v>C1316</v>
      </c>
      <c r="M1317" t="str">
        <f t="shared" si="261"/>
        <v>Female</v>
      </c>
      <c r="N1317" t="str">
        <f t="shared" si="262"/>
        <v>Bachelor's Type 1</v>
      </c>
      <c r="O1317" t="str">
        <f t="shared" si="263"/>
        <v>Senior Level</v>
      </c>
      <c r="P1317" t="str">
        <f t="shared" si="264"/>
        <v>Average</v>
      </c>
      <c r="Q1317" t="str">
        <f t="shared" si="265"/>
        <v>Beginner</v>
      </c>
      <c r="R1317" t="str">
        <f t="shared" si="266"/>
        <v>Strong</v>
      </c>
      <c r="S1317" t="str">
        <f t="shared" si="267"/>
        <v>Not Hired</v>
      </c>
      <c r="T1317">
        <f t="shared" si="268"/>
        <v>52</v>
      </c>
      <c r="U1317" t="str">
        <f t="shared" si="269"/>
        <v>Developing</v>
      </c>
      <c r="V1317" t="str">
        <f t="shared" si="270"/>
        <v>Personality</v>
      </c>
      <c r="W1317" t="str">
        <f t="shared" si="271"/>
        <v>Technical Skills</v>
      </c>
      <c r="X1317" t="str">
        <f t="shared" si="272"/>
        <v>Strengthen technical skills and practical knowledge</v>
      </c>
    </row>
    <row r="1318" spans="1:24" x14ac:dyDescent="0.3">
      <c r="A1318">
        <v>43</v>
      </c>
      <c r="B1318">
        <v>0</v>
      </c>
      <c r="C1318">
        <v>1</v>
      </c>
      <c r="D1318">
        <v>4</v>
      </c>
      <c r="E1318">
        <v>2</v>
      </c>
      <c r="F1318">
        <v>43.430327594938902</v>
      </c>
      <c r="G1318">
        <v>19</v>
      </c>
      <c r="H1318">
        <v>62</v>
      </c>
      <c r="I1318">
        <v>14</v>
      </c>
      <c r="J1318">
        <v>2</v>
      </c>
      <c r="K1318">
        <v>0</v>
      </c>
      <c r="L1318" t="str">
        <f t="shared" si="260"/>
        <v>C1317</v>
      </c>
      <c r="M1318" t="str">
        <f t="shared" si="261"/>
        <v>Male</v>
      </c>
      <c r="N1318" t="str">
        <f t="shared" si="262"/>
        <v>Bachelor's Type 1</v>
      </c>
      <c r="O1318" t="str">
        <f t="shared" si="263"/>
        <v>Mid Level</v>
      </c>
      <c r="P1318" t="str">
        <f t="shared" si="264"/>
        <v>Low</v>
      </c>
      <c r="Q1318" t="str">
        <f t="shared" si="265"/>
        <v>Intermediate</v>
      </c>
      <c r="R1318" t="str">
        <f t="shared" si="266"/>
        <v>Needs Improvement</v>
      </c>
      <c r="S1318" t="str">
        <f t="shared" si="267"/>
        <v>Not Hired</v>
      </c>
      <c r="T1318">
        <f t="shared" si="268"/>
        <v>34</v>
      </c>
      <c r="U1318" t="str">
        <f t="shared" si="269"/>
        <v>Needs Improvement</v>
      </c>
      <c r="V1318" t="str">
        <f t="shared" si="270"/>
        <v>Technical Skills</v>
      </c>
      <c r="W1318" t="str">
        <f t="shared" si="271"/>
        <v>Personality &amp; Communication</v>
      </c>
      <c r="X1318" t="str">
        <f t="shared" si="272"/>
        <v>Work on communication and personality development</v>
      </c>
    </row>
    <row r="1319" spans="1:24" x14ac:dyDescent="0.3">
      <c r="A1319">
        <v>25</v>
      </c>
      <c r="B1319">
        <v>1</v>
      </c>
      <c r="C1319">
        <v>2</v>
      </c>
      <c r="D1319">
        <v>4</v>
      </c>
      <c r="E1319">
        <v>1</v>
      </c>
      <c r="F1319">
        <v>45.432105691825797</v>
      </c>
      <c r="G1319">
        <v>49</v>
      </c>
      <c r="H1319">
        <v>34</v>
      </c>
      <c r="I1319">
        <v>70</v>
      </c>
      <c r="J1319">
        <v>3</v>
      </c>
      <c r="K1319">
        <v>0</v>
      </c>
      <c r="L1319" t="str">
        <f t="shared" si="260"/>
        <v>C1318</v>
      </c>
      <c r="M1319" t="str">
        <f t="shared" si="261"/>
        <v>Female</v>
      </c>
      <c r="N1319" t="str">
        <f t="shared" si="262"/>
        <v>Bachelor's Type 2</v>
      </c>
      <c r="O1319" t="str">
        <f t="shared" si="263"/>
        <v>Mid Level</v>
      </c>
      <c r="P1319" t="str">
        <f t="shared" si="264"/>
        <v>Low</v>
      </c>
      <c r="Q1319" t="str">
        <f t="shared" si="265"/>
        <v>Beginner</v>
      </c>
      <c r="R1319" t="str">
        <f t="shared" si="266"/>
        <v>Good</v>
      </c>
      <c r="S1319" t="str">
        <f t="shared" si="267"/>
        <v>Not Hired</v>
      </c>
      <c r="T1319">
        <f t="shared" si="268"/>
        <v>45</v>
      </c>
      <c r="U1319" t="str">
        <f t="shared" si="269"/>
        <v>Needs Improvement</v>
      </c>
      <c r="V1319" t="str">
        <f t="shared" si="270"/>
        <v>Personality</v>
      </c>
      <c r="W1319" t="str">
        <f t="shared" si="271"/>
        <v>Technical Skills</v>
      </c>
      <c r="X1319" t="str">
        <f t="shared" si="272"/>
        <v>Strengthen technical skills and practical knowledge</v>
      </c>
    </row>
    <row r="1320" spans="1:24" x14ac:dyDescent="0.3">
      <c r="A1320">
        <v>38</v>
      </c>
      <c r="B1320">
        <v>1</v>
      </c>
      <c r="C1320">
        <v>2</v>
      </c>
      <c r="D1320">
        <v>7</v>
      </c>
      <c r="E1320">
        <v>5</v>
      </c>
      <c r="F1320">
        <v>25.192498501661099</v>
      </c>
      <c r="G1320">
        <v>2</v>
      </c>
      <c r="H1320">
        <v>51</v>
      </c>
      <c r="I1320">
        <v>35</v>
      </c>
      <c r="J1320">
        <v>2</v>
      </c>
      <c r="K1320">
        <v>0</v>
      </c>
      <c r="L1320" t="str">
        <f t="shared" si="260"/>
        <v>C1319</v>
      </c>
      <c r="M1320" t="str">
        <f t="shared" si="261"/>
        <v>Female</v>
      </c>
      <c r="N1320" t="str">
        <f t="shared" si="262"/>
        <v>Bachelor's Type 2</v>
      </c>
      <c r="O1320" t="str">
        <f t="shared" si="263"/>
        <v>Senior Level</v>
      </c>
      <c r="P1320" t="str">
        <f t="shared" si="264"/>
        <v>Low</v>
      </c>
      <c r="Q1320" t="str">
        <f t="shared" si="265"/>
        <v>Intermediate</v>
      </c>
      <c r="R1320" t="str">
        <f t="shared" si="266"/>
        <v>Needs Improvement</v>
      </c>
      <c r="S1320" t="str">
        <f t="shared" si="267"/>
        <v>Not Hired</v>
      </c>
      <c r="T1320">
        <f t="shared" si="268"/>
        <v>32</v>
      </c>
      <c r="U1320" t="str">
        <f t="shared" si="269"/>
        <v>Needs Improvement</v>
      </c>
      <c r="V1320" t="str">
        <f t="shared" si="270"/>
        <v>Technical Skills</v>
      </c>
      <c r="W1320" t="str">
        <f t="shared" si="271"/>
        <v>Interview Preparation</v>
      </c>
      <c r="X1320" t="str">
        <f t="shared" si="272"/>
        <v>Improve interview preparation and communication</v>
      </c>
    </row>
    <row r="1321" spans="1:24" x14ac:dyDescent="0.3">
      <c r="A1321">
        <v>49</v>
      </c>
      <c r="B1321">
        <v>0</v>
      </c>
      <c r="C1321">
        <v>2</v>
      </c>
      <c r="D1321">
        <v>6</v>
      </c>
      <c r="E1321">
        <v>2</v>
      </c>
      <c r="F1321">
        <v>37.421124364971902</v>
      </c>
      <c r="G1321">
        <v>42</v>
      </c>
      <c r="H1321">
        <v>86</v>
      </c>
      <c r="I1321">
        <v>13</v>
      </c>
      <c r="J1321">
        <v>2</v>
      </c>
      <c r="K1321">
        <v>0</v>
      </c>
      <c r="L1321" t="str">
        <f t="shared" si="260"/>
        <v>C1320</v>
      </c>
      <c r="M1321" t="str">
        <f t="shared" si="261"/>
        <v>Male</v>
      </c>
      <c r="N1321" t="str">
        <f t="shared" si="262"/>
        <v>Bachelor's Type 2</v>
      </c>
      <c r="O1321" t="str">
        <f t="shared" si="263"/>
        <v>Mid Level</v>
      </c>
      <c r="P1321" t="str">
        <f t="shared" si="264"/>
        <v>Low</v>
      </c>
      <c r="Q1321" t="str">
        <f t="shared" si="265"/>
        <v>Advanced</v>
      </c>
      <c r="R1321" t="str">
        <f t="shared" si="266"/>
        <v>Needs Improvement</v>
      </c>
      <c r="S1321" t="str">
        <f t="shared" si="267"/>
        <v>Not Hired</v>
      </c>
      <c r="T1321">
        <f t="shared" si="268"/>
        <v>50</v>
      </c>
      <c r="U1321" t="str">
        <f t="shared" si="269"/>
        <v>Developing</v>
      </c>
      <c r="V1321" t="str">
        <f t="shared" si="270"/>
        <v>Technical Skills</v>
      </c>
      <c r="W1321" t="str">
        <f t="shared" si="271"/>
        <v>Personality &amp; Communication</v>
      </c>
      <c r="X1321" t="str">
        <f t="shared" si="272"/>
        <v>Work on communication and personality development</v>
      </c>
    </row>
    <row r="1322" spans="1:24" x14ac:dyDescent="0.3">
      <c r="A1322">
        <v>44</v>
      </c>
      <c r="B1322">
        <v>1</v>
      </c>
      <c r="C1322">
        <v>4</v>
      </c>
      <c r="D1322">
        <v>7</v>
      </c>
      <c r="E1322">
        <v>3</v>
      </c>
      <c r="F1322">
        <v>16.822728826672801</v>
      </c>
      <c r="G1322">
        <v>56</v>
      </c>
      <c r="H1322">
        <v>27</v>
      </c>
      <c r="I1322">
        <v>77</v>
      </c>
      <c r="J1322">
        <v>1</v>
      </c>
      <c r="K1322">
        <v>1</v>
      </c>
      <c r="L1322" t="str">
        <f t="shared" si="260"/>
        <v>C1321</v>
      </c>
      <c r="M1322" t="str">
        <f t="shared" si="261"/>
        <v>Female</v>
      </c>
      <c r="N1322" t="str">
        <f t="shared" si="262"/>
        <v>PhD</v>
      </c>
      <c r="O1322" t="str">
        <f t="shared" si="263"/>
        <v>Senior Level</v>
      </c>
      <c r="P1322" t="str">
        <f t="shared" si="264"/>
        <v>Average</v>
      </c>
      <c r="Q1322" t="str">
        <f t="shared" si="265"/>
        <v>Beginner</v>
      </c>
      <c r="R1322" t="str">
        <f t="shared" si="266"/>
        <v>Strong</v>
      </c>
      <c r="S1322" t="str">
        <f t="shared" si="267"/>
        <v>Hired</v>
      </c>
      <c r="T1322">
        <f t="shared" si="268"/>
        <v>52</v>
      </c>
      <c r="U1322" t="str">
        <f t="shared" si="269"/>
        <v>Developing</v>
      </c>
      <c r="V1322" t="str">
        <f t="shared" si="270"/>
        <v>Personality</v>
      </c>
      <c r="W1322" t="str">
        <f t="shared" si="271"/>
        <v>Technical Skills</v>
      </c>
      <c r="X1322" t="str">
        <f t="shared" si="272"/>
        <v>Strengthen technical skills and practical knowledge</v>
      </c>
    </row>
    <row r="1323" spans="1:24" x14ac:dyDescent="0.3">
      <c r="A1323">
        <v>21</v>
      </c>
      <c r="B1323">
        <v>1</v>
      </c>
      <c r="C1323">
        <v>2</v>
      </c>
      <c r="D1323">
        <v>5</v>
      </c>
      <c r="E1323">
        <v>3</v>
      </c>
      <c r="F1323">
        <v>18.1093202879328</v>
      </c>
      <c r="G1323">
        <v>49</v>
      </c>
      <c r="H1323">
        <v>93</v>
      </c>
      <c r="I1323">
        <v>2</v>
      </c>
      <c r="J1323">
        <v>2</v>
      </c>
      <c r="K1323">
        <v>0</v>
      </c>
      <c r="L1323" t="str">
        <f t="shared" si="260"/>
        <v>C1322</v>
      </c>
      <c r="M1323" t="str">
        <f t="shared" si="261"/>
        <v>Female</v>
      </c>
      <c r="N1323" t="str">
        <f t="shared" si="262"/>
        <v>Bachelor's Type 2</v>
      </c>
      <c r="O1323" t="str">
        <f t="shared" si="263"/>
        <v>Mid Level</v>
      </c>
      <c r="P1323" t="str">
        <f t="shared" si="264"/>
        <v>Low</v>
      </c>
      <c r="Q1323" t="str">
        <f t="shared" si="265"/>
        <v>Advanced</v>
      </c>
      <c r="R1323" t="str">
        <f t="shared" si="266"/>
        <v>Needs Improvement</v>
      </c>
      <c r="S1323" t="str">
        <f t="shared" si="267"/>
        <v>Not Hired</v>
      </c>
      <c r="T1323">
        <f t="shared" si="268"/>
        <v>51</v>
      </c>
      <c r="U1323" t="str">
        <f t="shared" si="269"/>
        <v>Developing</v>
      </c>
      <c r="V1323" t="str">
        <f t="shared" si="270"/>
        <v>Technical Skills</v>
      </c>
      <c r="W1323" t="str">
        <f t="shared" si="271"/>
        <v>Personality &amp; Communication</v>
      </c>
      <c r="X1323" t="str">
        <f t="shared" si="272"/>
        <v>Work on communication and personality development</v>
      </c>
    </row>
    <row r="1324" spans="1:24" x14ac:dyDescent="0.3">
      <c r="A1324">
        <v>34</v>
      </c>
      <c r="B1324">
        <v>1</v>
      </c>
      <c r="C1324">
        <v>2</v>
      </c>
      <c r="D1324">
        <v>5</v>
      </c>
      <c r="E1324">
        <v>5</v>
      </c>
      <c r="F1324">
        <v>10.723175959115601</v>
      </c>
      <c r="G1324">
        <v>67</v>
      </c>
      <c r="H1324">
        <v>17</v>
      </c>
      <c r="I1324">
        <v>66</v>
      </c>
      <c r="J1324">
        <v>2</v>
      </c>
      <c r="K1324">
        <v>0</v>
      </c>
      <c r="L1324" t="str">
        <f t="shared" si="260"/>
        <v>C1323</v>
      </c>
      <c r="M1324" t="str">
        <f t="shared" si="261"/>
        <v>Female</v>
      </c>
      <c r="N1324" t="str">
        <f t="shared" si="262"/>
        <v>Bachelor's Type 2</v>
      </c>
      <c r="O1324" t="str">
        <f t="shared" si="263"/>
        <v>Mid Level</v>
      </c>
      <c r="P1324" t="str">
        <f t="shared" si="264"/>
        <v>Average</v>
      </c>
      <c r="Q1324" t="str">
        <f t="shared" si="265"/>
        <v>Beginner</v>
      </c>
      <c r="R1324" t="str">
        <f t="shared" si="266"/>
        <v>Good</v>
      </c>
      <c r="S1324" t="str">
        <f t="shared" si="267"/>
        <v>Not Hired</v>
      </c>
      <c r="T1324">
        <f t="shared" si="268"/>
        <v>46</v>
      </c>
      <c r="U1324" t="str">
        <f t="shared" si="269"/>
        <v>Needs Improvement</v>
      </c>
      <c r="V1324" t="str">
        <f t="shared" si="270"/>
        <v>Interview</v>
      </c>
      <c r="W1324" t="str">
        <f t="shared" si="271"/>
        <v>Technical Skills</v>
      </c>
      <c r="X1324" t="str">
        <f t="shared" si="272"/>
        <v>Strengthen technical skills and practical knowledge</v>
      </c>
    </row>
    <row r="1325" spans="1:24" x14ac:dyDescent="0.3">
      <c r="A1325">
        <v>30</v>
      </c>
      <c r="B1325">
        <v>1</v>
      </c>
      <c r="C1325">
        <v>2</v>
      </c>
      <c r="D1325">
        <v>1</v>
      </c>
      <c r="E1325">
        <v>2</v>
      </c>
      <c r="F1325">
        <v>29.0974054996619</v>
      </c>
      <c r="G1325">
        <v>80</v>
      </c>
      <c r="H1325">
        <v>35</v>
      </c>
      <c r="I1325">
        <v>85</v>
      </c>
      <c r="J1325">
        <v>1</v>
      </c>
      <c r="K1325">
        <v>1</v>
      </c>
      <c r="L1325" t="str">
        <f t="shared" si="260"/>
        <v>C1324</v>
      </c>
      <c r="M1325" t="str">
        <f t="shared" si="261"/>
        <v>Female</v>
      </c>
      <c r="N1325" t="str">
        <f t="shared" si="262"/>
        <v>Bachelor's Type 2</v>
      </c>
      <c r="O1325" t="str">
        <f t="shared" si="263"/>
        <v>Entry Level</v>
      </c>
      <c r="P1325" t="str">
        <f t="shared" si="264"/>
        <v>Strong</v>
      </c>
      <c r="Q1325" t="str">
        <f t="shared" si="265"/>
        <v>Beginner</v>
      </c>
      <c r="R1325" t="str">
        <f t="shared" si="266"/>
        <v>Strong</v>
      </c>
      <c r="S1325" t="str">
        <f t="shared" si="267"/>
        <v>Hired</v>
      </c>
      <c r="T1325">
        <f t="shared" si="268"/>
        <v>55</v>
      </c>
      <c r="U1325" t="str">
        <f t="shared" si="269"/>
        <v>Developing</v>
      </c>
      <c r="V1325" t="str">
        <f t="shared" si="270"/>
        <v>Personality</v>
      </c>
      <c r="W1325" t="str">
        <f t="shared" si="271"/>
        <v>Technical Skills</v>
      </c>
      <c r="X1325" t="str">
        <f t="shared" si="272"/>
        <v>Strengthen technical skills and practical knowledge</v>
      </c>
    </row>
    <row r="1326" spans="1:24" x14ac:dyDescent="0.3">
      <c r="A1326">
        <v>27</v>
      </c>
      <c r="B1326">
        <v>1</v>
      </c>
      <c r="C1326">
        <v>3</v>
      </c>
      <c r="D1326">
        <v>5</v>
      </c>
      <c r="E1326">
        <v>1</v>
      </c>
      <c r="F1326">
        <v>16.7282075463682</v>
      </c>
      <c r="G1326">
        <v>49</v>
      </c>
      <c r="H1326">
        <v>32</v>
      </c>
      <c r="I1326">
        <v>18</v>
      </c>
      <c r="J1326">
        <v>2</v>
      </c>
      <c r="K1326">
        <v>0</v>
      </c>
      <c r="L1326" t="str">
        <f t="shared" si="260"/>
        <v>C1325</v>
      </c>
      <c r="M1326" t="str">
        <f t="shared" si="261"/>
        <v>Female</v>
      </c>
      <c r="N1326" t="str">
        <f t="shared" si="262"/>
        <v>Master's</v>
      </c>
      <c r="O1326" t="str">
        <f t="shared" si="263"/>
        <v>Mid Level</v>
      </c>
      <c r="P1326" t="str">
        <f t="shared" si="264"/>
        <v>Low</v>
      </c>
      <c r="Q1326" t="str">
        <f t="shared" si="265"/>
        <v>Beginner</v>
      </c>
      <c r="R1326" t="str">
        <f t="shared" si="266"/>
        <v>Needs Improvement</v>
      </c>
      <c r="S1326" t="str">
        <f t="shared" si="267"/>
        <v>Not Hired</v>
      </c>
      <c r="T1326">
        <f t="shared" si="268"/>
        <v>37</v>
      </c>
      <c r="U1326" t="str">
        <f t="shared" si="269"/>
        <v>Needs Improvement</v>
      </c>
      <c r="V1326" t="str">
        <f t="shared" si="270"/>
        <v>Interview</v>
      </c>
      <c r="W1326" t="str">
        <f t="shared" si="271"/>
        <v>Personality &amp; Communication</v>
      </c>
      <c r="X1326" t="str">
        <f t="shared" si="272"/>
        <v>Work on communication and personality development</v>
      </c>
    </row>
    <row r="1327" spans="1:24" x14ac:dyDescent="0.3">
      <c r="A1327">
        <v>45</v>
      </c>
      <c r="B1327">
        <v>0</v>
      </c>
      <c r="C1327">
        <v>4</v>
      </c>
      <c r="D1327">
        <v>4</v>
      </c>
      <c r="E1327">
        <v>1</v>
      </c>
      <c r="F1327">
        <v>5.2185448219252502</v>
      </c>
      <c r="G1327">
        <v>36</v>
      </c>
      <c r="H1327">
        <v>63</v>
      </c>
      <c r="I1327">
        <v>98</v>
      </c>
      <c r="J1327">
        <v>1</v>
      </c>
      <c r="K1327">
        <v>1</v>
      </c>
      <c r="L1327" t="str">
        <f t="shared" si="260"/>
        <v>C1326</v>
      </c>
      <c r="M1327" t="str">
        <f t="shared" si="261"/>
        <v>Male</v>
      </c>
      <c r="N1327" t="str">
        <f t="shared" si="262"/>
        <v>PhD</v>
      </c>
      <c r="O1327" t="str">
        <f t="shared" si="263"/>
        <v>Mid Level</v>
      </c>
      <c r="P1327" t="str">
        <f t="shared" si="264"/>
        <v>Low</v>
      </c>
      <c r="Q1327" t="str">
        <f t="shared" si="265"/>
        <v>Intermediate</v>
      </c>
      <c r="R1327" t="str">
        <f t="shared" si="266"/>
        <v>Strong</v>
      </c>
      <c r="S1327" t="str">
        <f t="shared" si="267"/>
        <v>Hired</v>
      </c>
      <c r="T1327">
        <f t="shared" si="268"/>
        <v>58</v>
      </c>
      <c r="U1327" t="str">
        <f t="shared" si="269"/>
        <v>Developing</v>
      </c>
      <c r="V1327" t="str">
        <f t="shared" si="270"/>
        <v>Personality</v>
      </c>
      <c r="W1327" t="str">
        <f t="shared" si="271"/>
        <v>Interview Preparation</v>
      </c>
      <c r="X1327" t="str">
        <f t="shared" si="272"/>
        <v>Improve interview preparation and communication</v>
      </c>
    </row>
    <row r="1328" spans="1:24" x14ac:dyDescent="0.3">
      <c r="A1328">
        <v>38</v>
      </c>
      <c r="B1328">
        <v>1</v>
      </c>
      <c r="C1328">
        <v>3</v>
      </c>
      <c r="D1328">
        <v>12</v>
      </c>
      <c r="E1328">
        <v>1</v>
      </c>
      <c r="F1328">
        <v>35.250304333158901</v>
      </c>
      <c r="G1328">
        <v>45</v>
      </c>
      <c r="H1328">
        <v>25</v>
      </c>
      <c r="I1328">
        <v>75</v>
      </c>
      <c r="J1328">
        <v>2</v>
      </c>
      <c r="K1328">
        <v>0</v>
      </c>
      <c r="L1328" t="str">
        <f t="shared" si="260"/>
        <v>C1327</v>
      </c>
      <c r="M1328" t="str">
        <f t="shared" si="261"/>
        <v>Female</v>
      </c>
      <c r="N1328" t="str">
        <f t="shared" si="262"/>
        <v>Master's</v>
      </c>
      <c r="O1328" t="str">
        <f t="shared" si="263"/>
        <v>Senior Level</v>
      </c>
      <c r="P1328" t="str">
        <f t="shared" si="264"/>
        <v>Low</v>
      </c>
      <c r="Q1328" t="str">
        <f t="shared" si="265"/>
        <v>Beginner</v>
      </c>
      <c r="R1328" t="str">
        <f t="shared" si="266"/>
        <v>Strong</v>
      </c>
      <c r="S1328" t="str">
        <f t="shared" si="267"/>
        <v>Not Hired</v>
      </c>
      <c r="T1328">
        <f t="shared" si="268"/>
        <v>52</v>
      </c>
      <c r="U1328" t="str">
        <f t="shared" si="269"/>
        <v>Developing</v>
      </c>
      <c r="V1328" t="str">
        <f t="shared" si="270"/>
        <v>Personality</v>
      </c>
      <c r="W1328" t="str">
        <f t="shared" si="271"/>
        <v>Technical Skills</v>
      </c>
      <c r="X1328" t="str">
        <f t="shared" si="272"/>
        <v>Strengthen technical skills and practical knowledge</v>
      </c>
    </row>
    <row r="1329" spans="1:24" x14ac:dyDescent="0.3">
      <c r="A1329">
        <v>32</v>
      </c>
      <c r="B1329">
        <v>1</v>
      </c>
      <c r="C1329">
        <v>4</v>
      </c>
      <c r="D1329">
        <v>15</v>
      </c>
      <c r="E1329">
        <v>3</v>
      </c>
      <c r="F1329">
        <v>36.387660380269899</v>
      </c>
      <c r="G1329">
        <v>41</v>
      </c>
      <c r="H1329">
        <v>47</v>
      </c>
      <c r="I1329">
        <v>53</v>
      </c>
      <c r="J1329">
        <v>2</v>
      </c>
      <c r="K1329">
        <v>0</v>
      </c>
      <c r="L1329" t="str">
        <f t="shared" si="260"/>
        <v>C1328</v>
      </c>
      <c r="M1329" t="str">
        <f t="shared" si="261"/>
        <v>Female</v>
      </c>
      <c r="N1329" t="str">
        <f t="shared" si="262"/>
        <v>PhD</v>
      </c>
      <c r="O1329" t="str">
        <f t="shared" si="263"/>
        <v>Senior Level</v>
      </c>
      <c r="P1329" t="str">
        <f t="shared" si="264"/>
        <v>Low</v>
      </c>
      <c r="Q1329" t="str">
        <f t="shared" si="265"/>
        <v>Beginner</v>
      </c>
      <c r="R1329" t="str">
        <f t="shared" si="266"/>
        <v>Good</v>
      </c>
      <c r="S1329" t="str">
        <f t="shared" si="267"/>
        <v>Not Hired</v>
      </c>
      <c r="T1329">
        <f t="shared" si="268"/>
        <v>57</v>
      </c>
      <c r="U1329" t="str">
        <f t="shared" si="269"/>
        <v>Developing</v>
      </c>
      <c r="V1329" t="str">
        <f t="shared" si="270"/>
        <v>Personality</v>
      </c>
      <c r="W1329" t="str">
        <f t="shared" si="271"/>
        <v>Interview Preparation</v>
      </c>
      <c r="X1329" t="str">
        <f t="shared" si="272"/>
        <v>Improve interview preparation and communication</v>
      </c>
    </row>
    <row r="1330" spans="1:24" x14ac:dyDescent="0.3">
      <c r="A1330">
        <v>31</v>
      </c>
      <c r="B1330">
        <v>0</v>
      </c>
      <c r="C1330">
        <v>1</v>
      </c>
      <c r="D1330">
        <v>2</v>
      </c>
      <c r="E1330">
        <v>2</v>
      </c>
      <c r="F1330">
        <v>18.999620938952798</v>
      </c>
      <c r="G1330">
        <v>14</v>
      </c>
      <c r="H1330">
        <v>39</v>
      </c>
      <c r="I1330">
        <v>68</v>
      </c>
      <c r="J1330">
        <v>2</v>
      </c>
      <c r="K1330">
        <v>0</v>
      </c>
      <c r="L1330" t="str">
        <f t="shared" si="260"/>
        <v>C1329</v>
      </c>
      <c r="M1330" t="str">
        <f t="shared" si="261"/>
        <v>Male</v>
      </c>
      <c r="N1330" t="str">
        <f t="shared" si="262"/>
        <v>Bachelor's Type 1</v>
      </c>
      <c r="O1330" t="str">
        <f t="shared" si="263"/>
        <v>Entry Level</v>
      </c>
      <c r="P1330" t="str">
        <f t="shared" si="264"/>
        <v>Low</v>
      </c>
      <c r="Q1330" t="str">
        <f t="shared" si="265"/>
        <v>Beginner</v>
      </c>
      <c r="R1330" t="str">
        <f t="shared" si="266"/>
        <v>Good</v>
      </c>
      <c r="S1330" t="str">
        <f t="shared" si="267"/>
        <v>Not Hired</v>
      </c>
      <c r="T1330">
        <f t="shared" si="268"/>
        <v>34</v>
      </c>
      <c r="U1330" t="str">
        <f t="shared" si="269"/>
        <v>Needs Improvement</v>
      </c>
      <c r="V1330" t="str">
        <f t="shared" si="270"/>
        <v>Personality</v>
      </c>
      <c r="W1330" t="str">
        <f t="shared" si="271"/>
        <v>Interview Preparation</v>
      </c>
      <c r="X1330" t="str">
        <f t="shared" si="272"/>
        <v>Improve interview preparation and communication</v>
      </c>
    </row>
    <row r="1331" spans="1:24" x14ac:dyDescent="0.3">
      <c r="A1331">
        <v>24</v>
      </c>
      <c r="B1331">
        <v>0</v>
      </c>
      <c r="C1331">
        <v>3</v>
      </c>
      <c r="D1331">
        <v>5</v>
      </c>
      <c r="E1331">
        <v>2</v>
      </c>
      <c r="F1331">
        <v>4.83616997280114</v>
      </c>
      <c r="G1331">
        <v>32</v>
      </c>
      <c r="H1331">
        <v>16</v>
      </c>
      <c r="I1331">
        <v>9</v>
      </c>
      <c r="J1331">
        <v>3</v>
      </c>
      <c r="K1331">
        <v>0</v>
      </c>
      <c r="L1331" t="str">
        <f t="shared" si="260"/>
        <v>C1330</v>
      </c>
      <c r="M1331" t="str">
        <f t="shared" si="261"/>
        <v>Male</v>
      </c>
      <c r="N1331" t="str">
        <f t="shared" si="262"/>
        <v>Master's</v>
      </c>
      <c r="O1331" t="str">
        <f t="shared" si="263"/>
        <v>Mid Level</v>
      </c>
      <c r="P1331" t="str">
        <f t="shared" si="264"/>
        <v>Low</v>
      </c>
      <c r="Q1331" t="str">
        <f t="shared" si="265"/>
        <v>Beginner</v>
      </c>
      <c r="R1331" t="str">
        <f t="shared" si="266"/>
        <v>Needs Improvement</v>
      </c>
      <c r="S1331" t="str">
        <f t="shared" si="267"/>
        <v>Not Hired</v>
      </c>
      <c r="T1331">
        <f t="shared" si="268"/>
        <v>25</v>
      </c>
      <c r="U1331" t="str">
        <f t="shared" si="269"/>
        <v>Needs Improvement</v>
      </c>
      <c r="V1331" t="str">
        <f t="shared" si="270"/>
        <v>Interview</v>
      </c>
      <c r="W1331" t="str">
        <f t="shared" si="271"/>
        <v>Personality &amp; Communication</v>
      </c>
      <c r="X1331" t="str">
        <f t="shared" si="272"/>
        <v>Work on communication and personality development</v>
      </c>
    </row>
    <row r="1332" spans="1:24" x14ac:dyDescent="0.3">
      <c r="A1332">
        <v>25</v>
      </c>
      <c r="B1332">
        <v>0</v>
      </c>
      <c r="C1332">
        <v>3</v>
      </c>
      <c r="D1332">
        <v>7</v>
      </c>
      <c r="E1332">
        <v>3</v>
      </c>
      <c r="F1332">
        <v>22.314885870171199</v>
      </c>
      <c r="G1332">
        <v>79</v>
      </c>
      <c r="H1332">
        <v>39</v>
      </c>
      <c r="I1332">
        <v>32</v>
      </c>
      <c r="J1332">
        <v>2</v>
      </c>
      <c r="K1332">
        <v>0</v>
      </c>
      <c r="L1332" t="str">
        <f t="shared" si="260"/>
        <v>C1331</v>
      </c>
      <c r="M1332" t="str">
        <f t="shared" si="261"/>
        <v>Male</v>
      </c>
      <c r="N1332" t="str">
        <f t="shared" si="262"/>
        <v>Master's</v>
      </c>
      <c r="O1332" t="str">
        <f t="shared" si="263"/>
        <v>Senior Level</v>
      </c>
      <c r="P1332" t="str">
        <f t="shared" si="264"/>
        <v>Strong</v>
      </c>
      <c r="Q1332" t="str">
        <f t="shared" si="265"/>
        <v>Beginner</v>
      </c>
      <c r="R1332" t="str">
        <f t="shared" si="266"/>
        <v>Needs Improvement</v>
      </c>
      <c r="S1332" t="str">
        <f t="shared" si="267"/>
        <v>Not Hired</v>
      </c>
      <c r="T1332">
        <f t="shared" si="268"/>
        <v>53</v>
      </c>
      <c r="U1332" t="str">
        <f t="shared" si="269"/>
        <v>Developing</v>
      </c>
      <c r="V1332" t="str">
        <f t="shared" si="270"/>
        <v>Interview</v>
      </c>
      <c r="W1332" t="str">
        <f t="shared" si="271"/>
        <v>Personality &amp; Communication</v>
      </c>
      <c r="X1332" t="str">
        <f t="shared" si="272"/>
        <v>Work on communication and personality development</v>
      </c>
    </row>
    <row r="1333" spans="1:24" x14ac:dyDescent="0.3">
      <c r="A1333">
        <v>45</v>
      </c>
      <c r="B1333">
        <v>1</v>
      </c>
      <c r="C1333">
        <v>2</v>
      </c>
      <c r="D1333">
        <v>8</v>
      </c>
      <c r="E1333">
        <v>1</v>
      </c>
      <c r="F1333">
        <v>23.1167729025107</v>
      </c>
      <c r="G1333">
        <v>10</v>
      </c>
      <c r="H1333">
        <v>6</v>
      </c>
      <c r="I1333">
        <v>12</v>
      </c>
      <c r="J1333">
        <v>2</v>
      </c>
      <c r="K1333">
        <v>0</v>
      </c>
      <c r="L1333" t="str">
        <f t="shared" si="260"/>
        <v>C1332</v>
      </c>
      <c r="M1333" t="str">
        <f t="shared" si="261"/>
        <v>Female</v>
      </c>
      <c r="N1333" t="str">
        <f t="shared" si="262"/>
        <v>Bachelor's Type 2</v>
      </c>
      <c r="O1333" t="str">
        <f t="shared" si="263"/>
        <v>Senior Level</v>
      </c>
      <c r="P1333" t="str">
        <f t="shared" si="264"/>
        <v>Low</v>
      </c>
      <c r="Q1333" t="str">
        <f t="shared" si="265"/>
        <v>Beginner</v>
      </c>
      <c r="R1333" t="str">
        <f t="shared" si="266"/>
        <v>Needs Improvement</v>
      </c>
      <c r="S1333" t="str">
        <f t="shared" si="267"/>
        <v>Not Hired</v>
      </c>
      <c r="T1333">
        <f t="shared" si="268"/>
        <v>18</v>
      </c>
      <c r="U1333" t="str">
        <f t="shared" si="269"/>
        <v>Needs Improvement</v>
      </c>
      <c r="V1333" t="str">
        <f t="shared" si="270"/>
        <v>Personality</v>
      </c>
      <c r="W1333" t="str">
        <f t="shared" si="271"/>
        <v>Technical Skills</v>
      </c>
      <c r="X1333" t="str">
        <f t="shared" si="272"/>
        <v>Strengthen technical skills and practical knowledge</v>
      </c>
    </row>
    <row r="1334" spans="1:24" x14ac:dyDescent="0.3">
      <c r="A1334">
        <v>41</v>
      </c>
      <c r="B1334">
        <v>0</v>
      </c>
      <c r="C1334">
        <v>4</v>
      </c>
      <c r="D1334">
        <v>0</v>
      </c>
      <c r="E1334">
        <v>1</v>
      </c>
      <c r="F1334">
        <v>34.433544244894598</v>
      </c>
      <c r="G1334">
        <v>19</v>
      </c>
      <c r="H1334">
        <v>56</v>
      </c>
      <c r="I1334">
        <v>98</v>
      </c>
      <c r="J1334">
        <v>2</v>
      </c>
      <c r="K1334">
        <v>0</v>
      </c>
      <c r="L1334" t="str">
        <f t="shared" si="260"/>
        <v>C1333</v>
      </c>
      <c r="M1334" t="str">
        <f t="shared" si="261"/>
        <v>Male</v>
      </c>
      <c r="N1334" t="str">
        <f t="shared" si="262"/>
        <v>PhD</v>
      </c>
      <c r="O1334" t="str">
        <f t="shared" si="263"/>
        <v>Entry Level</v>
      </c>
      <c r="P1334" t="str">
        <f t="shared" si="264"/>
        <v>Low</v>
      </c>
      <c r="Q1334" t="str">
        <f t="shared" si="265"/>
        <v>Intermediate</v>
      </c>
      <c r="R1334" t="str">
        <f t="shared" si="266"/>
        <v>Strong</v>
      </c>
      <c r="S1334" t="str">
        <f t="shared" si="267"/>
        <v>Not Hired</v>
      </c>
      <c r="T1334">
        <f t="shared" si="268"/>
        <v>47</v>
      </c>
      <c r="U1334" t="str">
        <f t="shared" si="269"/>
        <v>Needs Improvement</v>
      </c>
      <c r="V1334" t="str">
        <f t="shared" si="270"/>
        <v>Personality</v>
      </c>
      <c r="W1334" t="str">
        <f t="shared" si="271"/>
        <v>Interview Preparation</v>
      </c>
      <c r="X1334" t="str">
        <f t="shared" si="272"/>
        <v>Improve interview preparation and communication</v>
      </c>
    </row>
    <row r="1335" spans="1:24" x14ac:dyDescent="0.3">
      <c r="A1335">
        <v>23</v>
      </c>
      <c r="B1335">
        <v>1</v>
      </c>
      <c r="C1335">
        <v>1</v>
      </c>
      <c r="D1335">
        <v>2</v>
      </c>
      <c r="E1335">
        <v>5</v>
      </c>
      <c r="F1335">
        <v>16.770819562934101</v>
      </c>
      <c r="G1335">
        <v>23</v>
      </c>
      <c r="H1335">
        <v>7</v>
      </c>
      <c r="I1335">
        <v>50</v>
      </c>
      <c r="J1335">
        <v>3</v>
      </c>
      <c r="K1335">
        <v>0</v>
      </c>
      <c r="L1335" t="str">
        <f t="shared" si="260"/>
        <v>C1334</v>
      </c>
      <c r="M1335" t="str">
        <f t="shared" si="261"/>
        <v>Female</v>
      </c>
      <c r="N1335" t="str">
        <f t="shared" si="262"/>
        <v>Bachelor's Type 1</v>
      </c>
      <c r="O1335" t="str">
        <f t="shared" si="263"/>
        <v>Entry Level</v>
      </c>
      <c r="P1335" t="str">
        <f t="shared" si="264"/>
        <v>Low</v>
      </c>
      <c r="Q1335" t="str">
        <f t="shared" si="265"/>
        <v>Beginner</v>
      </c>
      <c r="R1335" t="str">
        <f t="shared" si="266"/>
        <v>Good</v>
      </c>
      <c r="S1335" t="str">
        <f t="shared" si="267"/>
        <v>Not Hired</v>
      </c>
      <c r="T1335">
        <f t="shared" si="268"/>
        <v>24</v>
      </c>
      <c r="U1335" t="str">
        <f t="shared" si="269"/>
        <v>Needs Improvement</v>
      </c>
      <c r="V1335" t="str">
        <f t="shared" si="270"/>
        <v>Personality</v>
      </c>
      <c r="W1335" t="str">
        <f t="shared" si="271"/>
        <v>Technical Skills</v>
      </c>
      <c r="X1335" t="str">
        <f t="shared" si="272"/>
        <v>Strengthen technical skills and practical knowledge</v>
      </c>
    </row>
    <row r="1336" spans="1:24" x14ac:dyDescent="0.3">
      <c r="A1336">
        <v>38</v>
      </c>
      <c r="B1336">
        <v>1</v>
      </c>
      <c r="C1336">
        <v>2</v>
      </c>
      <c r="D1336">
        <v>2</v>
      </c>
      <c r="E1336">
        <v>4</v>
      </c>
      <c r="F1336">
        <v>35.129963989065203</v>
      </c>
      <c r="G1336">
        <v>63</v>
      </c>
      <c r="H1336">
        <v>55</v>
      </c>
      <c r="I1336">
        <v>31</v>
      </c>
      <c r="J1336">
        <v>2</v>
      </c>
      <c r="K1336">
        <v>0</v>
      </c>
      <c r="L1336" t="str">
        <f t="shared" si="260"/>
        <v>C1335</v>
      </c>
      <c r="M1336" t="str">
        <f t="shared" si="261"/>
        <v>Female</v>
      </c>
      <c r="N1336" t="str">
        <f t="shared" si="262"/>
        <v>Bachelor's Type 2</v>
      </c>
      <c r="O1336" t="str">
        <f t="shared" si="263"/>
        <v>Entry Level</v>
      </c>
      <c r="P1336" t="str">
        <f t="shared" si="264"/>
        <v>Average</v>
      </c>
      <c r="Q1336" t="str">
        <f t="shared" si="265"/>
        <v>Intermediate</v>
      </c>
      <c r="R1336" t="str">
        <f t="shared" si="266"/>
        <v>Needs Improvement</v>
      </c>
      <c r="S1336" t="str">
        <f t="shared" si="267"/>
        <v>Not Hired</v>
      </c>
      <c r="T1336">
        <f t="shared" si="268"/>
        <v>46</v>
      </c>
      <c r="U1336" t="str">
        <f t="shared" si="269"/>
        <v>Needs Improvement</v>
      </c>
      <c r="V1336" t="str">
        <f t="shared" si="270"/>
        <v>Interview</v>
      </c>
      <c r="W1336" t="str">
        <f t="shared" si="271"/>
        <v>Personality &amp; Communication</v>
      </c>
      <c r="X1336" t="str">
        <f t="shared" si="272"/>
        <v>Work on communication and personality development</v>
      </c>
    </row>
    <row r="1337" spans="1:24" x14ac:dyDescent="0.3">
      <c r="A1337">
        <v>39</v>
      </c>
      <c r="B1337">
        <v>0</v>
      </c>
      <c r="C1337">
        <v>2</v>
      </c>
      <c r="D1337">
        <v>10</v>
      </c>
      <c r="E1337">
        <v>2</v>
      </c>
      <c r="F1337">
        <v>44.574427087869402</v>
      </c>
      <c r="G1337">
        <v>79</v>
      </c>
      <c r="H1337">
        <v>30</v>
      </c>
      <c r="I1337">
        <v>74</v>
      </c>
      <c r="J1337">
        <v>2</v>
      </c>
      <c r="K1337">
        <v>0</v>
      </c>
      <c r="L1337" t="str">
        <f t="shared" si="260"/>
        <v>C1336</v>
      </c>
      <c r="M1337" t="str">
        <f t="shared" si="261"/>
        <v>Male</v>
      </c>
      <c r="N1337" t="str">
        <f t="shared" si="262"/>
        <v>Bachelor's Type 2</v>
      </c>
      <c r="O1337" t="str">
        <f t="shared" si="263"/>
        <v>Senior Level</v>
      </c>
      <c r="P1337" t="str">
        <f t="shared" si="264"/>
        <v>Strong</v>
      </c>
      <c r="Q1337" t="str">
        <f t="shared" si="265"/>
        <v>Beginner</v>
      </c>
      <c r="R1337" t="str">
        <f t="shared" si="266"/>
        <v>Good</v>
      </c>
      <c r="S1337" t="str">
        <f t="shared" si="267"/>
        <v>Not Hired</v>
      </c>
      <c r="T1337">
        <f t="shared" si="268"/>
        <v>60</v>
      </c>
      <c r="U1337" t="str">
        <f t="shared" si="269"/>
        <v>Developing</v>
      </c>
      <c r="V1337" t="str">
        <f t="shared" si="270"/>
        <v>Interview</v>
      </c>
      <c r="W1337" t="str">
        <f t="shared" si="271"/>
        <v>Technical Skills</v>
      </c>
      <c r="X1337" t="str">
        <f t="shared" si="272"/>
        <v>Strengthen technical skills and practical knowledge</v>
      </c>
    </row>
    <row r="1338" spans="1:24" x14ac:dyDescent="0.3">
      <c r="A1338">
        <v>20</v>
      </c>
      <c r="B1338">
        <v>0</v>
      </c>
      <c r="C1338">
        <v>2</v>
      </c>
      <c r="D1338">
        <v>7</v>
      </c>
      <c r="E1338">
        <v>2</v>
      </c>
      <c r="F1338">
        <v>12.874302118109901</v>
      </c>
      <c r="G1338">
        <v>93</v>
      </c>
      <c r="H1338">
        <v>58</v>
      </c>
      <c r="I1338">
        <v>23</v>
      </c>
      <c r="J1338">
        <v>1</v>
      </c>
      <c r="K1338">
        <v>1</v>
      </c>
      <c r="L1338" t="str">
        <f t="shared" si="260"/>
        <v>C1337</v>
      </c>
      <c r="M1338" t="str">
        <f t="shared" si="261"/>
        <v>Male</v>
      </c>
      <c r="N1338" t="str">
        <f t="shared" si="262"/>
        <v>Bachelor's Type 2</v>
      </c>
      <c r="O1338" t="str">
        <f t="shared" si="263"/>
        <v>Senior Level</v>
      </c>
      <c r="P1338" t="str">
        <f t="shared" si="264"/>
        <v>Strong</v>
      </c>
      <c r="Q1338" t="str">
        <f t="shared" si="265"/>
        <v>Intermediate</v>
      </c>
      <c r="R1338" t="str">
        <f t="shared" si="266"/>
        <v>Needs Improvement</v>
      </c>
      <c r="S1338" t="str">
        <f t="shared" si="267"/>
        <v>Hired</v>
      </c>
      <c r="T1338">
        <f t="shared" si="268"/>
        <v>59</v>
      </c>
      <c r="U1338" t="str">
        <f t="shared" si="269"/>
        <v>Developing</v>
      </c>
      <c r="V1338" t="str">
        <f t="shared" si="270"/>
        <v>Interview</v>
      </c>
      <c r="W1338" t="str">
        <f t="shared" si="271"/>
        <v>Personality &amp; Communication</v>
      </c>
      <c r="X1338" t="str">
        <f t="shared" si="272"/>
        <v>Work on communication and personality development</v>
      </c>
    </row>
    <row r="1339" spans="1:24" x14ac:dyDescent="0.3">
      <c r="A1339">
        <v>39</v>
      </c>
      <c r="B1339">
        <v>1</v>
      </c>
      <c r="C1339">
        <v>3</v>
      </c>
      <c r="D1339">
        <v>0</v>
      </c>
      <c r="E1339">
        <v>2</v>
      </c>
      <c r="F1339">
        <v>49.9459778059949</v>
      </c>
      <c r="G1339">
        <v>97</v>
      </c>
      <c r="H1339">
        <v>57</v>
      </c>
      <c r="I1339">
        <v>34</v>
      </c>
      <c r="J1339">
        <v>2</v>
      </c>
      <c r="K1339">
        <v>0</v>
      </c>
      <c r="L1339" t="str">
        <f t="shared" si="260"/>
        <v>C1338</v>
      </c>
      <c r="M1339" t="str">
        <f t="shared" si="261"/>
        <v>Female</v>
      </c>
      <c r="N1339" t="str">
        <f t="shared" si="262"/>
        <v>Master's</v>
      </c>
      <c r="O1339" t="str">
        <f t="shared" si="263"/>
        <v>Entry Level</v>
      </c>
      <c r="P1339" t="str">
        <f t="shared" si="264"/>
        <v>Strong</v>
      </c>
      <c r="Q1339" t="str">
        <f t="shared" si="265"/>
        <v>Intermediate</v>
      </c>
      <c r="R1339" t="str">
        <f t="shared" si="266"/>
        <v>Needs Improvement</v>
      </c>
      <c r="S1339" t="str">
        <f t="shared" si="267"/>
        <v>Not Hired</v>
      </c>
      <c r="T1339">
        <f t="shared" si="268"/>
        <v>57</v>
      </c>
      <c r="U1339" t="str">
        <f t="shared" si="269"/>
        <v>Developing</v>
      </c>
      <c r="V1339" t="str">
        <f t="shared" si="270"/>
        <v>Interview</v>
      </c>
      <c r="W1339" t="str">
        <f t="shared" si="271"/>
        <v>Personality &amp; Communication</v>
      </c>
      <c r="X1339" t="str">
        <f t="shared" si="272"/>
        <v>Work on communication and personality development</v>
      </c>
    </row>
    <row r="1340" spans="1:24" x14ac:dyDescent="0.3">
      <c r="A1340">
        <v>36</v>
      </c>
      <c r="B1340">
        <v>0</v>
      </c>
      <c r="C1340">
        <v>2</v>
      </c>
      <c r="D1340">
        <v>4</v>
      </c>
      <c r="E1340">
        <v>4</v>
      </c>
      <c r="F1340">
        <v>20.318406856840301</v>
      </c>
      <c r="G1340">
        <v>64</v>
      </c>
      <c r="H1340">
        <v>11</v>
      </c>
      <c r="I1340">
        <v>82</v>
      </c>
      <c r="J1340">
        <v>1</v>
      </c>
      <c r="K1340">
        <v>0</v>
      </c>
      <c r="L1340" t="str">
        <f t="shared" si="260"/>
        <v>C1339</v>
      </c>
      <c r="M1340" t="str">
        <f t="shared" si="261"/>
        <v>Male</v>
      </c>
      <c r="N1340" t="str">
        <f t="shared" si="262"/>
        <v>Bachelor's Type 2</v>
      </c>
      <c r="O1340" t="str">
        <f t="shared" si="263"/>
        <v>Mid Level</v>
      </c>
      <c r="P1340" t="str">
        <f t="shared" si="264"/>
        <v>Average</v>
      </c>
      <c r="Q1340" t="str">
        <f t="shared" si="265"/>
        <v>Beginner</v>
      </c>
      <c r="R1340" t="str">
        <f t="shared" si="266"/>
        <v>Strong</v>
      </c>
      <c r="S1340" t="str">
        <f t="shared" si="267"/>
        <v>Not Hired</v>
      </c>
      <c r="T1340">
        <f t="shared" si="268"/>
        <v>45</v>
      </c>
      <c r="U1340" t="str">
        <f t="shared" si="269"/>
        <v>Needs Improvement</v>
      </c>
      <c r="V1340" t="str">
        <f t="shared" si="270"/>
        <v>Personality</v>
      </c>
      <c r="W1340" t="str">
        <f t="shared" si="271"/>
        <v>Technical Skills</v>
      </c>
      <c r="X1340" t="str">
        <f t="shared" si="272"/>
        <v>Strengthen technical skills and practical knowledge</v>
      </c>
    </row>
    <row r="1341" spans="1:24" x14ac:dyDescent="0.3">
      <c r="A1341">
        <v>31</v>
      </c>
      <c r="B1341">
        <v>1</v>
      </c>
      <c r="C1341">
        <v>2</v>
      </c>
      <c r="D1341">
        <v>2</v>
      </c>
      <c r="E1341">
        <v>5</v>
      </c>
      <c r="F1341">
        <v>14.362934257353</v>
      </c>
      <c r="G1341">
        <v>87</v>
      </c>
      <c r="H1341">
        <v>47</v>
      </c>
      <c r="I1341">
        <v>69</v>
      </c>
      <c r="J1341">
        <v>2</v>
      </c>
      <c r="K1341">
        <v>0</v>
      </c>
      <c r="L1341" t="str">
        <f t="shared" si="260"/>
        <v>C1340</v>
      </c>
      <c r="M1341" t="str">
        <f t="shared" si="261"/>
        <v>Female</v>
      </c>
      <c r="N1341" t="str">
        <f t="shared" si="262"/>
        <v>Bachelor's Type 2</v>
      </c>
      <c r="O1341" t="str">
        <f t="shared" si="263"/>
        <v>Entry Level</v>
      </c>
      <c r="P1341" t="str">
        <f t="shared" si="264"/>
        <v>Strong</v>
      </c>
      <c r="Q1341" t="str">
        <f t="shared" si="265"/>
        <v>Beginner</v>
      </c>
      <c r="R1341" t="str">
        <f t="shared" si="266"/>
        <v>Good</v>
      </c>
      <c r="S1341" t="str">
        <f t="shared" si="267"/>
        <v>Not Hired</v>
      </c>
      <c r="T1341">
        <f t="shared" si="268"/>
        <v>59</v>
      </c>
      <c r="U1341" t="str">
        <f t="shared" si="269"/>
        <v>Developing</v>
      </c>
      <c r="V1341" t="str">
        <f t="shared" si="270"/>
        <v>Interview</v>
      </c>
      <c r="W1341" t="str">
        <f t="shared" si="271"/>
        <v>Technical Skills</v>
      </c>
      <c r="X1341" t="str">
        <f t="shared" si="272"/>
        <v>Strengthen technical skills and practical knowledge</v>
      </c>
    </row>
    <row r="1342" spans="1:24" x14ac:dyDescent="0.3">
      <c r="A1342">
        <v>34</v>
      </c>
      <c r="B1342">
        <v>0</v>
      </c>
      <c r="C1342">
        <v>2</v>
      </c>
      <c r="D1342">
        <v>1</v>
      </c>
      <c r="E1342">
        <v>4</v>
      </c>
      <c r="F1342">
        <v>22.075559125514499</v>
      </c>
      <c r="G1342">
        <v>87</v>
      </c>
      <c r="H1342">
        <v>30</v>
      </c>
      <c r="I1342">
        <v>39</v>
      </c>
      <c r="J1342">
        <v>3</v>
      </c>
      <c r="K1342">
        <v>0</v>
      </c>
      <c r="L1342" t="str">
        <f t="shared" si="260"/>
        <v>C1341</v>
      </c>
      <c r="M1342" t="str">
        <f t="shared" si="261"/>
        <v>Male</v>
      </c>
      <c r="N1342" t="str">
        <f t="shared" si="262"/>
        <v>Bachelor's Type 2</v>
      </c>
      <c r="O1342" t="str">
        <f t="shared" si="263"/>
        <v>Entry Level</v>
      </c>
      <c r="P1342" t="str">
        <f t="shared" si="264"/>
        <v>Strong</v>
      </c>
      <c r="Q1342" t="str">
        <f t="shared" si="265"/>
        <v>Beginner</v>
      </c>
      <c r="R1342" t="str">
        <f t="shared" si="266"/>
        <v>Needs Improvement</v>
      </c>
      <c r="S1342" t="str">
        <f t="shared" si="267"/>
        <v>Not Hired</v>
      </c>
      <c r="T1342">
        <f t="shared" si="268"/>
        <v>46</v>
      </c>
      <c r="U1342" t="str">
        <f t="shared" si="269"/>
        <v>Needs Improvement</v>
      </c>
      <c r="V1342" t="str">
        <f t="shared" si="270"/>
        <v>Interview</v>
      </c>
      <c r="W1342" t="str">
        <f t="shared" si="271"/>
        <v>Technical Skills</v>
      </c>
      <c r="X1342" t="str">
        <f t="shared" si="272"/>
        <v>Strengthen technical skills and practical knowledge</v>
      </c>
    </row>
    <row r="1343" spans="1:24" x14ac:dyDescent="0.3">
      <c r="A1343">
        <v>20</v>
      </c>
      <c r="B1343">
        <v>0</v>
      </c>
      <c r="C1343">
        <v>3</v>
      </c>
      <c r="D1343">
        <v>14</v>
      </c>
      <c r="E1343">
        <v>1</v>
      </c>
      <c r="F1343">
        <v>5.7198737951929504</v>
      </c>
      <c r="G1343">
        <v>72</v>
      </c>
      <c r="H1343">
        <v>82</v>
      </c>
      <c r="I1343">
        <v>53</v>
      </c>
      <c r="J1343">
        <v>2</v>
      </c>
      <c r="K1343">
        <v>1</v>
      </c>
      <c r="L1343" t="str">
        <f t="shared" si="260"/>
        <v>C1342</v>
      </c>
      <c r="M1343" t="str">
        <f t="shared" si="261"/>
        <v>Male</v>
      </c>
      <c r="N1343" t="str">
        <f t="shared" si="262"/>
        <v>Master's</v>
      </c>
      <c r="O1343" t="str">
        <f t="shared" si="263"/>
        <v>Senior Level</v>
      </c>
      <c r="P1343" t="str">
        <f t="shared" si="264"/>
        <v>Average</v>
      </c>
      <c r="Q1343" t="str">
        <f t="shared" si="265"/>
        <v>Advanced</v>
      </c>
      <c r="R1343" t="str">
        <f t="shared" si="266"/>
        <v>Good</v>
      </c>
      <c r="S1343" t="str">
        <f t="shared" si="267"/>
        <v>Hired</v>
      </c>
      <c r="T1343">
        <f t="shared" si="268"/>
        <v>75</v>
      </c>
      <c r="U1343" t="str">
        <f t="shared" si="269"/>
        <v>Job Ready</v>
      </c>
      <c r="V1343" t="str">
        <f t="shared" si="270"/>
        <v>Technical Skills</v>
      </c>
      <c r="W1343" t="str">
        <f t="shared" si="271"/>
        <v>Personality &amp; Communication</v>
      </c>
      <c r="X1343" t="str">
        <f t="shared" si="272"/>
        <v>Work on communication and personality development</v>
      </c>
    </row>
    <row r="1344" spans="1:24" x14ac:dyDescent="0.3">
      <c r="A1344">
        <v>45</v>
      </c>
      <c r="B1344">
        <v>0</v>
      </c>
      <c r="C1344">
        <v>1</v>
      </c>
      <c r="D1344">
        <v>7</v>
      </c>
      <c r="E1344">
        <v>1</v>
      </c>
      <c r="F1344">
        <v>7.2852953256057802</v>
      </c>
      <c r="G1344">
        <v>85</v>
      </c>
      <c r="H1344">
        <v>62</v>
      </c>
      <c r="I1344">
        <v>43</v>
      </c>
      <c r="J1344">
        <v>2</v>
      </c>
      <c r="K1344">
        <v>0</v>
      </c>
      <c r="L1344" t="str">
        <f t="shared" si="260"/>
        <v>C1343</v>
      </c>
      <c r="M1344" t="str">
        <f t="shared" si="261"/>
        <v>Male</v>
      </c>
      <c r="N1344" t="str">
        <f t="shared" si="262"/>
        <v>Bachelor's Type 1</v>
      </c>
      <c r="O1344" t="str">
        <f t="shared" si="263"/>
        <v>Senior Level</v>
      </c>
      <c r="P1344" t="str">
        <f t="shared" si="264"/>
        <v>Strong</v>
      </c>
      <c r="Q1344" t="str">
        <f t="shared" si="265"/>
        <v>Intermediate</v>
      </c>
      <c r="R1344" t="str">
        <f t="shared" si="266"/>
        <v>Needs Improvement</v>
      </c>
      <c r="S1344" t="str">
        <f t="shared" si="267"/>
        <v>Not Hired</v>
      </c>
      <c r="T1344">
        <f t="shared" si="268"/>
        <v>62</v>
      </c>
      <c r="U1344" t="str">
        <f t="shared" si="269"/>
        <v>Developing</v>
      </c>
      <c r="V1344" t="str">
        <f t="shared" si="270"/>
        <v>Interview</v>
      </c>
      <c r="W1344" t="str">
        <f t="shared" si="271"/>
        <v>Personality &amp; Communication</v>
      </c>
      <c r="X1344" t="str">
        <f t="shared" si="272"/>
        <v>Work on communication and personality development</v>
      </c>
    </row>
    <row r="1345" spans="1:24" x14ac:dyDescent="0.3">
      <c r="A1345">
        <v>33</v>
      </c>
      <c r="B1345">
        <v>1</v>
      </c>
      <c r="C1345">
        <v>2</v>
      </c>
      <c r="D1345">
        <v>2</v>
      </c>
      <c r="E1345">
        <v>2</v>
      </c>
      <c r="F1345">
        <v>21.7217023484165</v>
      </c>
      <c r="G1345">
        <v>75</v>
      </c>
      <c r="H1345">
        <v>73</v>
      </c>
      <c r="I1345">
        <v>61</v>
      </c>
      <c r="J1345">
        <v>2</v>
      </c>
      <c r="K1345">
        <v>0</v>
      </c>
      <c r="L1345" t="str">
        <f t="shared" si="260"/>
        <v>C1344</v>
      </c>
      <c r="M1345" t="str">
        <f t="shared" si="261"/>
        <v>Female</v>
      </c>
      <c r="N1345" t="str">
        <f t="shared" si="262"/>
        <v>Bachelor's Type 2</v>
      </c>
      <c r="O1345" t="str">
        <f t="shared" si="263"/>
        <v>Entry Level</v>
      </c>
      <c r="P1345" t="str">
        <f t="shared" si="264"/>
        <v>Strong</v>
      </c>
      <c r="Q1345" t="str">
        <f t="shared" si="265"/>
        <v>Intermediate</v>
      </c>
      <c r="R1345" t="str">
        <f t="shared" si="266"/>
        <v>Good</v>
      </c>
      <c r="S1345" t="str">
        <f t="shared" si="267"/>
        <v>Not Hired</v>
      </c>
      <c r="T1345">
        <f t="shared" si="268"/>
        <v>61</v>
      </c>
      <c r="U1345" t="str">
        <f t="shared" si="269"/>
        <v>Developing</v>
      </c>
      <c r="V1345" t="str">
        <f t="shared" si="270"/>
        <v>Interview</v>
      </c>
      <c r="W1345" t="str">
        <f t="shared" si="271"/>
        <v>Personality &amp; Communication</v>
      </c>
      <c r="X1345" t="str">
        <f t="shared" si="272"/>
        <v>Work on communication and personality development</v>
      </c>
    </row>
    <row r="1346" spans="1:24" x14ac:dyDescent="0.3">
      <c r="A1346">
        <v>25</v>
      </c>
      <c r="B1346">
        <v>0</v>
      </c>
      <c r="C1346">
        <v>4</v>
      </c>
      <c r="D1346">
        <v>6</v>
      </c>
      <c r="E1346">
        <v>3</v>
      </c>
      <c r="F1346">
        <v>39.122226096955004</v>
      </c>
      <c r="G1346">
        <v>16</v>
      </c>
      <c r="H1346">
        <v>38</v>
      </c>
      <c r="I1346">
        <v>98</v>
      </c>
      <c r="J1346">
        <v>2</v>
      </c>
      <c r="K1346">
        <v>0</v>
      </c>
      <c r="L1346" t="str">
        <f t="shared" si="260"/>
        <v>C1345</v>
      </c>
      <c r="M1346" t="str">
        <f t="shared" si="261"/>
        <v>Male</v>
      </c>
      <c r="N1346" t="str">
        <f t="shared" si="262"/>
        <v>PhD</v>
      </c>
      <c r="O1346" t="str">
        <f t="shared" si="263"/>
        <v>Mid Level</v>
      </c>
      <c r="P1346" t="str">
        <f t="shared" si="264"/>
        <v>Low</v>
      </c>
      <c r="Q1346" t="str">
        <f t="shared" si="265"/>
        <v>Beginner</v>
      </c>
      <c r="R1346" t="str">
        <f t="shared" si="266"/>
        <v>Strong</v>
      </c>
      <c r="S1346" t="str">
        <f t="shared" si="267"/>
        <v>Not Hired</v>
      </c>
      <c r="T1346">
        <f t="shared" si="268"/>
        <v>47</v>
      </c>
      <c r="U1346" t="str">
        <f t="shared" si="269"/>
        <v>Needs Improvement</v>
      </c>
      <c r="V1346" t="str">
        <f t="shared" si="270"/>
        <v>Personality</v>
      </c>
      <c r="W1346" t="str">
        <f t="shared" si="271"/>
        <v>Interview Preparation</v>
      </c>
      <c r="X1346" t="str">
        <f t="shared" si="272"/>
        <v>Improve interview preparation and communication</v>
      </c>
    </row>
    <row r="1347" spans="1:24" x14ac:dyDescent="0.3">
      <c r="A1347">
        <v>24</v>
      </c>
      <c r="B1347">
        <v>1</v>
      </c>
      <c r="C1347">
        <v>3</v>
      </c>
      <c r="D1347">
        <v>11</v>
      </c>
      <c r="E1347">
        <v>2</v>
      </c>
      <c r="F1347">
        <v>46.0156119787245</v>
      </c>
      <c r="G1347">
        <v>88</v>
      </c>
      <c r="H1347">
        <v>75</v>
      </c>
      <c r="I1347">
        <v>67</v>
      </c>
      <c r="J1347">
        <v>2</v>
      </c>
      <c r="K1347">
        <v>1</v>
      </c>
      <c r="L1347" t="str">
        <f t="shared" ref="L1347:L1410" si="273">"C"&amp;TEXT(ROW()-1,"000")</f>
        <v>C1346</v>
      </c>
      <c r="M1347" t="str">
        <f t="shared" ref="M1347:M1410" si="274">IF(B1347=0,"Male","Female")</f>
        <v>Female</v>
      </c>
      <c r="N1347" t="str">
        <f t="shared" ref="N1347:N1410" si="275">IF(C1347=1,"Bachelor's Type 1",IF(C1347=2,"Bachelor's Type 2",IF(C1347=3,"Master's","PhD")))</f>
        <v>Master's</v>
      </c>
      <c r="O1347" t="str">
        <f t="shared" ref="O1347:O1410" si="276">IF(D1347&lt;=2,"Entry Level",IF(D1347&lt;=6,"Mid Level","Senior Level"))</f>
        <v>Senior Level</v>
      </c>
      <c r="P1347" t="str">
        <f t="shared" ref="P1347:P1410" si="277">IF(G1347&lt;50,"Low",IF(G1347&lt;75,"Average","Strong"))</f>
        <v>Strong</v>
      </c>
      <c r="Q1347" t="str">
        <f t="shared" ref="Q1347:Q1410" si="278">IF(H1347&lt;50,"Beginner",IF(H1347&lt;75,"Intermediate","Advanced"))</f>
        <v>Advanced</v>
      </c>
      <c r="R1347" t="str">
        <f t="shared" ref="R1347:R1410" si="279">IF(I1347&lt;50,"Needs Improvement",IF(I1347&lt;75,"Good","Strong"))</f>
        <v>Good</v>
      </c>
      <c r="S1347" t="str">
        <f t="shared" ref="S1347:S1410" si="280">IF(K1347=1,"Hired","Not Hired")</f>
        <v>Hired</v>
      </c>
      <c r="T1347">
        <f t="shared" ref="T1347:T1410" si="281">ROUND((G1347*30%)+(H1347*30%)+(I1347*20%)+((D1347/15)*100*15%)+(IF(C1347&lt;=2,50,IF(C1347=3,75,100))*5%),0)</f>
        <v>77</v>
      </c>
      <c r="U1347" t="str">
        <f t="shared" ref="U1347:U1410" si="282">IF(T1347&lt;50,"Needs Improvement",IF(T1347&lt;75,"Developing","Job Ready"))</f>
        <v>Job Ready</v>
      </c>
      <c r="V1347" t="str">
        <f t="shared" ref="V1347:V1410" si="283">IF(AND(G1347&gt;=H1347,G1347&gt;=I1347),"Interview",IF(H1347&gt;=I1347,"Technical Skills","Personality"))</f>
        <v>Interview</v>
      </c>
      <c r="W1347" t="str">
        <f t="shared" ref="W1347:W1410" si="284">IF(AND(G1347&lt;=H1347,G1347&lt;=I1347),"Interview Preparation",IF(H1347&lt;=I1347,"Technical Skills","Personality &amp; Communication"))</f>
        <v>Personality &amp; Communication</v>
      </c>
      <c r="X1347" t="str">
        <f t="shared" ref="X1347:X1410" si="285">IF(W1347="Interview Preparation","Improve interview preparation and communication",IF(W1347="Technical Skills","Strengthen technical skills and practical knowledge","Work on communication and personality development"))</f>
        <v>Work on communication and personality development</v>
      </c>
    </row>
    <row r="1348" spans="1:24" x14ac:dyDescent="0.3">
      <c r="A1348">
        <v>49</v>
      </c>
      <c r="B1348">
        <v>1</v>
      </c>
      <c r="C1348">
        <v>2</v>
      </c>
      <c r="D1348">
        <v>10</v>
      </c>
      <c r="E1348">
        <v>3</v>
      </c>
      <c r="F1348">
        <v>34.240899535813497</v>
      </c>
      <c r="G1348">
        <v>91</v>
      </c>
      <c r="H1348">
        <v>19</v>
      </c>
      <c r="I1348">
        <v>32</v>
      </c>
      <c r="J1348">
        <v>2</v>
      </c>
      <c r="K1348">
        <v>0</v>
      </c>
      <c r="L1348" t="str">
        <f t="shared" si="273"/>
        <v>C1347</v>
      </c>
      <c r="M1348" t="str">
        <f t="shared" si="274"/>
        <v>Female</v>
      </c>
      <c r="N1348" t="str">
        <f t="shared" si="275"/>
        <v>Bachelor's Type 2</v>
      </c>
      <c r="O1348" t="str">
        <f t="shared" si="276"/>
        <v>Senior Level</v>
      </c>
      <c r="P1348" t="str">
        <f t="shared" si="277"/>
        <v>Strong</v>
      </c>
      <c r="Q1348" t="str">
        <f t="shared" si="278"/>
        <v>Beginner</v>
      </c>
      <c r="R1348" t="str">
        <f t="shared" si="279"/>
        <v>Needs Improvement</v>
      </c>
      <c r="S1348" t="str">
        <f t="shared" si="280"/>
        <v>Not Hired</v>
      </c>
      <c r="T1348">
        <f t="shared" si="281"/>
        <v>52</v>
      </c>
      <c r="U1348" t="str">
        <f t="shared" si="282"/>
        <v>Developing</v>
      </c>
      <c r="V1348" t="str">
        <f t="shared" si="283"/>
        <v>Interview</v>
      </c>
      <c r="W1348" t="str">
        <f t="shared" si="284"/>
        <v>Technical Skills</v>
      </c>
      <c r="X1348" t="str">
        <f t="shared" si="285"/>
        <v>Strengthen technical skills and practical knowledge</v>
      </c>
    </row>
    <row r="1349" spans="1:24" x14ac:dyDescent="0.3">
      <c r="A1349">
        <v>30</v>
      </c>
      <c r="B1349">
        <v>1</v>
      </c>
      <c r="C1349">
        <v>3</v>
      </c>
      <c r="D1349">
        <v>0</v>
      </c>
      <c r="E1349">
        <v>4</v>
      </c>
      <c r="F1349">
        <v>6.2609777619084799</v>
      </c>
      <c r="G1349">
        <v>60</v>
      </c>
      <c r="H1349">
        <v>100</v>
      </c>
      <c r="I1349">
        <v>76</v>
      </c>
      <c r="J1349">
        <v>1</v>
      </c>
      <c r="K1349">
        <v>1</v>
      </c>
      <c r="L1349" t="str">
        <f t="shared" si="273"/>
        <v>C1348</v>
      </c>
      <c r="M1349" t="str">
        <f t="shared" si="274"/>
        <v>Female</v>
      </c>
      <c r="N1349" t="str">
        <f t="shared" si="275"/>
        <v>Master's</v>
      </c>
      <c r="O1349" t="str">
        <f t="shared" si="276"/>
        <v>Entry Level</v>
      </c>
      <c r="P1349" t="str">
        <f t="shared" si="277"/>
        <v>Average</v>
      </c>
      <c r="Q1349" t="str">
        <f t="shared" si="278"/>
        <v>Advanced</v>
      </c>
      <c r="R1349" t="str">
        <f t="shared" si="279"/>
        <v>Strong</v>
      </c>
      <c r="S1349" t="str">
        <f t="shared" si="280"/>
        <v>Hired</v>
      </c>
      <c r="T1349">
        <f t="shared" si="281"/>
        <v>67</v>
      </c>
      <c r="U1349" t="str">
        <f t="shared" si="282"/>
        <v>Developing</v>
      </c>
      <c r="V1349" t="str">
        <f t="shared" si="283"/>
        <v>Technical Skills</v>
      </c>
      <c r="W1349" t="str">
        <f t="shared" si="284"/>
        <v>Interview Preparation</v>
      </c>
      <c r="X1349" t="str">
        <f t="shared" si="285"/>
        <v>Improve interview preparation and communication</v>
      </c>
    </row>
    <row r="1350" spans="1:24" x14ac:dyDescent="0.3">
      <c r="A1350">
        <v>50</v>
      </c>
      <c r="B1350">
        <v>1</v>
      </c>
      <c r="C1350">
        <v>3</v>
      </c>
      <c r="D1350">
        <v>5</v>
      </c>
      <c r="E1350">
        <v>1</v>
      </c>
      <c r="F1350">
        <v>34.600988109026702</v>
      </c>
      <c r="G1350">
        <v>14</v>
      </c>
      <c r="H1350">
        <v>47</v>
      </c>
      <c r="I1350">
        <v>55</v>
      </c>
      <c r="J1350">
        <v>1</v>
      </c>
      <c r="K1350">
        <v>0</v>
      </c>
      <c r="L1350" t="str">
        <f t="shared" si="273"/>
        <v>C1349</v>
      </c>
      <c r="M1350" t="str">
        <f t="shared" si="274"/>
        <v>Female</v>
      </c>
      <c r="N1350" t="str">
        <f t="shared" si="275"/>
        <v>Master's</v>
      </c>
      <c r="O1350" t="str">
        <f t="shared" si="276"/>
        <v>Mid Level</v>
      </c>
      <c r="P1350" t="str">
        <f t="shared" si="277"/>
        <v>Low</v>
      </c>
      <c r="Q1350" t="str">
        <f t="shared" si="278"/>
        <v>Beginner</v>
      </c>
      <c r="R1350" t="str">
        <f t="shared" si="279"/>
        <v>Good</v>
      </c>
      <c r="S1350" t="str">
        <f t="shared" si="280"/>
        <v>Not Hired</v>
      </c>
      <c r="T1350">
        <f t="shared" si="281"/>
        <v>38</v>
      </c>
      <c r="U1350" t="str">
        <f t="shared" si="282"/>
        <v>Needs Improvement</v>
      </c>
      <c r="V1350" t="str">
        <f t="shared" si="283"/>
        <v>Personality</v>
      </c>
      <c r="W1350" t="str">
        <f t="shared" si="284"/>
        <v>Interview Preparation</v>
      </c>
      <c r="X1350" t="str">
        <f t="shared" si="285"/>
        <v>Improve interview preparation and communication</v>
      </c>
    </row>
    <row r="1351" spans="1:24" x14ac:dyDescent="0.3">
      <c r="A1351">
        <v>23</v>
      </c>
      <c r="B1351">
        <v>0</v>
      </c>
      <c r="C1351">
        <v>3</v>
      </c>
      <c r="D1351">
        <v>2</v>
      </c>
      <c r="E1351">
        <v>3</v>
      </c>
      <c r="F1351">
        <v>32.771396035148598</v>
      </c>
      <c r="G1351">
        <v>93</v>
      </c>
      <c r="H1351">
        <v>70</v>
      </c>
      <c r="I1351">
        <v>35</v>
      </c>
      <c r="J1351">
        <v>2</v>
      </c>
      <c r="K1351">
        <v>0</v>
      </c>
      <c r="L1351" t="str">
        <f t="shared" si="273"/>
        <v>C1350</v>
      </c>
      <c r="M1351" t="str">
        <f t="shared" si="274"/>
        <v>Male</v>
      </c>
      <c r="N1351" t="str">
        <f t="shared" si="275"/>
        <v>Master's</v>
      </c>
      <c r="O1351" t="str">
        <f t="shared" si="276"/>
        <v>Entry Level</v>
      </c>
      <c r="P1351" t="str">
        <f t="shared" si="277"/>
        <v>Strong</v>
      </c>
      <c r="Q1351" t="str">
        <f t="shared" si="278"/>
        <v>Intermediate</v>
      </c>
      <c r="R1351" t="str">
        <f t="shared" si="279"/>
        <v>Needs Improvement</v>
      </c>
      <c r="S1351" t="str">
        <f t="shared" si="280"/>
        <v>Not Hired</v>
      </c>
      <c r="T1351">
        <f t="shared" si="281"/>
        <v>62</v>
      </c>
      <c r="U1351" t="str">
        <f t="shared" si="282"/>
        <v>Developing</v>
      </c>
      <c r="V1351" t="str">
        <f t="shared" si="283"/>
        <v>Interview</v>
      </c>
      <c r="W1351" t="str">
        <f t="shared" si="284"/>
        <v>Personality &amp; Communication</v>
      </c>
      <c r="X1351" t="str">
        <f t="shared" si="285"/>
        <v>Work on communication and personality development</v>
      </c>
    </row>
    <row r="1352" spans="1:24" x14ac:dyDescent="0.3">
      <c r="A1352">
        <v>32</v>
      </c>
      <c r="B1352">
        <v>1</v>
      </c>
      <c r="C1352">
        <v>2</v>
      </c>
      <c r="D1352">
        <v>7</v>
      </c>
      <c r="E1352">
        <v>4</v>
      </c>
      <c r="F1352">
        <v>41.288195914666503</v>
      </c>
      <c r="G1352">
        <v>50</v>
      </c>
      <c r="H1352">
        <v>53</v>
      </c>
      <c r="I1352">
        <v>53</v>
      </c>
      <c r="J1352">
        <v>2</v>
      </c>
      <c r="K1352">
        <v>0</v>
      </c>
      <c r="L1352" t="str">
        <f t="shared" si="273"/>
        <v>C1351</v>
      </c>
      <c r="M1352" t="str">
        <f t="shared" si="274"/>
        <v>Female</v>
      </c>
      <c r="N1352" t="str">
        <f t="shared" si="275"/>
        <v>Bachelor's Type 2</v>
      </c>
      <c r="O1352" t="str">
        <f t="shared" si="276"/>
        <v>Senior Level</v>
      </c>
      <c r="P1352" t="str">
        <f t="shared" si="277"/>
        <v>Average</v>
      </c>
      <c r="Q1352" t="str">
        <f t="shared" si="278"/>
        <v>Intermediate</v>
      </c>
      <c r="R1352" t="str">
        <f t="shared" si="279"/>
        <v>Good</v>
      </c>
      <c r="S1352" t="str">
        <f t="shared" si="280"/>
        <v>Not Hired</v>
      </c>
      <c r="T1352">
        <f t="shared" si="281"/>
        <v>51</v>
      </c>
      <c r="U1352" t="str">
        <f t="shared" si="282"/>
        <v>Developing</v>
      </c>
      <c r="V1352" t="str">
        <f t="shared" si="283"/>
        <v>Technical Skills</v>
      </c>
      <c r="W1352" t="str">
        <f t="shared" si="284"/>
        <v>Interview Preparation</v>
      </c>
      <c r="X1352" t="str">
        <f t="shared" si="285"/>
        <v>Improve interview preparation and communication</v>
      </c>
    </row>
    <row r="1353" spans="1:24" x14ac:dyDescent="0.3">
      <c r="A1353">
        <v>30</v>
      </c>
      <c r="B1353">
        <v>1</v>
      </c>
      <c r="C1353">
        <v>2</v>
      </c>
      <c r="D1353">
        <v>5</v>
      </c>
      <c r="E1353">
        <v>1</v>
      </c>
      <c r="F1353">
        <v>42.262433332609</v>
      </c>
      <c r="G1353">
        <v>26</v>
      </c>
      <c r="H1353">
        <v>77</v>
      </c>
      <c r="I1353">
        <v>18</v>
      </c>
      <c r="J1353">
        <v>1</v>
      </c>
      <c r="K1353">
        <v>0</v>
      </c>
      <c r="L1353" t="str">
        <f t="shared" si="273"/>
        <v>C1352</v>
      </c>
      <c r="M1353" t="str">
        <f t="shared" si="274"/>
        <v>Female</v>
      </c>
      <c r="N1353" t="str">
        <f t="shared" si="275"/>
        <v>Bachelor's Type 2</v>
      </c>
      <c r="O1353" t="str">
        <f t="shared" si="276"/>
        <v>Mid Level</v>
      </c>
      <c r="P1353" t="str">
        <f t="shared" si="277"/>
        <v>Low</v>
      </c>
      <c r="Q1353" t="str">
        <f t="shared" si="278"/>
        <v>Advanced</v>
      </c>
      <c r="R1353" t="str">
        <f t="shared" si="279"/>
        <v>Needs Improvement</v>
      </c>
      <c r="S1353" t="str">
        <f t="shared" si="280"/>
        <v>Not Hired</v>
      </c>
      <c r="T1353">
        <f t="shared" si="281"/>
        <v>42</v>
      </c>
      <c r="U1353" t="str">
        <f t="shared" si="282"/>
        <v>Needs Improvement</v>
      </c>
      <c r="V1353" t="str">
        <f t="shared" si="283"/>
        <v>Technical Skills</v>
      </c>
      <c r="W1353" t="str">
        <f t="shared" si="284"/>
        <v>Personality &amp; Communication</v>
      </c>
      <c r="X1353" t="str">
        <f t="shared" si="285"/>
        <v>Work on communication and personality development</v>
      </c>
    </row>
    <row r="1354" spans="1:24" x14ac:dyDescent="0.3">
      <c r="A1354">
        <v>22</v>
      </c>
      <c r="B1354">
        <v>0</v>
      </c>
      <c r="C1354">
        <v>2</v>
      </c>
      <c r="D1354">
        <v>11</v>
      </c>
      <c r="E1354">
        <v>3</v>
      </c>
      <c r="F1354">
        <v>44.410153788948897</v>
      </c>
      <c r="G1354">
        <v>85</v>
      </c>
      <c r="H1354">
        <v>74</v>
      </c>
      <c r="I1354">
        <v>42</v>
      </c>
      <c r="J1354">
        <v>2</v>
      </c>
      <c r="K1354">
        <v>0</v>
      </c>
      <c r="L1354" t="str">
        <f t="shared" si="273"/>
        <v>C1353</v>
      </c>
      <c r="M1354" t="str">
        <f t="shared" si="274"/>
        <v>Male</v>
      </c>
      <c r="N1354" t="str">
        <f t="shared" si="275"/>
        <v>Bachelor's Type 2</v>
      </c>
      <c r="O1354" t="str">
        <f t="shared" si="276"/>
        <v>Senior Level</v>
      </c>
      <c r="P1354" t="str">
        <f t="shared" si="277"/>
        <v>Strong</v>
      </c>
      <c r="Q1354" t="str">
        <f t="shared" si="278"/>
        <v>Intermediate</v>
      </c>
      <c r="R1354" t="str">
        <f t="shared" si="279"/>
        <v>Needs Improvement</v>
      </c>
      <c r="S1354" t="str">
        <f t="shared" si="280"/>
        <v>Not Hired</v>
      </c>
      <c r="T1354">
        <f t="shared" si="281"/>
        <v>70</v>
      </c>
      <c r="U1354" t="str">
        <f t="shared" si="282"/>
        <v>Developing</v>
      </c>
      <c r="V1354" t="str">
        <f t="shared" si="283"/>
        <v>Interview</v>
      </c>
      <c r="W1354" t="str">
        <f t="shared" si="284"/>
        <v>Personality &amp; Communication</v>
      </c>
      <c r="X1354" t="str">
        <f t="shared" si="285"/>
        <v>Work on communication and personality development</v>
      </c>
    </row>
    <row r="1355" spans="1:24" x14ac:dyDescent="0.3">
      <c r="A1355">
        <v>20</v>
      </c>
      <c r="B1355">
        <v>1</v>
      </c>
      <c r="C1355">
        <v>2</v>
      </c>
      <c r="D1355">
        <v>1</v>
      </c>
      <c r="E1355">
        <v>2</v>
      </c>
      <c r="F1355">
        <v>21.706575728954899</v>
      </c>
      <c r="G1355">
        <v>73</v>
      </c>
      <c r="H1355">
        <v>70</v>
      </c>
      <c r="I1355">
        <v>11</v>
      </c>
      <c r="J1355">
        <v>1</v>
      </c>
      <c r="K1355">
        <v>1</v>
      </c>
      <c r="L1355" t="str">
        <f t="shared" si="273"/>
        <v>C1354</v>
      </c>
      <c r="M1355" t="str">
        <f t="shared" si="274"/>
        <v>Female</v>
      </c>
      <c r="N1355" t="str">
        <f t="shared" si="275"/>
        <v>Bachelor's Type 2</v>
      </c>
      <c r="O1355" t="str">
        <f t="shared" si="276"/>
        <v>Entry Level</v>
      </c>
      <c r="P1355" t="str">
        <f t="shared" si="277"/>
        <v>Average</v>
      </c>
      <c r="Q1355" t="str">
        <f t="shared" si="278"/>
        <v>Intermediate</v>
      </c>
      <c r="R1355" t="str">
        <f t="shared" si="279"/>
        <v>Needs Improvement</v>
      </c>
      <c r="S1355" t="str">
        <f t="shared" si="280"/>
        <v>Hired</v>
      </c>
      <c r="T1355">
        <f t="shared" si="281"/>
        <v>49</v>
      </c>
      <c r="U1355" t="str">
        <f t="shared" si="282"/>
        <v>Needs Improvement</v>
      </c>
      <c r="V1355" t="str">
        <f t="shared" si="283"/>
        <v>Interview</v>
      </c>
      <c r="W1355" t="str">
        <f t="shared" si="284"/>
        <v>Personality &amp; Communication</v>
      </c>
      <c r="X1355" t="str">
        <f t="shared" si="285"/>
        <v>Work on communication and personality development</v>
      </c>
    </row>
    <row r="1356" spans="1:24" x14ac:dyDescent="0.3">
      <c r="A1356">
        <v>25</v>
      </c>
      <c r="B1356">
        <v>0</v>
      </c>
      <c r="C1356">
        <v>2</v>
      </c>
      <c r="D1356">
        <v>5</v>
      </c>
      <c r="E1356">
        <v>2</v>
      </c>
      <c r="F1356">
        <v>35.893219767607199</v>
      </c>
      <c r="G1356">
        <v>60</v>
      </c>
      <c r="H1356">
        <v>28</v>
      </c>
      <c r="I1356">
        <v>10</v>
      </c>
      <c r="J1356">
        <v>1</v>
      </c>
      <c r="K1356">
        <v>0</v>
      </c>
      <c r="L1356" t="str">
        <f t="shared" si="273"/>
        <v>C1355</v>
      </c>
      <c r="M1356" t="str">
        <f t="shared" si="274"/>
        <v>Male</v>
      </c>
      <c r="N1356" t="str">
        <f t="shared" si="275"/>
        <v>Bachelor's Type 2</v>
      </c>
      <c r="O1356" t="str">
        <f t="shared" si="276"/>
        <v>Mid Level</v>
      </c>
      <c r="P1356" t="str">
        <f t="shared" si="277"/>
        <v>Average</v>
      </c>
      <c r="Q1356" t="str">
        <f t="shared" si="278"/>
        <v>Beginner</v>
      </c>
      <c r="R1356" t="str">
        <f t="shared" si="279"/>
        <v>Needs Improvement</v>
      </c>
      <c r="S1356" t="str">
        <f t="shared" si="280"/>
        <v>Not Hired</v>
      </c>
      <c r="T1356">
        <f t="shared" si="281"/>
        <v>36</v>
      </c>
      <c r="U1356" t="str">
        <f t="shared" si="282"/>
        <v>Needs Improvement</v>
      </c>
      <c r="V1356" t="str">
        <f t="shared" si="283"/>
        <v>Interview</v>
      </c>
      <c r="W1356" t="str">
        <f t="shared" si="284"/>
        <v>Personality &amp; Communication</v>
      </c>
      <c r="X1356" t="str">
        <f t="shared" si="285"/>
        <v>Work on communication and personality development</v>
      </c>
    </row>
    <row r="1357" spans="1:24" x14ac:dyDescent="0.3">
      <c r="A1357">
        <v>37</v>
      </c>
      <c r="B1357">
        <v>1</v>
      </c>
      <c r="C1357">
        <v>1</v>
      </c>
      <c r="D1357">
        <v>6</v>
      </c>
      <c r="E1357">
        <v>2</v>
      </c>
      <c r="F1357">
        <v>14.4125179461155</v>
      </c>
      <c r="G1357">
        <v>57</v>
      </c>
      <c r="H1357">
        <v>73</v>
      </c>
      <c r="I1357">
        <v>69</v>
      </c>
      <c r="J1357">
        <v>2</v>
      </c>
      <c r="K1357">
        <v>0</v>
      </c>
      <c r="L1357" t="str">
        <f t="shared" si="273"/>
        <v>C1356</v>
      </c>
      <c r="M1357" t="str">
        <f t="shared" si="274"/>
        <v>Female</v>
      </c>
      <c r="N1357" t="str">
        <f t="shared" si="275"/>
        <v>Bachelor's Type 1</v>
      </c>
      <c r="O1357" t="str">
        <f t="shared" si="276"/>
        <v>Mid Level</v>
      </c>
      <c r="P1357" t="str">
        <f t="shared" si="277"/>
        <v>Average</v>
      </c>
      <c r="Q1357" t="str">
        <f t="shared" si="278"/>
        <v>Intermediate</v>
      </c>
      <c r="R1357" t="str">
        <f t="shared" si="279"/>
        <v>Good</v>
      </c>
      <c r="S1357" t="str">
        <f t="shared" si="280"/>
        <v>Not Hired</v>
      </c>
      <c r="T1357">
        <f t="shared" si="281"/>
        <v>61</v>
      </c>
      <c r="U1357" t="str">
        <f t="shared" si="282"/>
        <v>Developing</v>
      </c>
      <c r="V1357" t="str">
        <f t="shared" si="283"/>
        <v>Technical Skills</v>
      </c>
      <c r="W1357" t="str">
        <f t="shared" si="284"/>
        <v>Interview Preparation</v>
      </c>
      <c r="X1357" t="str">
        <f t="shared" si="285"/>
        <v>Improve interview preparation and communication</v>
      </c>
    </row>
    <row r="1358" spans="1:24" x14ac:dyDescent="0.3">
      <c r="A1358">
        <v>43</v>
      </c>
      <c r="B1358">
        <v>0</v>
      </c>
      <c r="C1358">
        <v>2</v>
      </c>
      <c r="D1358">
        <v>4</v>
      </c>
      <c r="E1358">
        <v>4</v>
      </c>
      <c r="F1358">
        <v>50.966813999175201</v>
      </c>
      <c r="G1358">
        <v>30</v>
      </c>
      <c r="H1358">
        <v>92</v>
      </c>
      <c r="I1358">
        <v>11</v>
      </c>
      <c r="J1358">
        <v>2</v>
      </c>
      <c r="K1358">
        <v>0</v>
      </c>
      <c r="L1358" t="str">
        <f t="shared" si="273"/>
        <v>C1357</v>
      </c>
      <c r="M1358" t="str">
        <f t="shared" si="274"/>
        <v>Male</v>
      </c>
      <c r="N1358" t="str">
        <f t="shared" si="275"/>
        <v>Bachelor's Type 2</v>
      </c>
      <c r="O1358" t="str">
        <f t="shared" si="276"/>
        <v>Mid Level</v>
      </c>
      <c r="P1358" t="str">
        <f t="shared" si="277"/>
        <v>Low</v>
      </c>
      <c r="Q1358" t="str">
        <f t="shared" si="278"/>
        <v>Advanced</v>
      </c>
      <c r="R1358" t="str">
        <f t="shared" si="279"/>
        <v>Needs Improvement</v>
      </c>
      <c r="S1358" t="str">
        <f t="shared" si="280"/>
        <v>Not Hired</v>
      </c>
      <c r="T1358">
        <f t="shared" si="281"/>
        <v>45</v>
      </c>
      <c r="U1358" t="str">
        <f t="shared" si="282"/>
        <v>Needs Improvement</v>
      </c>
      <c r="V1358" t="str">
        <f t="shared" si="283"/>
        <v>Technical Skills</v>
      </c>
      <c r="W1358" t="str">
        <f t="shared" si="284"/>
        <v>Personality &amp; Communication</v>
      </c>
      <c r="X1358" t="str">
        <f t="shared" si="285"/>
        <v>Work on communication and personality development</v>
      </c>
    </row>
    <row r="1359" spans="1:24" x14ac:dyDescent="0.3">
      <c r="A1359">
        <v>29</v>
      </c>
      <c r="B1359">
        <v>1</v>
      </c>
      <c r="C1359">
        <v>2</v>
      </c>
      <c r="D1359">
        <v>2</v>
      </c>
      <c r="E1359">
        <v>2</v>
      </c>
      <c r="F1359">
        <v>9.76671206884299</v>
      </c>
      <c r="G1359">
        <v>90</v>
      </c>
      <c r="H1359">
        <v>72</v>
      </c>
      <c r="I1359">
        <v>90</v>
      </c>
      <c r="J1359">
        <v>2</v>
      </c>
      <c r="K1359">
        <v>0</v>
      </c>
      <c r="L1359" t="str">
        <f t="shared" si="273"/>
        <v>C1358</v>
      </c>
      <c r="M1359" t="str">
        <f t="shared" si="274"/>
        <v>Female</v>
      </c>
      <c r="N1359" t="str">
        <f t="shared" si="275"/>
        <v>Bachelor's Type 2</v>
      </c>
      <c r="O1359" t="str">
        <f t="shared" si="276"/>
        <v>Entry Level</v>
      </c>
      <c r="P1359" t="str">
        <f t="shared" si="277"/>
        <v>Strong</v>
      </c>
      <c r="Q1359" t="str">
        <f t="shared" si="278"/>
        <v>Intermediate</v>
      </c>
      <c r="R1359" t="str">
        <f t="shared" si="279"/>
        <v>Strong</v>
      </c>
      <c r="S1359" t="str">
        <f t="shared" si="280"/>
        <v>Not Hired</v>
      </c>
      <c r="T1359">
        <f t="shared" si="281"/>
        <v>71</v>
      </c>
      <c r="U1359" t="str">
        <f t="shared" si="282"/>
        <v>Developing</v>
      </c>
      <c r="V1359" t="str">
        <f t="shared" si="283"/>
        <v>Interview</v>
      </c>
      <c r="W1359" t="str">
        <f t="shared" si="284"/>
        <v>Technical Skills</v>
      </c>
      <c r="X1359" t="str">
        <f t="shared" si="285"/>
        <v>Strengthen technical skills and practical knowledge</v>
      </c>
    </row>
    <row r="1360" spans="1:24" x14ac:dyDescent="0.3">
      <c r="A1360">
        <v>24</v>
      </c>
      <c r="B1360">
        <v>0</v>
      </c>
      <c r="C1360">
        <v>2</v>
      </c>
      <c r="D1360">
        <v>3</v>
      </c>
      <c r="E1360">
        <v>5</v>
      </c>
      <c r="F1360">
        <v>1.50572158304179</v>
      </c>
      <c r="G1360">
        <v>11</v>
      </c>
      <c r="H1360">
        <v>99</v>
      </c>
      <c r="I1360">
        <v>40</v>
      </c>
      <c r="J1360">
        <v>2</v>
      </c>
      <c r="K1360">
        <v>0</v>
      </c>
      <c r="L1360" t="str">
        <f t="shared" si="273"/>
        <v>C1359</v>
      </c>
      <c r="M1360" t="str">
        <f t="shared" si="274"/>
        <v>Male</v>
      </c>
      <c r="N1360" t="str">
        <f t="shared" si="275"/>
        <v>Bachelor's Type 2</v>
      </c>
      <c r="O1360" t="str">
        <f t="shared" si="276"/>
        <v>Mid Level</v>
      </c>
      <c r="P1360" t="str">
        <f t="shared" si="277"/>
        <v>Low</v>
      </c>
      <c r="Q1360" t="str">
        <f t="shared" si="278"/>
        <v>Advanced</v>
      </c>
      <c r="R1360" t="str">
        <f t="shared" si="279"/>
        <v>Needs Improvement</v>
      </c>
      <c r="S1360" t="str">
        <f t="shared" si="280"/>
        <v>Not Hired</v>
      </c>
      <c r="T1360">
        <f t="shared" si="281"/>
        <v>47</v>
      </c>
      <c r="U1360" t="str">
        <f t="shared" si="282"/>
        <v>Needs Improvement</v>
      </c>
      <c r="V1360" t="str">
        <f t="shared" si="283"/>
        <v>Technical Skills</v>
      </c>
      <c r="W1360" t="str">
        <f t="shared" si="284"/>
        <v>Interview Preparation</v>
      </c>
      <c r="X1360" t="str">
        <f t="shared" si="285"/>
        <v>Improve interview preparation and communication</v>
      </c>
    </row>
    <row r="1361" spans="1:24" x14ac:dyDescent="0.3">
      <c r="A1361">
        <v>42</v>
      </c>
      <c r="B1361">
        <v>1</v>
      </c>
      <c r="C1361">
        <v>3</v>
      </c>
      <c r="D1361">
        <v>3</v>
      </c>
      <c r="E1361">
        <v>1</v>
      </c>
      <c r="F1361">
        <v>8.4404357259088005</v>
      </c>
      <c r="G1361">
        <v>45</v>
      </c>
      <c r="H1361">
        <v>47</v>
      </c>
      <c r="I1361">
        <v>24</v>
      </c>
      <c r="J1361">
        <v>3</v>
      </c>
      <c r="K1361">
        <v>0</v>
      </c>
      <c r="L1361" t="str">
        <f t="shared" si="273"/>
        <v>C1360</v>
      </c>
      <c r="M1361" t="str">
        <f t="shared" si="274"/>
        <v>Female</v>
      </c>
      <c r="N1361" t="str">
        <f t="shared" si="275"/>
        <v>Master's</v>
      </c>
      <c r="O1361" t="str">
        <f t="shared" si="276"/>
        <v>Mid Level</v>
      </c>
      <c r="P1361" t="str">
        <f t="shared" si="277"/>
        <v>Low</v>
      </c>
      <c r="Q1361" t="str">
        <f t="shared" si="278"/>
        <v>Beginner</v>
      </c>
      <c r="R1361" t="str">
        <f t="shared" si="279"/>
        <v>Needs Improvement</v>
      </c>
      <c r="S1361" t="str">
        <f t="shared" si="280"/>
        <v>Not Hired</v>
      </c>
      <c r="T1361">
        <f t="shared" si="281"/>
        <v>39</v>
      </c>
      <c r="U1361" t="str">
        <f t="shared" si="282"/>
        <v>Needs Improvement</v>
      </c>
      <c r="V1361" t="str">
        <f t="shared" si="283"/>
        <v>Technical Skills</v>
      </c>
      <c r="W1361" t="str">
        <f t="shared" si="284"/>
        <v>Personality &amp; Communication</v>
      </c>
      <c r="X1361" t="str">
        <f t="shared" si="285"/>
        <v>Work on communication and personality development</v>
      </c>
    </row>
    <row r="1362" spans="1:24" x14ac:dyDescent="0.3">
      <c r="A1362">
        <v>29</v>
      </c>
      <c r="B1362">
        <v>1</v>
      </c>
      <c r="C1362">
        <v>2</v>
      </c>
      <c r="D1362">
        <v>5</v>
      </c>
      <c r="E1362">
        <v>4</v>
      </c>
      <c r="F1362">
        <v>39.793614477206297</v>
      </c>
      <c r="G1362">
        <v>30</v>
      </c>
      <c r="H1362">
        <v>73</v>
      </c>
      <c r="I1362">
        <v>2</v>
      </c>
      <c r="J1362">
        <v>2</v>
      </c>
      <c r="K1362">
        <v>0</v>
      </c>
      <c r="L1362" t="str">
        <f t="shared" si="273"/>
        <v>C1361</v>
      </c>
      <c r="M1362" t="str">
        <f t="shared" si="274"/>
        <v>Female</v>
      </c>
      <c r="N1362" t="str">
        <f t="shared" si="275"/>
        <v>Bachelor's Type 2</v>
      </c>
      <c r="O1362" t="str">
        <f t="shared" si="276"/>
        <v>Mid Level</v>
      </c>
      <c r="P1362" t="str">
        <f t="shared" si="277"/>
        <v>Low</v>
      </c>
      <c r="Q1362" t="str">
        <f t="shared" si="278"/>
        <v>Intermediate</v>
      </c>
      <c r="R1362" t="str">
        <f t="shared" si="279"/>
        <v>Needs Improvement</v>
      </c>
      <c r="S1362" t="str">
        <f t="shared" si="280"/>
        <v>Not Hired</v>
      </c>
      <c r="T1362">
        <f t="shared" si="281"/>
        <v>39</v>
      </c>
      <c r="U1362" t="str">
        <f t="shared" si="282"/>
        <v>Needs Improvement</v>
      </c>
      <c r="V1362" t="str">
        <f t="shared" si="283"/>
        <v>Technical Skills</v>
      </c>
      <c r="W1362" t="str">
        <f t="shared" si="284"/>
        <v>Personality &amp; Communication</v>
      </c>
      <c r="X1362" t="str">
        <f t="shared" si="285"/>
        <v>Work on communication and personality development</v>
      </c>
    </row>
    <row r="1363" spans="1:24" x14ac:dyDescent="0.3">
      <c r="A1363">
        <v>31</v>
      </c>
      <c r="B1363">
        <v>0</v>
      </c>
      <c r="C1363">
        <v>1</v>
      </c>
      <c r="D1363">
        <v>9</v>
      </c>
      <c r="E1363">
        <v>2</v>
      </c>
      <c r="F1363">
        <v>23.339183825410501</v>
      </c>
      <c r="G1363">
        <v>31</v>
      </c>
      <c r="H1363">
        <v>82</v>
      </c>
      <c r="I1363">
        <v>2</v>
      </c>
      <c r="J1363">
        <v>1</v>
      </c>
      <c r="K1363">
        <v>1</v>
      </c>
      <c r="L1363" t="str">
        <f t="shared" si="273"/>
        <v>C1362</v>
      </c>
      <c r="M1363" t="str">
        <f t="shared" si="274"/>
        <v>Male</v>
      </c>
      <c r="N1363" t="str">
        <f t="shared" si="275"/>
        <v>Bachelor's Type 1</v>
      </c>
      <c r="O1363" t="str">
        <f t="shared" si="276"/>
        <v>Senior Level</v>
      </c>
      <c r="P1363" t="str">
        <f t="shared" si="277"/>
        <v>Low</v>
      </c>
      <c r="Q1363" t="str">
        <f t="shared" si="278"/>
        <v>Advanced</v>
      </c>
      <c r="R1363" t="str">
        <f t="shared" si="279"/>
        <v>Needs Improvement</v>
      </c>
      <c r="S1363" t="str">
        <f t="shared" si="280"/>
        <v>Hired</v>
      </c>
      <c r="T1363">
        <f t="shared" si="281"/>
        <v>46</v>
      </c>
      <c r="U1363" t="str">
        <f t="shared" si="282"/>
        <v>Needs Improvement</v>
      </c>
      <c r="V1363" t="str">
        <f t="shared" si="283"/>
        <v>Technical Skills</v>
      </c>
      <c r="W1363" t="str">
        <f t="shared" si="284"/>
        <v>Personality &amp; Communication</v>
      </c>
      <c r="X1363" t="str">
        <f t="shared" si="285"/>
        <v>Work on communication and personality development</v>
      </c>
    </row>
    <row r="1364" spans="1:24" x14ac:dyDescent="0.3">
      <c r="A1364">
        <v>21</v>
      </c>
      <c r="B1364">
        <v>0</v>
      </c>
      <c r="C1364">
        <v>3</v>
      </c>
      <c r="D1364">
        <v>0</v>
      </c>
      <c r="E1364">
        <v>1</v>
      </c>
      <c r="F1364">
        <v>23.375012390521398</v>
      </c>
      <c r="G1364">
        <v>31</v>
      </c>
      <c r="H1364">
        <v>55</v>
      </c>
      <c r="I1364">
        <v>83</v>
      </c>
      <c r="J1364">
        <v>2</v>
      </c>
      <c r="K1364">
        <v>0</v>
      </c>
      <c r="L1364" t="str">
        <f t="shared" si="273"/>
        <v>C1363</v>
      </c>
      <c r="M1364" t="str">
        <f t="shared" si="274"/>
        <v>Male</v>
      </c>
      <c r="N1364" t="str">
        <f t="shared" si="275"/>
        <v>Master's</v>
      </c>
      <c r="O1364" t="str">
        <f t="shared" si="276"/>
        <v>Entry Level</v>
      </c>
      <c r="P1364" t="str">
        <f t="shared" si="277"/>
        <v>Low</v>
      </c>
      <c r="Q1364" t="str">
        <f t="shared" si="278"/>
        <v>Intermediate</v>
      </c>
      <c r="R1364" t="str">
        <f t="shared" si="279"/>
        <v>Strong</v>
      </c>
      <c r="S1364" t="str">
        <f t="shared" si="280"/>
        <v>Not Hired</v>
      </c>
      <c r="T1364">
        <f t="shared" si="281"/>
        <v>46</v>
      </c>
      <c r="U1364" t="str">
        <f t="shared" si="282"/>
        <v>Needs Improvement</v>
      </c>
      <c r="V1364" t="str">
        <f t="shared" si="283"/>
        <v>Personality</v>
      </c>
      <c r="W1364" t="str">
        <f t="shared" si="284"/>
        <v>Interview Preparation</v>
      </c>
      <c r="X1364" t="str">
        <f t="shared" si="285"/>
        <v>Improve interview preparation and communication</v>
      </c>
    </row>
    <row r="1365" spans="1:24" x14ac:dyDescent="0.3">
      <c r="A1365">
        <v>32</v>
      </c>
      <c r="B1365">
        <v>0</v>
      </c>
      <c r="C1365">
        <v>1</v>
      </c>
      <c r="D1365">
        <v>10</v>
      </c>
      <c r="E1365">
        <v>3</v>
      </c>
      <c r="F1365">
        <v>48.751145980583402</v>
      </c>
      <c r="G1365">
        <v>98</v>
      </c>
      <c r="H1365">
        <v>94</v>
      </c>
      <c r="I1365">
        <v>27</v>
      </c>
      <c r="J1365">
        <v>1</v>
      </c>
      <c r="K1365">
        <v>1</v>
      </c>
      <c r="L1365" t="str">
        <f t="shared" si="273"/>
        <v>C1364</v>
      </c>
      <c r="M1365" t="str">
        <f t="shared" si="274"/>
        <v>Male</v>
      </c>
      <c r="N1365" t="str">
        <f t="shared" si="275"/>
        <v>Bachelor's Type 1</v>
      </c>
      <c r="O1365" t="str">
        <f t="shared" si="276"/>
        <v>Senior Level</v>
      </c>
      <c r="P1365" t="str">
        <f t="shared" si="277"/>
        <v>Strong</v>
      </c>
      <c r="Q1365" t="str">
        <f t="shared" si="278"/>
        <v>Advanced</v>
      </c>
      <c r="R1365" t="str">
        <f t="shared" si="279"/>
        <v>Needs Improvement</v>
      </c>
      <c r="S1365" t="str">
        <f t="shared" si="280"/>
        <v>Hired</v>
      </c>
      <c r="T1365">
        <f t="shared" si="281"/>
        <v>76</v>
      </c>
      <c r="U1365" t="str">
        <f t="shared" si="282"/>
        <v>Job Ready</v>
      </c>
      <c r="V1365" t="str">
        <f t="shared" si="283"/>
        <v>Interview</v>
      </c>
      <c r="W1365" t="str">
        <f t="shared" si="284"/>
        <v>Personality &amp; Communication</v>
      </c>
      <c r="X1365" t="str">
        <f t="shared" si="285"/>
        <v>Work on communication and personality development</v>
      </c>
    </row>
    <row r="1366" spans="1:24" x14ac:dyDescent="0.3">
      <c r="A1366">
        <v>27</v>
      </c>
      <c r="B1366">
        <v>0</v>
      </c>
      <c r="C1366">
        <v>3</v>
      </c>
      <c r="D1366">
        <v>3</v>
      </c>
      <c r="E1366">
        <v>2</v>
      </c>
      <c r="F1366">
        <v>46.9817454014037</v>
      </c>
      <c r="G1366">
        <v>52</v>
      </c>
      <c r="H1366">
        <v>16</v>
      </c>
      <c r="I1366">
        <v>22</v>
      </c>
      <c r="J1366">
        <v>3</v>
      </c>
      <c r="K1366">
        <v>0</v>
      </c>
      <c r="L1366" t="str">
        <f t="shared" si="273"/>
        <v>C1365</v>
      </c>
      <c r="M1366" t="str">
        <f t="shared" si="274"/>
        <v>Male</v>
      </c>
      <c r="N1366" t="str">
        <f t="shared" si="275"/>
        <v>Master's</v>
      </c>
      <c r="O1366" t="str">
        <f t="shared" si="276"/>
        <v>Mid Level</v>
      </c>
      <c r="P1366" t="str">
        <f t="shared" si="277"/>
        <v>Average</v>
      </c>
      <c r="Q1366" t="str">
        <f t="shared" si="278"/>
        <v>Beginner</v>
      </c>
      <c r="R1366" t="str">
        <f t="shared" si="279"/>
        <v>Needs Improvement</v>
      </c>
      <c r="S1366" t="str">
        <f t="shared" si="280"/>
        <v>Not Hired</v>
      </c>
      <c r="T1366">
        <f t="shared" si="281"/>
        <v>32</v>
      </c>
      <c r="U1366" t="str">
        <f t="shared" si="282"/>
        <v>Needs Improvement</v>
      </c>
      <c r="V1366" t="str">
        <f t="shared" si="283"/>
        <v>Interview</v>
      </c>
      <c r="W1366" t="str">
        <f t="shared" si="284"/>
        <v>Technical Skills</v>
      </c>
      <c r="X1366" t="str">
        <f t="shared" si="285"/>
        <v>Strengthen technical skills and practical knowledge</v>
      </c>
    </row>
    <row r="1367" spans="1:24" x14ac:dyDescent="0.3">
      <c r="A1367">
        <v>21</v>
      </c>
      <c r="B1367">
        <v>1</v>
      </c>
      <c r="C1367">
        <v>3</v>
      </c>
      <c r="D1367">
        <v>9</v>
      </c>
      <c r="E1367">
        <v>1</v>
      </c>
      <c r="F1367">
        <v>16.559736890200401</v>
      </c>
      <c r="G1367">
        <v>60</v>
      </c>
      <c r="H1367">
        <v>8</v>
      </c>
      <c r="I1367">
        <v>47</v>
      </c>
      <c r="J1367">
        <v>1</v>
      </c>
      <c r="K1367">
        <v>1</v>
      </c>
      <c r="L1367" t="str">
        <f t="shared" si="273"/>
        <v>C1366</v>
      </c>
      <c r="M1367" t="str">
        <f t="shared" si="274"/>
        <v>Female</v>
      </c>
      <c r="N1367" t="str">
        <f t="shared" si="275"/>
        <v>Master's</v>
      </c>
      <c r="O1367" t="str">
        <f t="shared" si="276"/>
        <v>Senior Level</v>
      </c>
      <c r="P1367" t="str">
        <f t="shared" si="277"/>
        <v>Average</v>
      </c>
      <c r="Q1367" t="str">
        <f t="shared" si="278"/>
        <v>Beginner</v>
      </c>
      <c r="R1367" t="str">
        <f t="shared" si="279"/>
        <v>Needs Improvement</v>
      </c>
      <c r="S1367" t="str">
        <f t="shared" si="280"/>
        <v>Hired</v>
      </c>
      <c r="T1367">
        <f t="shared" si="281"/>
        <v>43</v>
      </c>
      <c r="U1367" t="str">
        <f t="shared" si="282"/>
        <v>Needs Improvement</v>
      </c>
      <c r="V1367" t="str">
        <f t="shared" si="283"/>
        <v>Interview</v>
      </c>
      <c r="W1367" t="str">
        <f t="shared" si="284"/>
        <v>Technical Skills</v>
      </c>
      <c r="X1367" t="str">
        <f t="shared" si="285"/>
        <v>Strengthen technical skills and practical knowledge</v>
      </c>
    </row>
    <row r="1368" spans="1:24" x14ac:dyDescent="0.3">
      <c r="A1368">
        <v>39</v>
      </c>
      <c r="B1368">
        <v>1</v>
      </c>
      <c r="C1368">
        <v>2</v>
      </c>
      <c r="D1368">
        <v>12</v>
      </c>
      <c r="E1368">
        <v>5</v>
      </c>
      <c r="F1368">
        <v>11.4529064390433</v>
      </c>
      <c r="G1368">
        <v>45</v>
      </c>
      <c r="H1368">
        <v>96</v>
      </c>
      <c r="I1368">
        <v>66</v>
      </c>
      <c r="J1368">
        <v>2</v>
      </c>
      <c r="K1368">
        <v>0</v>
      </c>
      <c r="L1368" t="str">
        <f t="shared" si="273"/>
        <v>C1367</v>
      </c>
      <c r="M1368" t="str">
        <f t="shared" si="274"/>
        <v>Female</v>
      </c>
      <c r="N1368" t="str">
        <f t="shared" si="275"/>
        <v>Bachelor's Type 2</v>
      </c>
      <c r="O1368" t="str">
        <f t="shared" si="276"/>
        <v>Senior Level</v>
      </c>
      <c r="P1368" t="str">
        <f t="shared" si="277"/>
        <v>Low</v>
      </c>
      <c r="Q1368" t="str">
        <f t="shared" si="278"/>
        <v>Advanced</v>
      </c>
      <c r="R1368" t="str">
        <f t="shared" si="279"/>
        <v>Good</v>
      </c>
      <c r="S1368" t="str">
        <f t="shared" si="280"/>
        <v>Not Hired</v>
      </c>
      <c r="T1368">
        <f t="shared" si="281"/>
        <v>70</v>
      </c>
      <c r="U1368" t="str">
        <f t="shared" si="282"/>
        <v>Developing</v>
      </c>
      <c r="V1368" t="str">
        <f t="shared" si="283"/>
        <v>Technical Skills</v>
      </c>
      <c r="W1368" t="str">
        <f t="shared" si="284"/>
        <v>Interview Preparation</v>
      </c>
      <c r="X1368" t="str">
        <f t="shared" si="285"/>
        <v>Improve interview preparation and communication</v>
      </c>
    </row>
    <row r="1369" spans="1:24" x14ac:dyDescent="0.3">
      <c r="A1369">
        <v>20</v>
      </c>
      <c r="B1369">
        <v>0</v>
      </c>
      <c r="C1369">
        <v>3</v>
      </c>
      <c r="D1369">
        <v>3</v>
      </c>
      <c r="E1369">
        <v>3</v>
      </c>
      <c r="F1369">
        <v>43.4241104966869</v>
      </c>
      <c r="G1369">
        <v>84</v>
      </c>
      <c r="H1369">
        <v>33</v>
      </c>
      <c r="I1369">
        <v>41</v>
      </c>
      <c r="J1369">
        <v>1</v>
      </c>
      <c r="K1369">
        <v>1</v>
      </c>
      <c r="L1369" t="str">
        <f t="shared" si="273"/>
        <v>C1368</v>
      </c>
      <c r="M1369" t="str">
        <f t="shared" si="274"/>
        <v>Male</v>
      </c>
      <c r="N1369" t="str">
        <f t="shared" si="275"/>
        <v>Master's</v>
      </c>
      <c r="O1369" t="str">
        <f t="shared" si="276"/>
        <v>Mid Level</v>
      </c>
      <c r="P1369" t="str">
        <f t="shared" si="277"/>
        <v>Strong</v>
      </c>
      <c r="Q1369" t="str">
        <f t="shared" si="278"/>
        <v>Beginner</v>
      </c>
      <c r="R1369" t="str">
        <f t="shared" si="279"/>
        <v>Needs Improvement</v>
      </c>
      <c r="S1369" t="str">
        <f t="shared" si="280"/>
        <v>Hired</v>
      </c>
      <c r="T1369">
        <f t="shared" si="281"/>
        <v>50</v>
      </c>
      <c r="U1369" t="str">
        <f t="shared" si="282"/>
        <v>Developing</v>
      </c>
      <c r="V1369" t="str">
        <f t="shared" si="283"/>
        <v>Interview</v>
      </c>
      <c r="W1369" t="str">
        <f t="shared" si="284"/>
        <v>Technical Skills</v>
      </c>
      <c r="X1369" t="str">
        <f t="shared" si="285"/>
        <v>Strengthen technical skills and practical knowledge</v>
      </c>
    </row>
    <row r="1370" spans="1:24" x14ac:dyDescent="0.3">
      <c r="A1370">
        <v>50</v>
      </c>
      <c r="B1370">
        <v>1</v>
      </c>
      <c r="C1370">
        <v>2</v>
      </c>
      <c r="D1370">
        <v>9</v>
      </c>
      <c r="E1370">
        <v>5</v>
      </c>
      <c r="F1370">
        <v>46.300953552218097</v>
      </c>
      <c r="G1370">
        <v>73</v>
      </c>
      <c r="H1370">
        <v>44</v>
      </c>
      <c r="I1370">
        <v>87</v>
      </c>
      <c r="J1370">
        <v>3</v>
      </c>
      <c r="K1370">
        <v>0</v>
      </c>
      <c r="L1370" t="str">
        <f t="shared" si="273"/>
        <v>C1369</v>
      </c>
      <c r="M1370" t="str">
        <f t="shared" si="274"/>
        <v>Female</v>
      </c>
      <c r="N1370" t="str">
        <f t="shared" si="275"/>
        <v>Bachelor's Type 2</v>
      </c>
      <c r="O1370" t="str">
        <f t="shared" si="276"/>
        <v>Senior Level</v>
      </c>
      <c r="P1370" t="str">
        <f t="shared" si="277"/>
        <v>Average</v>
      </c>
      <c r="Q1370" t="str">
        <f t="shared" si="278"/>
        <v>Beginner</v>
      </c>
      <c r="R1370" t="str">
        <f t="shared" si="279"/>
        <v>Strong</v>
      </c>
      <c r="S1370" t="str">
        <f t="shared" si="280"/>
        <v>Not Hired</v>
      </c>
      <c r="T1370">
        <f t="shared" si="281"/>
        <v>64</v>
      </c>
      <c r="U1370" t="str">
        <f t="shared" si="282"/>
        <v>Developing</v>
      </c>
      <c r="V1370" t="str">
        <f t="shared" si="283"/>
        <v>Personality</v>
      </c>
      <c r="W1370" t="str">
        <f t="shared" si="284"/>
        <v>Technical Skills</v>
      </c>
      <c r="X1370" t="str">
        <f t="shared" si="285"/>
        <v>Strengthen technical skills and practical knowledge</v>
      </c>
    </row>
    <row r="1371" spans="1:24" x14ac:dyDescent="0.3">
      <c r="A1371">
        <v>24</v>
      </c>
      <c r="B1371">
        <v>0</v>
      </c>
      <c r="C1371">
        <v>2</v>
      </c>
      <c r="D1371">
        <v>15</v>
      </c>
      <c r="E1371">
        <v>1</v>
      </c>
      <c r="F1371">
        <v>28.0798461399243</v>
      </c>
      <c r="G1371">
        <v>79</v>
      </c>
      <c r="H1371">
        <v>87</v>
      </c>
      <c r="I1371">
        <v>39</v>
      </c>
      <c r="J1371">
        <v>2</v>
      </c>
      <c r="K1371">
        <v>0</v>
      </c>
      <c r="L1371" t="str">
        <f t="shared" si="273"/>
        <v>C1370</v>
      </c>
      <c r="M1371" t="str">
        <f t="shared" si="274"/>
        <v>Male</v>
      </c>
      <c r="N1371" t="str">
        <f t="shared" si="275"/>
        <v>Bachelor's Type 2</v>
      </c>
      <c r="O1371" t="str">
        <f t="shared" si="276"/>
        <v>Senior Level</v>
      </c>
      <c r="P1371" t="str">
        <f t="shared" si="277"/>
        <v>Strong</v>
      </c>
      <c r="Q1371" t="str">
        <f t="shared" si="278"/>
        <v>Advanced</v>
      </c>
      <c r="R1371" t="str">
        <f t="shared" si="279"/>
        <v>Needs Improvement</v>
      </c>
      <c r="S1371" t="str">
        <f t="shared" si="280"/>
        <v>Not Hired</v>
      </c>
      <c r="T1371">
        <f t="shared" si="281"/>
        <v>75</v>
      </c>
      <c r="U1371" t="str">
        <f t="shared" si="282"/>
        <v>Job Ready</v>
      </c>
      <c r="V1371" t="str">
        <f t="shared" si="283"/>
        <v>Technical Skills</v>
      </c>
      <c r="W1371" t="str">
        <f t="shared" si="284"/>
        <v>Personality &amp; Communication</v>
      </c>
      <c r="X1371" t="str">
        <f t="shared" si="285"/>
        <v>Work on communication and personality development</v>
      </c>
    </row>
    <row r="1372" spans="1:24" x14ac:dyDescent="0.3">
      <c r="A1372">
        <v>28</v>
      </c>
      <c r="B1372">
        <v>0</v>
      </c>
      <c r="C1372">
        <v>1</v>
      </c>
      <c r="D1372">
        <v>0</v>
      </c>
      <c r="E1372">
        <v>5</v>
      </c>
      <c r="F1372">
        <v>32.471185555855001</v>
      </c>
      <c r="G1372">
        <v>6</v>
      </c>
      <c r="H1372">
        <v>8</v>
      </c>
      <c r="I1372">
        <v>5</v>
      </c>
      <c r="J1372">
        <v>3</v>
      </c>
      <c r="K1372">
        <v>0</v>
      </c>
      <c r="L1372" t="str">
        <f t="shared" si="273"/>
        <v>C1371</v>
      </c>
      <c r="M1372" t="str">
        <f t="shared" si="274"/>
        <v>Male</v>
      </c>
      <c r="N1372" t="str">
        <f t="shared" si="275"/>
        <v>Bachelor's Type 1</v>
      </c>
      <c r="O1372" t="str">
        <f t="shared" si="276"/>
        <v>Entry Level</v>
      </c>
      <c r="P1372" t="str">
        <f t="shared" si="277"/>
        <v>Low</v>
      </c>
      <c r="Q1372" t="str">
        <f t="shared" si="278"/>
        <v>Beginner</v>
      </c>
      <c r="R1372" t="str">
        <f t="shared" si="279"/>
        <v>Needs Improvement</v>
      </c>
      <c r="S1372" t="str">
        <f t="shared" si="280"/>
        <v>Not Hired</v>
      </c>
      <c r="T1372">
        <f t="shared" si="281"/>
        <v>8</v>
      </c>
      <c r="U1372" t="str">
        <f t="shared" si="282"/>
        <v>Needs Improvement</v>
      </c>
      <c r="V1372" t="str">
        <f t="shared" si="283"/>
        <v>Technical Skills</v>
      </c>
      <c r="W1372" t="str">
        <f t="shared" si="284"/>
        <v>Personality &amp; Communication</v>
      </c>
      <c r="X1372" t="str">
        <f t="shared" si="285"/>
        <v>Work on communication and personality development</v>
      </c>
    </row>
    <row r="1373" spans="1:24" x14ac:dyDescent="0.3">
      <c r="A1373">
        <v>36</v>
      </c>
      <c r="B1373">
        <v>1</v>
      </c>
      <c r="C1373">
        <v>2</v>
      </c>
      <c r="D1373">
        <v>8</v>
      </c>
      <c r="E1373">
        <v>1</v>
      </c>
      <c r="F1373">
        <v>13.845714234614601</v>
      </c>
      <c r="G1373">
        <v>3</v>
      </c>
      <c r="H1373">
        <v>6</v>
      </c>
      <c r="I1373">
        <v>19</v>
      </c>
      <c r="J1373">
        <v>1</v>
      </c>
      <c r="K1373">
        <v>0</v>
      </c>
      <c r="L1373" t="str">
        <f t="shared" si="273"/>
        <v>C1372</v>
      </c>
      <c r="M1373" t="str">
        <f t="shared" si="274"/>
        <v>Female</v>
      </c>
      <c r="N1373" t="str">
        <f t="shared" si="275"/>
        <v>Bachelor's Type 2</v>
      </c>
      <c r="O1373" t="str">
        <f t="shared" si="276"/>
        <v>Senior Level</v>
      </c>
      <c r="P1373" t="str">
        <f t="shared" si="277"/>
        <v>Low</v>
      </c>
      <c r="Q1373" t="str">
        <f t="shared" si="278"/>
        <v>Beginner</v>
      </c>
      <c r="R1373" t="str">
        <f t="shared" si="279"/>
        <v>Needs Improvement</v>
      </c>
      <c r="S1373" t="str">
        <f t="shared" si="280"/>
        <v>Not Hired</v>
      </c>
      <c r="T1373">
        <f t="shared" si="281"/>
        <v>17</v>
      </c>
      <c r="U1373" t="str">
        <f t="shared" si="282"/>
        <v>Needs Improvement</v>
      </c>
      <c r="V1373" t="str">
        <f t="shared" si="283"/>
        <v>Personality</v>
      </c>
      <c r="W1373" t="str">
        <f t="shared" si="284"/>
        <v>Interview Preparation</v>
      </c>
      <c r="X1373" t="str">
        <f t="shared" si="285"/>
        <v>Improve interview preparation and communication</v>
      </c>
    </row>
    <row r="1374" spans="1:24" x14ac:dyDescent="0.3">
      <c r="A1374">
        <v>28</v>
      </c>
      <c r="B1374">
        <v>1</v>
      </c>
      <c r="C1374">
        <v>4</v>
      </c>
      <c r="D1374">
        <v>3</v>
      </c>
      <c r="E1374">
        <v>1</v>
      </c>
      <c r="F1374">
        <v>41.040134398926199</v>
      </c>
      <c r="G1374">
        <v>90</v>
      </c>
      <c r="H1374">
        <v>15</v>
      </c>
      <c r="I1374">
        <v>10</v>
      </c>
      <c r="J1374">
        <v>1</v>
      </c>
      <c r="K1374">
        <v>1</v>
      </c>
      <c r="L1374" t="str">
        <f t="shared" si="273"/>
        <v>C1373</v>
      </c>
      <c r="M1374" t="str">
        <f t="shared" si="274"/>
        <v>Female</v>
      </c>
      <c r="N1374" t="str">
        <f t="shared" si="275"/>
        <v>PhD</v>
      </c>
      <c r="O1374" t="str">
        <f t="shared" si="276"/>
        <v>Mid Level</v>
      </c>
      <c r="P1374" t="str">
        <f t="shared" si="277"/>
        <v>Strong</v>
      </c>
      <c r="Q1374" t="str">
        <f t="shared" si="278"/>
        <v>Beginner</v>
      </c>
      <c r="R1374" t="str">
        <f t="shared" si="279"/>
        <v>Needs Improvement</v>
      </c>
      <c r="S1374" t="str">
        <f t="shared" si="280"/>
        <v>Hired</v>
      </c>
      <c r="T1374">
        <f t="shared" si="281"/>
        <v>42</v>
      </c>
      <c r="U1374" t="str">
        <f t="shared" si="282"/>
        <v>Needs Improvement</v>
      </c>
      <c r="V1374" t="str">
        <f t="shared" si="283"/>
        <v>Interview</v>
      </c>
      <c r="W1374" t="str">
        <f t="shared" si="284"/>
        <v>Personality &amp; Communication</v>
      </c>
      <c r="X1374" t="str">
        <f t="shared" si="285"/>
        <v>Work on communication and personality development</v>
      </c>
    </row>
    <row r="1375" spans="1:24" x14ac:dyDescent="0.3">
      <c r="A1375">
        <v>30</v>
      </c>
      <c r="B1375">
        <v>1</v>
      </c>
      <c r="C1375">
        <v>2</v>
      </c>
      <c r="D1375">
        <v>6</v>
      </c>
      <c r="E1375">
        <v>5</v>
      </c>
      <c r="F1375">
        <v>32.606121422451103</v>
      </c>
      <c r="G1375">
        <v>51</v>
      </c>
      <c r="H1375">
        <v>18</v>
      </c>
      <c r="I1375">
        <v>95</v>
      </c>
      <c r="J1375">
        <v>1</v>
      </c>
      <c r="K1375">
        <v>1</v>
      </c>
      <c r="L1375" t="str">
        <f t="shared" si="273"/>
        <v>C1374</v>
      </c>
      <c r="M1375" t="str">
        <f t="shared" si="274"/>
        <v>Female</v>
      </c>
      <c r="N1375" t="str">
        <f t="shared" si="275"/>
        <v>Bachelor's Type 2</v>
      </c>
      <c r="O1375" t="str">
        <f t="shared" si="276"/>
        <v>Mid Level</v>
      </c>
      <c r="P1375" t="str">
        <f t="shared" si="277"/>
        <v>Average</v>
      </c>
      <c r="Q1375" t="str">
        <f t="shared" si="278"/>
        <v>Beginner</v>
      </c>
      <c r="R1375" t="str">
        <f t="shared" si="279"/>
        <v>Strong</v>
      </c>
      <c r="S1375" t="str">
        <f t="shared" si="280"/>
        <v>Hired</v>
      </c>
      <c r="T1375">
        <f t="shared" si="281"/>
        <v>48</v>
      </c>
      <c r="U1375" t="str">
        <f t="shared" si="282"/>
        <v>Needs Improvement</v>
      </c>
      <c r="V1375" t="str">
        <f t="shared" si="283"/>
        <v>Personality</v>
      </c>
      <c r="W1375" t="str">
        <f t="shared" si="284"/>
        <v>Technical Skills</v>
      </c>
      <c r="X1375" t="str">
        <f t="shared" si="285"/>
        <v>Strengthen technical skills and practical knowledge</v>
      </c>
    </row>
    <row r="1376" spans="1:24" x14ac:dyDescent="0.3">
      <c r="A1376">
        <v>34</v>
      </c>
      <c r="B1376">
        <v>1</v>
      </c>
      <c r="C1376">
        <v>2</v>
      </c>
      <c r="D1376">
        <v>11</v>
      </c>
      <c r="E1376">
        <v>1</v>
      </c>
      <c r="F1376">
        <v>26.175675564899802</v>
      </c>
      <c r="G1376">
        <v>88</v>
      </c>
      <c r="H1376">
        <v>5</v>
      </c>
      <c r="I1376">
        <v>26</v>
      </c>
      <c r="J1376">
        <v>3</v>
      </c>
      <c r="K1376">
        <v>0</v>
      </c>
      <c r="L1376" t="str">
        <f t="shared" si="273"/>
        <v>C1375</v>
      </c>
      <c r="M1376" t="str">
        <f t="shared" si="274"/>
        <v>Female</v>
      </c>
      <c r="N1376" t="str">
        <f t="shared" si="275"/>
        <v>Bachelor's Type 2</v>
      </c>
      <c r="O1376" t="str">
        <f t="shared" si="276"/>
        <v>Senior Level</v>
      </c>
      <c r="P1376" t="str">
        <f t="shared" si="277"/>
        <v>Strong</v>
      </c>
      <c r="Q1376" t="str">
        <f t="shared" si="278"/>
        <v>Beginner</v>
      </c>
      <c r="R1376" t="str">
        <f t="shared" si="279"/>
        <v>Needs Improvement</v>
      </c>
      <c r="S1376" t="str">
        <f t="shared" si="280"/>
        <v>Not Hired</v>
      </c>
      <c r="T1376">
        <f t="shared" si="281"/>
        <v>47</v>
      </c>
      <c r="U1376" t="str">
        <f t="shared" si="282"/>
        <v>Needs Improvement</v>
      </c>
      <c r="V1376" t="str">
        <f t="shared" si="283"/>
        <v>Interview</v>
      </c>
      <c r="W1376" t="str">
        <f t="shared" si="284"/>
        <v>Technical Skills</v>
      </c>
      <c r="X1376" t="str">
        <f t="shared" si="285"/>
        <v>Strengthen technical skills and practical knowledge</v>
      </c>
    </row>
    <row r="1377" spans="1:24" x14ac:dyDescent="0.3">
      <c r="A1377">
        <v>43</v>
      </c>
      <c r="B1377">
        <v>1</v>
      </c>
      <c r="C1377">
        <v>2</v>
      </c>
      <c r="D1377">
        <v>13</v>
      </c>
      <c r="E1377">
        <v>2</v>
      </c>
      <c r="F1377">
        <v>4.0054278039197904</v>
      </c>
      <c r="G1377">
        <v>30</v>
      </c>
      <c r="H1377">
        <v>10</v>
      </c>
      <c r="I1377">
        <v>20</v>
      </c>
      <c r="J1377">
        <v>3</v>
      </c>
      <c r="K1377">
        <v>0</v>
      </c>
      <c r="L1377" t="str">
        <f t="shared" si="273"/>
        <v>C1376</v>
      </c>
      <c r="M1377" t="str">
        <f t="shared" si="274"/>
        <v>Female</v>
      </c>
      <c r="N1377" t="str">
        <f t="shared" si="275"/>
        <v>Bachelor's Type 2</v>
      </c>
      <c r="O1377" t="str">
        <f t="shared" si="276"/>
        <v>Senior Level</v>
      </c>
      <c r="P1377" t="str">
        <f t="shared" si="277"/>
        <v>Low</v>
      </c>
      <c r="Q1377" t="str">
        <f t="shared" si="278"/>
        <v>Beginner</v>
      </c>
      <c r="R1377" t="str">
        <f t="shared" si="279"/>
        <v>Needs Improvement</v>
      </c>
      <c r="S1377" t="str">
        <f t="shared" si="280"/>
        <v>Not Hired</v>
      </c>
      <c r="T1377">
        <f t="shared" si="281"/>
        <v>32</v>
      </c>
      <c r="U1377" t="str">
        <f t="shared" si="282"/>
        <v>Needs Improvement</v>
      </c>
      <c r="V1377" t="str">
        <f t="shared" si="283"/>
        <v>Interview</v>
      </c>
      <c r="W1377" t="str">
        <f t="shared" si="284"/>
        <v>Technical Skills</v>
      </c>
      <c r="X1377" t="str">
        <f t="shared" si="285"/>
        <v>Strengthen technical skills and practical knowledge</v>
      </c>
    </row>
    <row r="1378" spans="1:24" x14ac:dyDescent="0.3">
      <c r="A1378">
        <v>25</v>
      </c>
      <c r="B1378">
        <v>1</v>
      </c>
      <c r="C1378">
        <v>2</v>
      </c>
      <c r="D1378">
        <v>2</v>
      </c>
      <c r="E1378">
        <v>1</v>
      </c>
      <c r="F1378">
        <v>46.796748125557599</v>
      </c>
      <c r="G1378">
        <v>74</v>
      </c>
      <c r="H1378">
        <v>75</v>
      </c>
      <c r="I1378">
        <v>12</v>
      </c>
      <c r="J1378">
        <v>1</v>
      </c>
      <c r="K1378">
        <v>1</v>
      </c>
      <c r="L1378" t="str">
        <f t="shared" si="273"/>
        <v>C1377</v>
      </c>
      <c r="M1378" t="str">
        <f t="shared" si="274"/>
        <v>Female</v>
      </c>
      <c r="N1378" t="str">
        <f t="shared" si="275"/>
        <v>Bachelor's Type 2</v>
      </c>
      <c r="O1378" t="str">
        <f t="shared" si="276"/>
        <v>Entry Level</v>
      </c>
      <c r="P1378" t="str">
        <f t="shared" si="277"/>
        <v>Average</v>
      </c>
      <c r="Q1378" t="str">
        <f t="shared" si="278"/>
        <v>Advanced</v>
      </c>
      <c r="R1378" t="str">
        <f t="shared" si="279"/>
        <v>Needs Improvement</v>
      </c>
      <c r="S1378" t="str">
        <f t="shared" si="280"/>
        <v>Hired</v>
      </c>
      <c r="T1378">
        <f t="shared" si="281"/>
        <v>52</v>
      </c>
      <c r="U1378" t="str">
        <f t="shared" si="282"/>
        <v>Developing</v>
      </c>
      <c r="V1378" t="str">
        <f t="shared" si="283"/>
        <v>Technical Skills</v>
      </c>
      <c r="W1378" t="str">
        <f t="shared" si="284"/>
        <v>Personality &amp; Communication</v>
      </c>
      <c r="X1378" t="str">
        <f t="shared" si="285"/>
        <v>Work on communication and personality development</v>
      </c>
    </row>
    <row r="1379" spans="1:24" x14ac:dyDescent="0.3">
      <c r="A1379">
        <v>42</v>
      </c>
      <c r="B1379">
        <v>1</v>
      </c>
      <c r="C1379">
        <v>1</v>
      </c>
      <c r="D1379">
        <v>9</v>
      </c>
      <c r="E1379">
        <v>4</v>
      </c>
      <c r="F1379">
        <v>31.772571019220301</v>
      </c>
      <c r="G1379">
        <v>83</v>
      </c>
      <c r="H1379">
        <v>60</v>
      </c>
      <c r="I1379">
        <v>85</v>
      </c>
      <c r="J1379">
        <v>1</v>
      </c>
      <c r="K1379">
        <v>1</v>
      </c>
      <c r="L1379" t="str">
        <f t="shared" si="273"/>
        <v>C1378</v>
      </c>
      <c r="M1379" t="str">
        <f t="shared" si="274"/>
        <v>Female</v>
      </c>
      <c r="N1379" t="str">
        <f t="shared" si="275"/>
        <v>Bachelor's Type 1</v>
      </c>
      <c r="O1379" t="str">
        <f t="shared" si="276"/>
        <v>Senior Level</v>
      </c>
      <c r="P1379" t="str">
        <f t="shared" si="277"/>
        <v>Strong</v>
      </c>
      <c r="Q1379" t="str">
        <f t="shared" si="278"/>
        <v>Intermediate</v>
      </c>
      <c r="R1379" t="str">
        <f t="shared" si="279"/>
        <v>Strong</v>
      </c>
      <c r="S1379" t="str">
        <f t="shared" si="280"/>
        <v>Hired</v>
      </c>
      <c r="T1379">
        <f t="shared" si="281"/>
        <v>71</v>
      </c>
      <c r="U1379" t="str">
        <f t="shared" si="282"/>
        <v>Developing</v>
      </c>
      <c r="V1379" t="str">
        <f t="shared" si="283"/>
        <v>Personality</v>
      </c>
      <c r="W1379" t="str">
        <f t="shared" si="284"/>
        <v>Technical Skills</v>
      </c>
      <c r="X1379" t="str">
        <f t="shared" si="285"/>
        <v>Strengthen technical skills and practical knowledge</v>
      </c>
    </row>
    <row r="1380" spans="1:24" x14ac:dyDescent="0.3">
      <c r="A1380">
        <v>22</v>
      </c>
      <c r="B1380">
        <v>0</v>
      </c>
      <c r="C1380">
        <v>2</v>
      </c>
      <c r="D1380">
        <v>11</v>
      </c>
      <c r="E1380">
        <v>1</v>
      </c>
      <c r="F1380">
        <v>10.634554734648299</v>
      </c>
      <c r="G1380">
        <v>35</v>
      </c>
      <c r="H1380">
        <v>41</v>
      </c>
      <c r="I1380">
        <v>34</v>
      </c>
      <c r="J1380">
        <v>2</v>
      </c>
      <c r="K1380">
        <v>0</v>
      </c>
      <c r="L1380" t="str">
        <f t="shared" si="273"/>
        <v>C1379</v>
      </c>
      <c r="M1380" t="str">
        <f t="shared" si="274"/>
        <v>Male</v>
      </c>
      <c r="N1380" t="str">
        <f t="shared" si="275"/>
        <v>Bachelor's Type 2</v>
      </c>
      <c r="O1380" t="str">
        <f t="shared" si="276"/>
        <v>Senior Level</v>
      </c>
      <c r="P1380" t="str">
        <f t="shared" si="277"/>
        <v>Low</v>
      </c>
      <c r="Q1380" t="str">
        <f t="shared" si="278"/>
        <v>Beginner</v>
      </c>
      <c r="R1380" t="str">
        <f t="shared" si="279"/>
        <v>Needs Improvement</v>
      </c>
      <c r="S1380" t="str">
        <f t="shared" si="280"/>
        <v>Not Hired</v>
      </c>
      <c r="T1380">
        <f t="shared" si="281"/>
        <v>43</v>
      </c>
      <c r="U1380" t="str">
        <f t="shared" si="282"/>
        <v>Needs Improvement</v>
      </c>
      <c r="V1380" t="str">
        <f t="shared" si="283"/>
        <v>Technical Skills</v>
      </c>
      <c r="W1380" t="str">
        <f t="shared" si="284"/>
        <v>Personality &amp; Communication</v>
      </c>
      <c r="X1380" t="str">
        <f t="shared" si="285"/>
        <v>Work on communication and personality development</v>
      </c>
    </row>
    <row r="1381" spans="1:24" x14ac:dyDescent="0.3">
      <c r="A1381">
        <v>49</v>
      </c>
      <c r="B1381">
        <v>0</v>
      </c>
      <c r="C1381">
        <v>3</v>
      </c>
      <c r="D1381">
        <v>2</v>
      </c>
      <c r="E1381">
        <v>4</v>
      </c>
      <c r="F1381">
        <v>31.319305849152599</v>
      </c>
      <c r="G1381">
        <v>53</v>
      </c>
      <c r="H1381">
        <v>12</v>
      </c>
      <c r="I1381">
        <v>46</v>
      </c>
      <c r="J1381">
        <v>1</v>
      </c>
      <c r="K1381">
        <v>0</v>
      </c>
      <c r="L1381" t="str">
        <f t="shared" si="273"/>
        <v>C1380</v>
      </c>
      <c r="M1381" t="str">
        <f t="shared" si="274"/>
        <v>Male</v>
      </c>
      <c r="N1381" t="str">
        <f t="shared" si="275"/>
        <v>Master's</v>
      </c>
      <c r="O1381" t="str">
        <f t="shared" si="276"/>
        <v>Entry Level</v>
      </c>
      <c r="P1381" t="str">
        <f t="shared" si="277"/>
        <v>Average</v>
      </c>
      <c r="Q1381" t="str">
        <f t="shared" si="278"/>
        <v>Beginner</v>
      </c>
      <c r="R1381" t="str">
        <f t="shared" si="279"/>
        <v>Needs Improvement</v>
      </c>
      <c r="S1381" t="str">
        <f t="shared" si="280"/>
        <v>Not Hired</v>
      </c>
      <c r="T1381">
        <f t="shared" si="281"/>
        <v>34</v>
      </c>
      <c r="U1381" t="str">
        <f t="shared" si="282"/>
        <v>Needs Improvement</v>
      </c>
      <c r="V1381" t="str">
        <f t="shared" si="283"/>
        <v>Interview</v>
      </c>
      <c r="W1381" t="str">
        <f t="shared" si="284"/>
        <v>Technical Skills</v>
      </c>
      <c r="X1381" t="str">
        <f t="shared" si="285"/>
        <v>Strengthen technical skills and practical knowledge</v>
      </c>
    </row>
    <row r="1382" spans="1:24" x14ac:dyDescent="0.3">
      <c r="A1382">
        <v>50</v>
      </c>
      <c r="B1382">
        <v>0</v>
      </c>
      <c r="C1382">
        <v>2</v>
      </c>
      <c r="D1382">
        <v>13</v>
      </c>
      <c r="E1382">
        <v>1</v>
      </c>
      <c r="F1382">
        <v>34.873167711998597</v>
      </c>
      <c r="G1382">
        <v>53</v>
      </c>
      <c r="H1382">
        <v>11</v>
      </c>
      <c r="I1382">
        <v>85</v>
      </c>
      <c r="J1382">
        <v>1</v>
      </c>
      <c r="K1382">
        <v>1</v>
      </c>
      <c r="L1382" t="str">
        <f t="shared" si="273"/>
        <v>C1381</v>
      </c>
      <c r="M1382" t="str">
        <f t="shared" si="274"/>
        <v>Male</v>
      </c>
      <c r="N1382" t="str">
        <f t="shared" si="275"/>
        <v>Bachelor's Type 2</v>
      </c>
      <c r="O1382" t="str">
        <f t="shared" si="276"/>
        <v>Senior Level</v>
      </c>
      <c r="P1382" t="str">
        <f t="shared" si="277"/>
        <v>Average</v>
      </c>
      <c r="Q1382" t="str">
        <f t="shared" si="278"/>
        <v>Beginner</v>
      </c>
      <c r="R1382" t="str">
        <f t="shared" si="279"/>
        <v>Strong</v>
      </c>
      <c r="S1382" t="str">
        <f t="shared" si="280"/>
        <v>Hired</v>
      </c>
      <c r="T1382">
        <f t="shared" si="281"/>
        <v>52</v>
      </c>
      <c r="U1382" t="str">
        <f t="shared" si="282"/>
        <v>Developing</v>
      </c>
      <c r="V1382" t="str">
        <f t="shared" si="283"/>
        <v>Personality</v>
      </c>
      <c r="W1382" t="str">
        <f t="shared" si="284"/>
        <v>Technical Skills</v>
      </c>
      <c r="X1382" t="str">
        <f t="shared" si="285"/>
        <v>Strengthen technical skills and practical knowledge</v>
      </c>
    </row>
    <row r="1383" spans="1:24" x14ac:dyDescent="0.3">
      <c r="A1383">
        <v>36</v>
      </c>
      <c r="B1383">
        <v>0</v>
      </c>
      <c r="C1383">
        <v>2</v>
      </c>
      <c r="D1383">
        <v>7</v>
      </c>
      <c r="E1383">
        <v>1</v>
      </c>
      <c r="F1383">
        <v>27.2885168341612</v>
      </c>
      <c r="G1383">
        <v>16</v>
      </c>
      <c r="H1383">
        <v>84</v>
      </c>
      <c r="I1383">
        <v>27</v>
      </c>
      <c r="J1383">
        <v>1</v>
      </c>
      <c r="K1383">
        <v>1</v>
      </c>
      <c r="L1383" t="str">
        <f t="shared" si="273"/>
        <v>C1382</v>
      </c>
      <c r="M1383" t="str">
        <f t="shared" si="274"/>
        <v>Male</v>
      </c>
      <c r="N1383" t="str">
        <f t="shared" si="275"/>
        <v>Bachelor's Type 2</v>
      </c>
      <c r="O1383" t="str">
        <f t="shared" si="276"/>
        <v>Senior Level</v>
      </c>
      <c r="P1383" t="str">
        <f t="shared" si="277"/>
        <v>Low</v>
      </c>
      <c r="Q1383" t="str">
        <f t="shared" si="278"/>
        <v>Advanced</v>
      </c>
      <c r="R1383" t="str">
        <f t="shared" si="279"/>
        <v>Needs Improvement</v>
      </c>
      <c r="S1383" t="str">
        <f t="shared" si="280"/>
        <v>Hired</v>
      </c>
      <c r="T1383">
        <f t="shared" si="281"/>
        <v>45</v>
      </c>
      <c r="U1383" t="str">
        <f t="shared" si="282"/>
        <v>Needs Improvement</v>
      </c>
      <c r="V1383" t="str">
        <f t="shared" si="283"/>
        <v>Technical Skills</v>
      </c>
      <c r="W1383" t="str">
        <f t="shared" si="284"/>
        <v>Interview Preparation</v>
      </c>
      <c r="X1383" t="str">
        <f t="shared" si="285"/>
        <v>Improve interview preparation and communication</v>
      </c>
    </row>
    <row r="1384" spans="1:24" x14ac:dyDescent="0.3">
      <c r="A1384">
        <v>24</v>
      </c>
      <c r="B1384">
        <v>0</v>
      </c>
      <c r="C1384">
        <v>1</v>
      </c>
      <c r="D1384">
        <v>7</v>
      </c>
      <c r="E1384">
        <v>5</v>
      </c>
      <c r="F1384">
        <v>36.905086897801098</v>
      </c>
      <c r="G1384">
        <v>74</v>
      </c>
      <c r="H1384">
        <v>73</v>
      </c>
      <c r="I1384">
        <v>20</v>
      </c>
      <c r="J1384">
        <v>1</v>
      </c>
      <c r="K1384">
        <v>1</v>
      </c>
      <c r="L1384" t="str">
        <f t="shared" si="273"/>
        <v>C1383</v>
      </c>
      <c r="M1384" t="str">
        <f t="shared" si="274"/>
        <v>Male</v>
      </c>
      <c r="N1384" t="str">
        <f t="shared" si="275"/>
        <v>Bachelor's Type 1</v>
      </c>
      <c r="O1384" t="str">
        <f t="shared" si="276"/>
        <v>Senior Level</v>
      </c>
      <c r="P1384" t="str">
        <f t="shared" si="277"/>
        <v>Average</v>
      </c>
      <c r="Q1384" t="str">
        <f t="shared" si="278"/>
        <v>Intermediate</v>
      </c>
      <c r="R1384" t="str">
        <f t="shared" si="279"/>
        <v>Needs Improvement</v>
      </c>
      <c r="S1384" t="str">
        <f t="shared" si="280"/>
        <v>Hired</v>
      </c>
      <c r="T1384">
        <f t="shared" si="281"/>
        <v>58</v>
      </c>
      <c r="U1384" t="str">
        <f t="shared" si="282"/>
        <v>Developing</v>
      </c>
      <c r="V1384" t="str">
        <f t="shared" si="283"/>
        <v>Interview</v>
      </c>
      <c r="W1384" t="str">
        <f t="shared" si="284"/>
        <v>Personality &amp; Communication</v>
      </c>
      <c r="X1384" t="str">
        <f t="shared" si="285"/>
        <v>Work on communication and personality development</v>
      </c>
    </row>
    <row r="1385" spans="1:24" x14ac:dyDescent="0.3">
      <c r="A1385">
        <v>49</v>
      </c>
      <c r="B1385">
        <v>1</v>
      </c>
      <c r="C1385">
        <v>2</v>
      </c>
      <c r="D1385">
        <v>10</v>
      </c>
      <c r="E1385">
        <v>2</v>
      </c>
      <c r="F1385">
        <v>30.072697396431199</v>
      </c>
      <c r="G1385">
        <v>29</v>
      </c>
      <c r="H1385">
        <v>19</v>
      </c>
      <c r="I1385">
        <v>17</v>
      </c>
      <c r="J1385">
        <v>1</v>
      </c>
      <c r="K1385">
        <v>1</v>
      </c>
      <c r="L1385" t="str">
        <f t="shared" si="273"/>
        <v>C1384</v>
      </c>
      <c r="M1385" t="str">
        <f t="shared" si="274"/>
        <v>Female</v>
      </c>
      <c r="N1385" t="str">
        <f t="shared" si="275"/>
        <v>Bachelor's Type 2</v>
      </c>
      <c r="O1385" t="str">
        <f t="shared" si="276"/>
        <v>Senior Level</v>
      </c>
      <c r="P1385" t="str">
        <f t="shared" si="277"/>
        <v>Low</v>
      </c>
      <c r="Q1385" t="str">
        <f t="shared" si="278"/>
        <v>Beginner</v>
      </c>
      <c r="R1385" t="str">
        <f t="shared" si="279"/>
        <v>Needs Improvement</v>
      </c>
      <c r="S1385" t="str">
        <f t="shared" si="280"/>
        <v>Hired</v>
      </c>
      <c r="T1385">
        <f t="shared" si="281"/>
        <v>30</v>
      </c>
      <c r="U1385" t="str">
        <f t="shared" si="282"/>
        <v>Needs Improvement</v>
      </c>
      <c r="V1385" t="str">
        <f t="shared" si="283"/>
        <v>Interview</v>
      </c>
      <c r="W1385" t="str">
        <f t="shared" si="284"/>
        <v>Personality &amp; Communication</v>
      </c>
      <c r="X1385" t="str">
        <f t="shared" si="285"/>
        <v>Work on communication and personality development</v>
      </c>
    </row>
    <row r="1386" spans="1:24" x14ac:dyDescent="0.3">
      <c r="A1386">
        <v>47</v>
      </c>
      <c r="B1386">
        <v>0</v>
      </c>
      <c r="C1386">
        <v>3</v>
      </c>
      <c r="D1386">
        <v>11</v>
      </c>
      <c r="E1386">
        <v>2</v>
      </c>
      <c r="F1386">
        <v>48.388479101607402</v>
      </c>
      <c r="G1386">
        <v>98</v>
      </c>
      <c r="H1386">
        <v>49</v>
      </c>
      <c r="I1386">
        <v>30</v>
      </c>
      <c r="J1386">
        <v>1</v>
      </c>
      <c r="K1386">
        <v>0</v>
      </c>
      <c r="L1386" t="str">
        <f t="shared" si="273"/>
        <v>C1385</v>
      </c>
      <c r="M1386" t="str">
        <f t="shared" si="274"/>
        <v>Male</v>
      </c>
      <c r="N1386" t="str">
        <f t="shared" si="275"/>
        <v>Master's</v>
      </c>
      <c r="O1386" t="str">
        <f t="shared" si="276"/>
        <v>Senior Level</v>
      </c>
      <c r="P1386" t="str">
        <f t="shared" si="277"/>
        <v>Strong</v>
      </c>
      <c r="Q1386" t="str">
        <f t="shared" si="278"/>
        <v>Beginner</v>
      </c>
      <c r="R1386" t="str">
        <f t="shared" si="279"/>
        <v>Needs Improvement</v>
      </c>
      <c r="S1386" t="str">
        <f t="shared" si="280"/>
        <v>Not Hired</v>
      </c>
      <c r="T1386">
        <f t="shared" si="281"/>
        <v>65</v>
      </c>
      <c r="U1386" t="str">
        <f t="shared" si="282"/>
        <v>Developing</v>
      </c>
      <c r="V1386" t="str">
        <f t="shared" si="283"/>
        <v>Interview</v>
      </c>
      <c r="W1386" t="str">
        <f t="shared" si="284"/>
        <v>Personality &amp; Communication</v>
      </c>
      <c r="X1386" t="str">
        <f t="shared" si="285"/>
        <v>Work on communication and personality development</v>
      </c>
    </row>
    <row r="1387" spans="1:24" x14ac:dyDescent="0.3">
      <c r="A1387">
        <v>31</v>
      </c>
      <c r="B1387">
        <v>0</v>
      </c>
      <c r="C1387">
        <v>1</v>
      </c>
      <c r="D1387">
        <v>0</v>
      </c>
      <c r="E1387">
        <v>3</v>
      </c>
      <c r="F1387">
        <v>3.6848539299653398</v>
      </c>
      <c r="G1387">
        <v>21</v>
      </c>
      <c r="H1387">
        <v>35</v>
      </c>
      <c r="I1387">
        <v>59</v>
      </c>
      <c r="J1387">
        <v>2</v>
      </c>
      <c r="K1387">
        <v>1</v>
      </c>
      <c r="L1387" t="str">
        <f t="shared" si="273"/>
        <v>C1386</v>
      </c>
      <c r="M1387" t="str">
        <f t="shared" si="274"/>
        <v>Male</v>
      </c>
      <c r="N1387" t="str">
        <f t="shared" si="275"/>
        <v>Bachelor's Type 1</v>
      </c>
      <c r="O1387" t="str">
        <f t="shared" si="276"/>
        <v>Entry Level</v>
      </c>
      <c r="P1387" t="str">
        <f t="shared" si="277"/>
        <v>Low</v>
      </c>
      <c r="Q1387" t="str">
        <f t="shared" si="278"/>
        <v>Beginner</v>
      </c>
      <c r="R1387" t="str">
        <f t="shared" si="279"/>
        <v>Good</v>
      </c>
      <c r="S1387" t="str">
        <f t="shared" si="280"/>
        <v>Hired</v>
      </c>
      <c r="T1387">
        <f t="shared" si="281"/>
        <v>31</v>
      </c>
      <c r="U1387" t="str">
        <f t="shared" si="282"/>
        <v>Needs Improvement</v>
      </c>
      <c r="V1387" t="str">
        <f t="shared" si="283"/>
        <v>Personality</v>
      </c>
      <c r="W1387" t="str">
        <f t="shared" si="284"/>
        <v>Interview Preparation</v>
      </c>
      <c r="X1387" t="str">
        <f t="shared" si="285"/>
        <v>Improve interview preparation and communication</v>
      </c>
    </row>
    <row r="1388" spans="1:24" x14ac:dyDescent="0.3">
      <c r="A1388">
        <v>37</v>
      </c>
      <c r="B1388">
        <v>0</v>
      </c>
      <c r="C1388">
        <v>1</v>
      </c>
      <c r="D1388">
        <v>9</v>
      </c>
      <c r="E1388">
        <v>5</v>
      </c>
      <c r="F1388">
        <v>6.3122854234780199</v>
      </c>
      <c r="G1388">
        <v>42</v>
      </c>
      <c r="H1388">
        <v>91</v>
      </c>
      <c r="I1388">
        <v>36</v>
      </c>
      <c r="J1388">
        <v>3</v>
      </c>
      <c r="K1388">
        <v>1</v>
      </c>
      <c r="L1388" t="str">
        <f t="shared" si="273"/>
        <v>C1387</v>
      </c>
      <c r="M1388" t="str">
        <f t="shared" si="274"/>
        <v>Male</v>
      </c>
      <c r="N1388" t="str">
        <f t="shared" si="275"/>
        <v>Bachelor's Type 1</v>
      </c>
      <c r="O1388" t="str">
        <f t="shared" si="276"/>
        <v>Senior Level</v>
      </c>
      <c r="P1388" t="str">
        <f t="shared" si="277"/>
        <v>Low</v>
      </c>
      <c r="Q1388" t="str">
        <f t="shared" si="278"/>
        <v>Advanced</v>
      </c>
      <c r="R1388" t="str">
        <f t="shared" si="279"/>
        <v>Needs Improvement</v>
      </c>
      <c r="S1388" t="str">
        <f t="shared" si="280"/>
        <v>Hired</v>
      </c>
      <c r="T1388">
        <f t="shared" si="281"/>
        <v>59</v>
      </c>
      <c r="U1388" t="str">
        <f t="shared" si="282"/>
        <v>Developing</v>
      </c>
      <c r="V1388" t="str">
        <f t="shared" si="283"/>
        <v>Technical Skills</v>
      </c>
      <c r="W1388" t="str">
        <f t="shared" si="284"/>
        <v>Personality &amp; Communication</v>
      </c>
      <c r="X1388" t="str">
        <f t="shared" si="285"/>
        <v>Work on communication and personality development</v>
      </c>
    </row>
    <row r="1389" spans="1:24" x14ac:dyDescent="0.3">
      <c r="A1389">
        <v>33</v>
      </c>
      <c r="B1389">
        <v>0</v>
      </c>
      <c r="C1389">
        <v>2</v>
      </c>
      <c r="D1389">
        <v>1</v>
      </c>
      <c r="E1389">
        <v>5</v>
      </c>
      <c r="F1389">
        <v>9.6835818477169902</v>
      </c>
      <c r="G1389">
        <v>26</v>
      </c>
      <c r="H1389">
        <v>87</v>
      </c>
      <c r="I1389">
        <v>20</v>
      </c>
      <c r="J1389">
        <v>2</v>
      </c>
      <c r="K1389">
        <v>1</v>
      </c>
      <c r="L1389" t="str">
        <f t="shared" si="273"/>
        <v>C1388</v>
      </c>
      <c r="M1389" t="str">
        <f t="shared" si="274"/>
        <v>Male</v>
      </c>
      <c r="N1389" t="str">
        <f t="shared" si="275"/>
        <v>Bachelor's Type 2</v>
      </c>
      <c r="O1389" t="str">
        <f t="shared" si="276"/>
        <v>Entry Level</v>
      </c>
      <c r="P1389" t="str">
        <f t="shared" si="277"/>
        <v>Low</v>
      </c>
      <c r="Q1389" t="str">
        <f t="shared" si="278"/>
        <v>Advanced</v>
      </c>
      <c r="R1389" t="str">
        <f t="shared" si="279"/>
        <v>Needs Improvement</v>
      </c>
      <c r="S1389" t="str">
        <f t="shared" si="280"/>
        <v>Hired</v>
      </c>
      <c r="T1389">
        <f t="shared" si="281"/>
        <v>41</v>
      </c>
      <c r="U1389" t="str">
        <f t="shared" si="282"/>
        <v>Needs Improvement</v>
      </c>
      <c r="V1389" t="str">
        <f t="shared" si="283"/>
        <v>Technical Skills</v>
      </c>
      <c r="W1389" t="str">
        <f t="shared" si="284"/>
        <v>Personality &amp; Communication</v>
      </c>
      <c r="X1389" t="str">
        <f t="shared" si="285"/>
        <v>Work on communication and personality development</v>
      </c>
    </row>
    <row r="1390" spans="1:24" x14ac:dyDescent="0.3">
      <c r="A1390">
        <v>40</v>
      </c>
      <c r="B1390">
        <v>0</v>
      </c>
      <c r="C1390">
        <v>3</v>
      </c>
      <c r="D1390">
        <v>15</v>
      </c>
      <c r="E1390">
        <v>2</v>
      </c>
      <c r="F1390">
        <v>35.508553530216602</v>
      </c>
      <c r="G1390">
        <v>36</v>
      </c>
      <c r="H1390">
        <v>68</v>
      </c>
      <c r="I1390">
        <v>13</v>
      </c>
      <c r="J1390">
        <v>2</v>
      </c>
      <c r="K1390">
        <v>0</v>
      </c>
      <c r="L1390" t="str">
        <f t="shared" si="273"/>
        <v>C1389</v>
      </c>
      <c r="M1390" t="str">
        <f t="shared" si="274"/>
        <v>Male</v>
      </c>
      <c r="N1390" t="str">
        <f t="shared" si="275"/>
        <v>Master's</v>
      </c>
      <c r="O1390" t="str">
        <f t="shared" si="276"/>
        <v>Senior Level</v>
      </c>
      <c r="P1390" t="str">
        <f t="shared" si="277"/>
        <v>Low</v>
      </c>
      <c r="Q1390" t="str">
        <f t="shared" si="278"/>
        <v>Intermediate</v>
      </c>
      <c r="R1390" t="str">
        <f t="shared" si="279"/>
        <v>Needs Improvement</v>
      </c>
      <c r="S1390" t="str">
        <f t="shared" si="280"/>
        <v>Not Hired</v>
      </c>
      <c r="T1390">
        <f t="shared" si="281"/>
        <v>53</v>
      </c>
      <c r="U1390" t="str">
        <f t="shared" si="282"/>
        <v>Developing</v>
      </c>
      <c r="V1390" t="str">
        <f t="shared" si="283"/>
        <v>Technical Skills</v>
      </c>
      <c r="W1390" t="str">
        <f t="shared" si="284"/>
        <v>Personality &amp; Communication</v>
      </c>
      <c r="X1390" t="str">
        <f t="shared" si="285"/>
        <v>Work on communication and personality development</v>
      </c>
    </row>
    <row r="1391" spans="1:24" x14ac:dyDescent="0.3">
      <c r="A1391">
        <v>43</v>
      </c>
      <c r="B1391">
        <v>0</v>
      </c>
      <c r="C1391">
        <v>2</v>
      </c>
      <c r="D1391">
        <v>7</v>
      </c>
      <c r="E1391">
        <v>5</v>
      </c>
      <c r="F1391">
        <v>33.2797936374904</v>
      </c>
      <c r="G1391">
        <v>45</v>
      </c>
      <c r="H1391">
        <v>36</v>
      </c>
      <c r="I1391">
        <v>88</v>
      </c>
      <c r="J1391">
        <v>1</v>
      </c>
      <c r="K1391">
        <v>1</v>
      </c>
      <c r="L1391" t="str">
        <f t="shared" si="273"/>
        <v>C1390</v>
      </c>
      <c r="M1391" t="str">
        <f t="shared" si="274"/>
        <v>Male</v>
      </c>
      <c r="N1391" t="str">
        <f t="shared" si="275"/>
        <v>Bachelor's Type 2</v>
      </c>
      <c r="O1391" t="str">
        <f t="shared" si="276"/>
        <v>Senior Level</v>
      </c>
      <c r="P1391" t="str">
        <f t="shared" si="277"/>
        <v>Low</v>
      </c>
      <c r="Q1391" t="str">
        <f t="shared" si="278"/>
        <v>Beginner</v>
      </c>
      <c r="R1391" t="str">
        <f t="shared" si="279"/>
        <v>Strong</v>
      </c>
      <c r="S1391" t="str">
        <f t="shared" si="280"/>
        <v>Hired</v>
      </c>
      <c r="T1391">
        <f t="shared" si="281"/>
        <v>51</v>
      </c>
      <c r="U1391" t="str">
        <f t="shared" si="282"/>
        <v>Developing</v>
      </c>
      <c r="V1391" t="str">
        <f t="shared" si="283"/>
        <v>Personality</v>
      </c>
      <c r="W1391" t="str">
        <f t="shared" si="284"/>
        <v>Technical Skills</v>
      </c>
      <c r="X1391" t="str">
        <f t="shared" si="285"/>
        <v>Strengthen technical skills and practical knowledge</v>
      </c>
    </row>
    <row r="1392" spans="1:24" x14ac:dyDescent="0.3">
      <c r="A1392">
        <v>30</v>
      </c>
      <c r="B1392">
        <v>0</v>
      </c>
      <c r="C1392">
        <v>2</v>
      </c>
      <c r="D1392">
        <v>0</v>
      </c>
      <c r="E1392">
        <v>2</v>
      </c>
      <c r="F1392">
        <v>45.602943010484701</v>
      </c>
      <c r="G1392">
        <v>34</v>
      </c>
      <c r="H1392">
        <v>11</v>
      </c>
      <c r="I1392">
        <v>90</v>
      </c>
      <c r="J1392">
        <v>2</v>
      </c>
      <c r="K1392">
        <v>1</v>
      </c>
      <c r="L1392" t="str">
        <f t="shared" si="273"/>
        <v>C1391</v>
      </c>
      <c r="M1392" t="str">
        <f t="shared" si="274"/>
        <v>Male</v>
      </c>
      <c r="N1392" t="str">
        <f t="shared" si="275"/>
        <v>Bachelor's Type 2</v>
      </c>
      <c r="O1392" t="str">
        <f t="shared" si="276"/>
        <v>Entry Level</v>
      </c>
      <c r="P1392" t="str">
        <f t="shared" si="277"/>
        <v>Low</v>
      </c>
      <c r="Q1392" t="str">
        <f t="shared" si="278"/>
        <v>Beginner</v>
      </c>
      <c r="R1392" t="str">
        <f t="shared" si="279"/>
        <v>Strong</v>
      </c>
      <c r="S1392" t="str">
        <f t="shared" si="280"/>
        <v>Hired</v>
      </c>
      <c r="T1392">
        <f t="shared" si="281"/>
        <v>34</v>
      </c>
      <c r="U1392" t="str">
        <f t="shared" si="282"/>
        <v>Needs Improvement</v>
      </c>
      <c r="V1392" t="str">
        <f t="shared" si="283"/>
        <v>Personality</v>
      </c>
      <c r="W1392" t="str">
        <f t="shared" si="284"/>
        <v>Technical Skills</v>
      </c>
      <c r="X1392" t="str">
        <f t="shared" si="285"/>
        <v>Strengthen technical skills and practical knowledge</v>
      </c>
    </row>
    <row r="1393" spans="1:24" x14ac:dyDescent="0.3">
      <c r="A1393">
        <v>28</v>
      </c>
      <c r="B1393">
        <v>1</v>
      </c>
      <c r="C1393">
        <v>3</v>
      </c>
      <c r="D1393">
        <v>14</v>
      </c>
      <c r="E1393">
        <v>5</v>
      </c>
      <c r="F1393">
        <v>37.6438726441949</v>
      </c>
      <c r="G1393">
        <v>3</v>
      </c>
      <c r="H1393">
        <v>98</v>
      </c>
      <c r="I1393">
        <v>59</v>
      </c>
      <c r="J1393">
        <v>2</v>
      </c>
      <c r="K1393">
        <v>1</v>
      </c>
      <c r="L1393" t="str">
        <f t="shared" si="273"/>
        <v>C1392</v>
      </c>
      <c r="M1393" t="str">
        <f t="shared" si="274"/>
        <v>Female</v>
      </c>
      <c r="N1393" t="str">
        <f t="shared" si="275"/>
        <v>Master's</v>
      </c>
      <c r="O1393" t="str">
        <f t="shared" si="276"/>
        <v>Senior Level</v>
      </c>
      <c r="P1393" t="str">
        <f t="shared" si="277"/>
        <v>Low</v>
      </c>
      <c r="Q1393" t="str">
        <f t="shared" si="278"/>
        <v>Advanced</v>
      </c>
      <c r="R1393" t="str">
        <f t="shared" si="279"/>
        <v>Good</v>
      </c>
      <c r="S1393" t="str">
        <f t="shared" si="280"/>
        <v>Hired</v>
      </c>
      <c r="T1393">
        <f t="shared" si="281"/>
        <v>60</v>
      </c>
      <c r="U1393" t="str">
        <f t="shared" si="282"/>
        <v>Developing</v>
      </c>
      <c r="V1393" t="str">
        <f t="shared" si="283"/>
        <v>Technical Skills</v>
      </c>
      <c r="W1393" t="str">
        <f t="shared" si="284"/>
        <v>Interview Preparation</v>
      </c>
      <c r="X1393" t="str">
        <f t="shared" si="285"/>
        <v>Improve interview preparation and communication</v>
      </c>
    </row>
    <row r="1394" spans="1:24" x14ac:dyDescent="0.3">
      <c r="A1394">
        <v>21</v>
      </c>
      <c r="B1394">
        <v>1</v>
      </c>
      <c r="C1394">
        <v>2</v>
      </c>
      <c r="D1394">
        <v>11</v>
      </c>
      <c r="E1394">
        <v>1</v>
      </c>
      <c r="F1394">
        <v>26.417774378229598</v>
      </c>
      <c r="G1394">
        <v>79</v>
      </c>
      <c r="H1394">
        <v>39</v>
      </c>
      <c r="I1394">
        <v>22</v>
      </c>
      <c r="J1394">
        <v>2</v>
      </c>
      <c r="K1394">
        <v>0</v>
      </c>
      <c r="L1394" t="str">
        <f t="shared" si="273"/>
        <v>C1393</v>
      </c>
      <c r="M1394" t="str">
        <f t="shared" si="274"/>
        <v>Female</v>
      </c>
      <c r="N1394" t="str">
        <f t="shared" si="275"/>
        <v>Bachelor's Type 2</v>
      </c>
      <c r="O1394" t="str">
        <f t="shared" si="276"/>
        <v>Senior Level</v>
      </c>
      <c r="P1394" t="str">
        <f t="shared" si="277"/>
        <v>Strong</v>
      </c>
      <c r="Q1394" t="str">
        <f t="shared" si="278"/>
        <v>Beginner</v>
      </c>
      <c r="R1394" t="str">
        <f t="shared" si="279"/>
        <v>Needs Improvement</v>
      </c>
      <c r="S1394" t="str">
        <f t="shared" si="280"/>
        <v>Not Hired</v>
      </c>
      <c r="T1394">
        <f t="shared" si="281"/>
        <v>53</v>
      </c>
      <c r="U1394" t="str">
        <f t="shared" si="282"/>
        <v>Developing</v>
      </c>
      <c r="V1394" t="str">
        <f t="shared" si="283"/>
        <v>Interview</v>
      </c>
      <c r="W1394" t="str">
        <f t="shared" si="284"/>
        <v>Personality &amp; Communication</v>
      </c>
      <c r="X1394" t="str">
        <f t="shared" si="285"/>
        <v>Work on communication and personality development</v>
      </c>
    </row>
    <row r="1395" spans="1:24" x14ac:dyDescent="0.3">
      <c r="A1395">
        <v>31</v>
      </c>
      <c r="B1395">
        <v>0</v>
      </c>
      <c r="C1395">
        <v>3</v>
      </c>
      <c r="D1395">
        <v>7</v>
      </c>
      <c r="E1395">
        <v>2</v>
      </c>
      <c r="F1395">
        <v>50.591589623181498</v>
      </c>
      <c r="G1395">
        <v>79</v>
      </c>
      <c r="H1395">
        <v>53</v>
      </c>
      <c r="I1395">
        <v>94</v>
      </c>
      <c r="J1395">
        <v>1</v>
      </c>
      <c r="K1395">
        <v>1</v>
      </c>
      <c r="L1395" t="str">
        <f t="shared" si="273"/>
        <v>C1394</v>
      </c>
      <c r="M1395" t="str">
        <f t="shared" si="274"/>
        <v>Male</v>
      </c>
      <c r="N1395" t="str">
        <f t="shared" si="275"/>
        <v>Master's</v>
      </c>
      <c r="O1395" t="str">
        <f t="shared" si="276"/>
        <v>Senior Level</v>
      </c>
      <c r="P1395" t="str">
        <f t="shared" si="277"/>
        <v>Strong</v>
      </c>
      <c r="Q1395" t="str">
        <f t="shared" si="278"/>
        <v>Intermediate</v>
      </c>
      <c r="R1395" t="str">
        <f t="shared" si="279"/>
        <v>Strong</v>
      </c>
      <c r="S1395" t="str">
        <f t="shared" si="280"/>
        <v>Hired</v>
      </c>
      <c r="T1395">
        <f t="shared" si="281"/>
        <v>69</v>
      </c>
      <c r="U1395" t="str">
        <f t="shared" si="282"/>
        <v>Developing</v>
      </c>
      <c r="V1395" t="str">
        <f t="shared" si="283"/>
        <v>Personality</v>
      </c>
      <c r="W1395" t="str">
        <f t="shared" si="284"/>
        <v>Technical Skills</v>
      </c>
      <c r="X1395" t="str">
        <f t="shared" si="285"/>
        <v>Strengthen technical skills and practical knowledge</v>
      </c>
    </row>
    <row r="1396" spans="1:24" x14ac:dyDescent="0.3">
      <c r="A1396">
        <v>22</v>
      </c>
      <c r="B1396">
        <v>1</v>
      </c>
      <c r="C1396">
        <v>3</v>
      </c>
      <c r="D1396">
        <v>7</v>
      </c>
      <c r="E1396">
        <v>2</v>
      </c>
      <c r="F1396">
        <v>14.3053978084649</v>
      </c>
      <c r="G1396">
        <v>84</v>
      </c>
      <c r="H1396">
        <v>1</v>
      </c>
      <c r="I1396">
        <v>28</v>
      </c>
      <c r="J1396">
        <v>3</v>
      </c>
      <c r="K1396">
        <v>0</v>
      </c>
      <c r="L1396" t="str">
        <f t="shared" si="273"/>
        <v>C1395</v>
      </c>
      <c r="M1396" t="str">
        <f t="shared" si="274"/>
        <v>Female</v>
      </c>
      <c r="N1396" t="str">
        <f t="shared" si="275"/>
        <v>Master's</v>
      </c>
      <c r="O1396" t="str">
        <f t="shared" si="276"/>
        <v>Senior Level</v>
      </c>
      <c r="P1396" t="str">
        <f t="shared" si="277"/>
        <v>Strong</v>
      </c>
      <c r="Q1396" t="str">
        <f t="shared" si="278"/>
        <v>Beginner</v>
      </c>
      <c r="R1396" t="str">
        <f t="shared" si="279"/>
        <v>Needs Improvement</v>
      </c>
      <c r="S1396" t="str">
        <f t="shared" si="280"/>
        <v>Not Hired</v>
      </c>
      <c r="T1396">
        <f t="shared" si="281"/>
        <v>42</v>
      </c>
      <c r="U1396" t="str">
        <f t="shared" si="282"/>
        <v>Needs Improvement</v>
      </c>
      <c r="V1396" t="str">
        <f t="shared" si="283"/>
        <v>Interview</v>
      </c>
      <c r="W1396" t="str">
        <f t="shared" si="284"/>
        <v>Technical Skills</v>
      </c>
      <c r="X1396" t="str">
        <f t="shared" si="285"/>
        <v>Strengthen technical skills and practical knowledge</v>
      </c>
    </row>
    <row r="1397" spans="1:24" x14ac:dyDescent="0.3">
      <c r="A1397">
        <v>22</v>
      </c>
      <c r="B1397">
        <v>1</v>
      </c>
      <c r="C1397">
        <v>2</v>
      </c>
      <c r="D1397">
        <v>15</v>
      </c>
      <c r="E1397">
        <v>4</v>
      </c>
      <c r="F1397">
        <v>42.6595829892727</v>
      </c>
      <c r="G1397">
        <v>25</v>
      </c>
      <c r="H1397">
        <v>49</v>
      </c>
      <c r="I1397">
        <v>46</v>
      </c>
      <c r="J1397">
        <v>1</v>
      </c>
      <c r="K1397">
        <v>0</v>
      </c>
      <c r="L1397" t="str">
        <f t="shared" si="273"/>
        <v>C1396</v>
      </c>
      <c r="M1397" t="str">
        <f t="shared" si="274"/>
        <v>Female</v>
      </c>
      <c r="N1397" t="str">
        <f t="shared" si="275"/>
        <v>Bachelor's Type 2</v>
      </c>
      <c r="O1397" t="str">
        <f t="shared" si="276"/>
        <v>Senior Level</v>
      </c>
      <c r="P1397" t="str">
        <f t="shared" si="277"/>
        <v>Low</v>
      </c>
      <c r="Q1397" t="str">
        <f t="shared" si="278"/>
        <v>Beginner</v>
      </c>
      <c r="R1397" t="str">
        <f t="shared" si="279"/>
        <v>Needs Improvement</v>
      </c>
      <c r="S1397" t="str">
        <f t="shared" si="280"/>
        <v>Not Hired</v>
      </c>
      <c r="T1397">
        <f t="shared" si="281"/>
        <v>49</v>
      </c>
      <c r="U1397" t="str">
        <f t="shared" si="282"/>
        <v>Needs Improvement</v>
      </c>
      <c r="V1397" t="str">
        <f t="shared" si="283"/>
        <v>Technical Skills</v>
      </c>
      <c r="W1397" t="str">
        <f t="shared" si="284"/>
        <v>Interview Preparation</v>
      </c>
      <c r="X1397" t="str">
        <f t="shared" si="285"/>
        <v>Improve interview preparation and communication</v>
      </c>
    </row>
    <row r="1398" spans="1:24" x14ac:dyDescent="0.3">
      <c r="A1398">
        <v>20</v>
      </c>
      <c r="B1398">
        <v>1</v>
      </c>
      <c r="C1398">
        <v>2</v>
      </c>
      <c r="D1398">
        <v>1</v>
      </c>
      <c r="E1398">
        <v>5</v>
      </c>
      <c r="F1398">
        <v>22.339518609695901</v>
      </c>
      <c r="G1398">
        <v>99</v>
      </c>
      <c r="H1398">
        <v>40</v>
      </c>
      <c r="I1398">
        <v>29</v>
      </c>
      <c r="J1398">
        <v>2</v>
      </c>
      <c r="K1398">
        <v>0</v>
      </c>
      <c r="L1398" t="str">
        <f t="shared" si="273"/>
        <v>C1397</v>
      </c>
      <c r="M1398" t="str">
        <f t="shared" si="274"/>
        <v>Female</v>
      </c>
      <c r="N1398" t="str">
        <f t="shared" si="275"/>
        <v>Bachelor's Type 2</v>
      </c>
      <c r="O1398" t="str">
        <f t="shared" si="276"/>
        <v>Entry Level</v>
      </c>
      <c r="P1398" t="str">
        <f t="shared" si="277"/>
        <v>Strong</v>
      </c>
      <c r="Q1398" t="str">
        <f t="shared" si="278"/>
        <v>Beginner</v>
      </c>
      <c r="R1398" t="str">
        <f t="shared" si="279"/>
        <v>Needs Improvement</v>
      </c>
      <c r="S1398" t="str">
        <f t="shared" si="280"/>
        <v>Not Hired</v>
      </c>
      <c r="T1398">
        <f t="shared" si="281"/>
        <v>51</v>
      </c>
      <c r="U1398" t="str">
        <f t="shared" si="282"/>
        <v>Developing</v>
      </c>
      <c r="V1398" t="str">
        <f t="shared" si="283"/>
        <v>Interview</v>
      </c>
      <c r="W1398" t="str">
        <f t="shared" si="284"/>
        <v>Personality &amp; Communication</v>
      </c>
      <c r="X1398" t="str">
        <f t="shared" si="285"/>
        <v>Work on communication and personality development</v>
      </c>
    </row>
    <row r="1399" spans="1:24" x14ac:dyDescent="0.3">
      <c r="A1399">
        <v>27</v>
      </c>
      <c r="B1399">
        <v>1</v>
      </c>
      <c r="C1399">
        <v>1</v>
      </c>
      <c r="D1399">
        <v>3</v>
      </c>
      <c r="E1399">
        <v>5</v>
      </c>
      <c r="F1399">
        <v>33.436756943786698</v>
      </c>
      <c r="G1399">
        <v>18</v>
      </c>
      <c r="H1399">
        <v>44</v>
      </c>
      <c r="I1399">
        <v>89</v>
      </c>
      <c r="J1399">
        <v>3</v>
      </c>
      <c r="K1399">
        <v>0</v>
      </c>
      <c r="L1399" t="str">
        <f t="shared" si="273"/>
        <v>C1398</v>
      </c>
      <c r="M1399" t="str">
        <f t="shared" si="274"/>
        <v>Female</v>
      </c>
      <c r="N1399" t="str">
        <f t="shared" si="275"/>
        <v>Bachelor's Type 1</v>
      </c>
      <c r="O1399" t="str">
        <f t="shared" si="276"/>
        <v>Mid Level</v>
      </c>
      <c r="P1399" t="str">
        <f t="shared" si="277"/>
        <v>Low</v>
      </c>
      <c r="Q1399" t="str">
        <f t="shared" si="278"/>
        <v>Beginner</v>
      </c>
      <c r="R1399" t="str">
        <f t="shared" si="279"/>
        <v>Strong</v>
      </c>
      <c r="S1399" t="str">
        <f t="shared" si="280"/>
        <v>Not Hired</v>
      </c>
      <c r="T1399">
        <f t="shared" si="281"/>
        <v>42</v>
      </c>
      <c r="U1399" t="str">
        <f t="shared" si="282"/>
        <v>Needs Improvement</v>
      </c>
      <c r="V1399" t="str">
        <f t="shared" si="283"/>
        <v>Personality</v>
      </c>
      <c r="W1399" t="str">
        <f t="shared" si="284"/>
        <v>Interview Preparation</v>
      </c>
      <c r="X1399" t="str">
        <f t="shared" si="285"/>
        <v>Improve interview preparation and communication</v>
      </c>
    </row>
    <row r="1400" spans="1:24" x14ac:dyDescent="0.3">
      <c r="A1400">
        <v>41</v>
      </c>
      <c r="B1400">
        <v>0</v>
      </c>
      <c r="C1400">
        <v>2</v>
      </c>
      <c r="D1400">
        <v>5</v>
      </c>
      <c r="E1400">
        <v>2</v>
      </c>
      <c r="F1400">
        <v>37.363423522621702</v>
      </c>
      <c r="G1400">
        <v>80</v>
      </c>
      <c r="H1400">
        <v>8</v>
      </c>
      <c r="I1400">
        <v>83</v>
      </c>
      <c r="J1400">
        <v>2</v>
      </c>
      <c r="K1400">
        <v>1</v>
      </c>
      <c r="L1400" t="str">
        <f t="shared" si="273"/>
        <v>C1399</v>
      </c>
      <c r="M1400" t="str">
        <f t="shared" si="274"/>
        <v>Male</v>
      </c>
      <c r="N1400" t="str">
        <f t="shared" si="275"/>
        <v>Bachelor's Type 2</v>
      </c>
      <c r="O1400" t="str">
        <f t="shared" si="276"/>
        <v>Mid Level</v>
      </c>
      <c r="P1400" t="str">
        <f t="shared" si="277"/>
        <v>Strong</v>
      </c>
      <c r="Q1400" t="str">
        <f t="shared" si="278"/>
        <v>Beginner</v>
      </c>
      <c r="R1400" t="str">
        <f t="shared" si="279"/>
        <v>Strong</v>
      </c>
      <c r="S1400" t="str">
        <f t="shared" si="280"/>
        <v>Hired</v>
      </c>
      <c r="T1400">
        <f t="shared" si="281"/>
        <v>51</v>
      </c>
      <c r="U1400" t="str">
        <f t="shared" si="282"/>
        <v>Developing</v>
      </c>
      <c r="V1400" t="str">
        <f t="shared" si="283"/>
        <v>Personality</v>
      </c>
      <c r="W1400" t="str">
        <f t="shared" si="284"/>
        <v>Technical Skills</v>
      </c>
      <c r="X1400" t="str">
        <f t="shared" si="285"/>
        <v>Strengthen technical skills and practical knowledge</v>
      </c>
    </row>
    <row r="1401" spans="1:24" x14ac:dyDescent="0.3">
      <c r="A1401">
        <v>47</v>
      </c>
      <c r="B1401">
        <v>1</v>
      </c>
      <c r="C1401">
        <v>4</v>
      </c>
      <c r="D1401">
        <v>11</v>
      </c>
      <c r="E1401">
        <v>1</v>
      </c>
      <c r="F1401">
        <v>32.6877043595168</v>
      </c>
      <c r="G1401">
        <v>44</v>
      </c>
      <c r="H1401">
        <v>61</v>
      </c>
      <c r="I1401">
        <v>37</v>
      </c>
      <c r="J1401">
        <v>2</v>
      </c>
      <c r="K1401">
        <v>0</v>
      </c>
      <c r="L1401" t="str">
        <f t="shared" si="273"/>
        <v>C1400</v>
      </c>
      <c r="M1401" t="str">
        <f t="shared" si="274"/>
        <v>Female</v>
      </c>
      <c r="N1401" t="str">
        <f t="shared" si="275"/>
        <v>PhD</v>
      </c>
      <c r="O1401" t="str">
        <f t="shared" si="276"/>
        <v>Senior Level</v>
      </c>
      <c r="P1401" t="str">
        <f t="shared" si="277"/>
        <v>Low</v>
      </c>
      <c r="Q1401" t="str">
        <f t="shared" si="278"/>
        <v>Intermediate</v>
      </c>
      <c r="R1401" t="str">
        <f t="shared" si="279"/>
        <v>Needs Improvement</v>
      </c>
      <c r="S1401" t="str">
        <f t="shared" si="280"/>
        <v>Not Hired</v>
      </c>
      <c r="T1401">
        <f t="shared" si="281"/>
        <v>55</v>
      </c>
      <c r="U1401" t="str">
        <f t="shared" si="282"/>
        <v>Developing</v>
      </c>
      <c r="V1401" t="str">
        <f t="shared" si="283"/>
        <v>Technical Skills</v>
      </c>
      <c r="W1401" t="str">
        <f t="shared" si="284"/>
        <v>Personality &amp; Communication</v>
      </c>
      <c r="X1401" t="str">
        <f t="shared" si="285"/>
        <v>Work on communication and personality development</v>
      </c>
    </row>
    <row r="1402" spans="1:24" x14ac:dyDescent="0.3">
      <c r="A1402">
        <v>48</v>
      </c>
      <c r="B1402">
        <v>1</v>
      </c>
      <c r="C1402">
        <v>2</v>
      </c>
      <c r="D1402">
        <v>10</v>
      </c>
      <c r="E1402">
        <v>1</v>
      </c>
      <c r="F1402">
        <v>8.0253651554296592</v>
      </c>
      <c r="G1402">
        <v>25</v>
      </c>
      <c r="H1402">
        <v>85</v>
      </c>
      <c r="I1402">
        <v>82</v>
      </c>
      <c r="J1402">
        <v>3</v>
      </c>
      <c r="K1402">
        <v>0</v>
      </c>
      <c r="L1402" t="str">
        <f t="shared" si="273"/>
        <v>C1401</v>
      </c>
      <c r="M1402" t="str">
        <f t="shared" si="274"/>
        <v>Female</v>
      </c>
      <c r="N1402" t="str">
        <f t="shared" si="275"/>
        <v>Bachelor's Type 2</v>
      </c>
      <c r="O1402" t="str">
        <f t="shared" si="276"/>
        <v>Senior Level</v>
      </c>
      <c r="P1402" t="str">
        <f t="shared" si="277"/>
        <v>Low</v>
      </c>
      <c r="Q1402" t="str">
        <f t="shared" si="278"/>
        <v>Advanced</v>
      </c>
      <c r="R1402" t="str">
        <f t="shared" si="279"/>
        <v>Strong</v>
      </c>
      <c r="S1402" t="str">
        <f t="shared" si="280"/>
        <v>Not Hired</v>
      </c>
      <c r="T1402">
        <f t="shared" si="281"/>
        <v>62</v>
      </c>
      <c r="U1402" t="str">
        <f t="shared" si="282"/>
        <v>Developing</v>
      </c>
      <c r="V1402" t="str">
        <f t="shared" si="283"/>
        <v>Technical Skills</v>
      </c>
      <c r="W1402" t="str">
        <f t="shared" si="284"/>
        <v>Interview Preparation</v>
      </c>
      <c r="X1402" t="str">
        <f t="shared" si="285"/>
        <v>Improve interview preparation and communication</v>
      </c>
    </row>
    <row r="1403" spans="1:24" x14ac:dyDescent="0.3">
      <c r="A1403">
        <v>27</v>
      </c>
      <c r="B1403">
        <v>1</v>
      </c>
      <c r="C1403">
        <v>2</v>
      </c>
      <c r="D1403">
        <v>8</v>
      </c>
      <c r="E1403">
        <v>1</v>
      </c>
      <c r="F1403">
        <v>23.147550537396601</v>
      </c>
      <c r="G1403">
        <v>21</v>
      </c>
      <c r="H1403">
        <v>46</v>
      </c>
      <c r="I1403">
        <v>26</v>
      </c>
      <c r="J1403">
        <v>2</v>
      </c>
      <c r="K1403">
        <v>1</v>
      </c>
      <c r="L1403" t="str">
        <f t="shared" si="273"/>
        <v>C1402</v>
      </c>
      <c r="M1403" t="str">
        <f t="shared" si="274"/>
        <v>Female</v>
      </c>
      <c r="N1403" t="str">
        <f t="shared" si="275"/>
        <v>Bachelor's Type 2</v>
      </c>
      <c r="O1403" t="str">
        <f t="shared" si="276"/>
        <v>Senior Level</v>
      </c>
      <c r="P1403" t="str">
        <f t="shared" si="277"/>
        <v>Low</v>
      </c>
      <c r="Q1403" t="str">
        <f t="shared" si="278"/>
        <v>Beginner</v>
      </c>
      <c r="R1403" t="str">
        <f t="shared" si="279"/>
        <v>Needs Improvement</v>
      </c>
      <c r="S1403" t="str">
        <f t="shared" si="280"/>
        <v>Hired</v>
      </c>
      <c r="T1403">
        <f t="shared" si="281"/>
        <v>36</v>
      </c>
      <c r="U1403" t="str">
        <f t="shared" si="282"/>
        <v>Needs Improvement</v>
      </c>
      <c r="V1403" t="str">
        <f t="shared" si="283"/>
        <v>Technical Skills</v>
      </c>
      <c r="W1403" t="str">
        <f t="shared" si="284"/>
        <v>Interview Preparation</v>
      </c>
      <c r="X1403" t="str">
        <f t="shared" si="285"/>
        <v>Improve interview preparation and communication</v>
      </c>
    </row>
    <row r="1404" spans="1:24" x14ac:dyDescent="0.3">
      <c r="A1404">
        <v>30</v>
      </c>
      <c r="B1404">
        <v>0</v>
      </c>
      <c r="C1404">
        <v>3</v>
      </c>
      <c r="D1404">
        <v>14</v>
      </c>
      <c r="E1404">
        <v>5</v>
      </c>
      <c r="F1404">
        <v>29.0719188966562</v>
      </c>
      <c r="G1404">
        <v>57</v>
      </c>
      <c r="H1404">
        <v>4</v>
      </c>
      <c r="I1404">
        <v>88</v>
      </c>
      <c r="J1404">
        <v>1</v>
      </c>
      <c r="K1404">
        <v>0</v>
      </c>
      <c r="L1404" t="str">
        <f t="shared" si="273"/>
        <v>C1403</v>
      </c>
      <c r="M1404" t="str">
        <f t="shared" si="274"/>
        <v>Male</v>
      </c>
      <c r="N1404" t="str">
        <f t="shared" si="275"/>
        <v>Master's</v>
      </c>
      <c r="O1404" t="str">
        <f t="shared" si="276"/>
        <v>Senior Level</v>
      </c>
      <c r="P1404" t="str">
        <f t="shared" si="277"/>
        <v>Average</v>
      </c>
      <c r="Q1404" t="str">
        <f t="shared" si="278"/>
        <v>Beginner</v>
      </c>
      <c r="R1404" t="str">
        <f t="shared" si="279"/>
        <v>Strong</v>
      </c>
      <c r="S1404" t="str">
        <f t="shared" si="280"/>
        <v>Not Hired</v>
      </c>
      <c r="T1404">
        <f t="shared" si="281"/>
        <v>54</v>
      </c>
      <c r="U1404" t="str">
        <f t="shared" si="282"/>
        <v>Developing</v>
      </c>
      <c r="V1404" t="str">
        <f t="shared" si="283"/>
        <v>Personality</v>
      </c>
      <c r="W1404" t="str">
        <f t="shared" si="284"/>
        <v>Technical Skills</v>
      </c>
      <c r="X1404" t="str">
        <f t="shared" si="285"/>
        <v>Strengthen technical skills and practical knowledge</v>
      </c>
    </row>
    <row r="1405" spans="1:24" x14ac:dyDescent="0.3">
      <c r="A1405">
        <v>28</v>
      </c>
      <c r="B1405">
        <v>0</v>
      </c>
      <c r="C1405">
        <v>2</v>
      </c>
      <c r="D1405">
        <v>15</v>
      </c>
      <c r="E1405">
        <v>4</v>
      </c>
      <c r="F1405">
        <v>43.452187958929798</v>
      </c>
      <c r="G1405">
        <v>62</v>
      </c>
      <c r="H1405">
        <v>75</v>
      </c>
      <c r="I1405">
        <v>86</v>
      </c>
      <c r="J1405">
        <v>3</v>
      </c>
      <c r="K1405">
        <v>0</v>
      </c>
      <c r="L1405" t="str">
        <f t="shared" si="273"/>
        <v>C1404</v>
      </c>
      <c r="M1405" t="str">
        <f t="shared" si="274"/>
        <v>Male</v>
      </c>
      <c r="N1405" t="str">
        <f t="shared" si="275"/>
        <v>Bachelor's Type 2</v>
      </c>
      <c r="O1405" t="str">
        <f t="shared" si="276"/>
        <v>Senior Level</v>
      </c>
      <c r="P1405" t="str">
        <f t="shared" si="277"/>
        <v>Average</v>
      </c>
      <c r="Q1405" t="str">
        <f t="shared" si="278"/>
        <v>Advanced</v>
      </c>
      <c r="R1405" t="str">
        <f t="shared" si="279"/>
        <v>Strong</v>
      </c>
      <c r="S1405" t="str">
        <f t="shared" si="280"/>
        <v>Not Hired</v>
      </c>
      <c r="T1405">
        <f t="shared" si="281"/>
        <v>76</v>
      </c>
      <c r="U1405" t="str">
        <f t="shared" si="282"/>
        <v>Job Ready</v>
      </c>
      <c r="V1405" t="str">
        <f t="shared" si="283"/>
        <v>Personality</v>
      </c>
      <c r="W1405" t="str">
        <f t="shared" si="284"/>
        <v>Interview Preparation</v>
      </c>
      <c r="X1405" t="str">
        <f t="shared" si="285"/>
        <v>Improve interview preparation and communication</v>
      </c>
    </row>
    <row r="1406" spans="1:24" x14ac:dyDescent="0.3">
      <c r="A1406">
        <v>24</v>
      </c>
      <c r="B1406">
        <v>0</v>
      </c>
      <c r="C1406">
        <v>1</v>
      </c>
      <c r="D1406">
        <v>7</v>
      </c>
      <c r="E1406">
        <v>2</v>
      </c>
      <c r="F1406">
        <v>23.182287439928601</v>
      </c>
      <c r="G1406">
        <v>27</v>
      </c>
      <c r="H1406">
        <v>0</v>
      </c>
      <c r="I1406">
        <v>92</v>
      </c>
      <c r="J1406">
        <v>1</v>
      </c>
      <c r="K1406">
        <v>0</v>
      </c>
      <c r="L1406" t="str">
        <f t="shared" si="273"/>
        <v>C1405</v>
      </c>
      <c r="M1406" t="str">
        <f t="shared" si="274"/>
        <v>Male</v>
      </c>
      <c r="N1406" t="str">
        <f t="shared" si="275"/>
        <v>Bachelor's Type 1</v>
      </c>
      <c r="O1406" t="str">
        <f t="shared" si="276"/>
        <v>Senior Level</v>
      </c>
      <c r="P1406" t="str">
        <f t="shared" si="277"/>
        <v>Low</v>
      </c>
      <c r="Q1406" t="str">
        <f t="shared" si="278"/>
        <v>Beginner</v>
      </c>
      <c r="R1406" t="str">
        <f t="shared" si="279"/>
        <v>Strong</v>
      </c>
      <c r="S1406" t="str">
        <f t="shared" si="280"/>
        <v>Not Hired</v>
      </c>
      <c r="T1406">
        <f t="shared" si="281"/>
        <v>36</v>
      </c>
      <c r="U1406" t="str">
        <f t="shared" si="282"/>
        <v>Needs Improvement</v>
      </c>
      <c r="V1406" t="str">
        <f t="shared" si="283"/>
        <v>Personality</v>
      </c>
      <c r="W1406" t="str">
        <f t="shared" si="284"/>
        <v>Technical Skills</v>
      </c>
      <c r="X1406" t="str">
        <f t="shared" si="285"/>
        <v>Strengthen technical skills and practical knowledge</v>
      </c>
    </row>
    <row r="1407" spans="1:24" x14ac:dyDescent="0.3">
      <c r="A1407">
        <v>33</v>
      </c>
      <c r="B1407">
        <v>0</v>
      </c>
      <c r="C1407">
        <v>2</v>
      </c>
      <c r="D1407">
        <v>11</v>
      </c>
      <c r="E1407">
        <v>3</v>
      </c>
      <c r="F1407">
        <v>46.9373652402125</v>
      </c>
      <c r="G1407">
        <v>64</v>
      </c>
      <c r="H1407">
        <v>43</v>
      </c>
      <c r="I1407">
        <v>14</v>
      </c>
      <c r="J1407">
        <v>3</v>
      </c>
      <c r="K1407">
        <v>0</v>
      </c>
      <c r="L1407" t="str">
        <f t="shared" si="273"/>
        <v>C1406</v>
      </c>
      <c r="M1407" t="str">
        <f t="shared" si="274"/>
        <v>Male</v>
      </c>
      <c r="N1407" t="str">
        <f t="shared" si="275"/>
        <v>Bachelor's Type 2</v>
      </c>
      <c r="O1407" t="str">
        <f t="shared" si="276"/>
        <v>Senior Level</v>
      </c>
      <c r="P1407" t="str">
        <f t="shared" si="277"/>
        <v>Average</v>
      </c>
      <c r="Q1407" t="str">
        <f t="shared" si="278"/>
        <v>Beginner</v>
      </c>
      <c r="R1407" t="str">
        <f t="shared" si="279"/>
        <v>Needs Improvement</v>
      </c>
      <c r="S1407" t="str">
        <f t="shared" si="280"/>
        <v>Not Hired</v>
      </c>
      <c r="T1407">
        <f t="shared" si="281"/>
        <v>48</v>
      </c>
      <c r="U1407" t="str">
        <f t="shared" si="282"/>
        <v>Needs Improvement</v>
      </c>
      <c r="V1407" t="str">
        <f t="shared" si="283"/>
        <v>Interview</v>
      </c>
      <c r="W1407" t="str">
        <f t="shared" si="284"/>
        <v>Personality &amp; Communication</v>
      </c>
      <c r="X1407" t="str">
        <f t="shared" si="285"/>
        <v>Work on communication and personality development</v>
      </c>
    </row>
    <row r="1408" spans="1:24" x14ac:dyDescent="0.3">
      <c r="A1408">
        <v>47</v>
      </c>
      <c r="B1408">
        <v>0</v>
      </c>
      <c r="C1408">
        <v>2</v>
      </c>
      <c r="D1408">
        <v>14</v>
      </c>
      <c r="E1408">
        <v>4</v>
      </c>
      <c r="F1408">
        <v>23.018711151260501</v>
      </c>
      <c r="G1408">
        <v>43</v>
      </c>
      <c r="H1408">
        <v>21</v>
      </c>
      <c r="I1408">
        <v>58</v>
      </c>
      <c r="J1408">
        <v>1</v>
      </c>
      <c r="K1408">
        <v>0</v>
      </c>
      <c r="L1408" t="str">
        <f t="shared" si="273"/>
        <v>C1407</v>
      </c>
      <c r="M1408" t="str">
        <f t="shared" si="274"/>
        <v>Male</v>
      </c>
      <c r="N1408" t="str">
        <f t="shared" si="275"/>
        <v>Bachelor's Type 2</v>
      </c>
      <c r="O1408" t="str">
        <f t="shared" si="276"/>
        <v>Senior Level</v>
      </c>
      <c r="P1408" t="str">
        <f t="shared" si="277"/>
        <v>Low</v>
      </c>
      <c r="Q1408" t="str">
        <f t="shared" si="278"/>
        <v>Beginner</v>
      </c>
      <c r="R1408" t="str">
        <f t="shared" si="279"/>
        <v>Good</v>
      </c>
      <c r="S1408" t="str">
        <f t="shared" si="280"/>
        <v>Not Hired</v>
      </c>
      <c r="T1408">
        <f t="shared" si="281"/>
        <v>47</v>
      </c>
      <c r="U1408" t="str">
        <f t="shared" si="282"/>
        <v>Needs Improvement</v>
      </c>
      <c r="V1408" t="str">
        <f t="shared" si="283"/>
        <v>Personality</v>
      </c>
      <c r="W1408" t="str">
        <f t="shared" si="284"/>
        <v>Technical Skills</v>
      </c>
      <c r="X1408" t="str">
        <f t="shared" si="285"/>
        <v>Strengthen technical skills and practical knowledge</v>
      </c>
    </row>
    <row r="1409" spans="1:24" x14ac:dyDescent="0.3">
      <c r="A1409">
        <v>49</v>
      </c>
      <c r="B1409">
        <v>0</v>
      </c>
      <c r="C1409">
        <v>3</v>
      </c>
      <c r="D1409">
        <v>7</v>
      </c>
      <c r="E1409">
        <v>3</v>
      </c>
      <c r="F1409">
        <v>28.438992963150501</v>
      </c>
      <c r="G1409">
        <v>99</v>
      </c>
      <c r="H1409">
        <v>37</v>
      </c>
      <c r="I1409">
        <v>2</v>
      </c>
      <c r="J1409">
        <v>2</v>
      </c>
      <c r="K1409">
        <v>0</v>
      </c>
      <c r="L1409" t="str">
        <f t="shared" si="273"/>
        <v>C1408</v>
      </c>
      <c r="M1409" t="str">
        <f t="shared" si="274"/>
        <v>Male</v>
      </c>
      <c r="N1409" t="str">
        <f t="shared" si="275"/>
        <v>Master's</v>
      </c>
      <c r="O1409" t="str">
        <f t="shared" si="276"/>
        <v>Senior Level</v>
      </c>
      <c r="P1409" t="str">
        <f t="shared" si="277"/>
        <v>Strong</v>
      </c>
      <c r="Q1409" t="str">
        <f t="shared" si="278"/>
        <v>Beginner</v>
      </c>
      <c r="R1409" t="str">
        <f t="shared" si="279"/>
        <v>Needs Improvement</v>
      </c>
      <c r="S1409" t="str">
        <f t="shared" si="280"/>
        <v>Not Hired</v>
      </c>
      <c r="T1409">
        <f t="shared" si="281"/>
        <v>52</v>
      </c>
      <c r="U1409" t="str">
        <f t="shared" si="282"/>
        <v>Developing</v>
      </c>
      <c r="V1409" t="str">
        <f t="shared" si="283"/>
        <v>Interview</v>
      </c>
      <c r="W1409" t="str">
        <f t="shared" si="284"/>
        <v>Personality &amp; Communication</v>
      </c>
      <c r="X1409" t="str">
        <f t="shared" si="285"/>
        <v>Work on communication and personality development</v>
      </c>
    </row>
    <row r="1410" spans="1:24" x14ac:dyDescent="0.3">
      <c r="A1410">
        <v>22</v>
      </c>
      <c r="B1410">
        <v>0</v>
      </c>
      <c r="C1410">
        <v>1</v>
      </c>
      <c r="D1410">
        <v>6</v>
      </c>
      <c r="E1410">
        <v>4</v>
      </c>
      <c r="F1410">
        <v>40.81428414714</v>
      </c>
      <c r="G1410">
        <v>42</v>
      </c>
      <c r="H1410">
        <v>18</v>
      </c>
      <c r="I1410">
        <v>9</v>
      </c>
      <c r="J1410">
        <v>2</v>
      </c>
      <c r="K1410">
        <v>1</v>
      </c>
      <c r="L1410" t="str">
        <f t="shared" si="273"/>
        <v>C1409</v>
      </c>
      <c r="M1410" t="str">
        <f t="shared" si="274"/>
        <v>Male</v>
      </c>
      <c r="N1410" t="str">
        <f t="shared" si="275"/>
        <v>Bachelor's Type 1</v>
      </c>
      <c r="O1410" t="str">
        <f t="shared" si="276"/>
        <v>Mid Level</v>
      </c>
      <c r="P1410" t="str">
        <f t="shared" si="277"/>
        <v>Low</v>
      </c>
      <c r="Q1410" t="str">
        <f t="shared" si="278"/>
        <v>Beginner</v>
      </c>
      <c r="R1410" t="str">
        <f t="shared" si="279"/>
        <v>Needs Improvement</v>
      </c>
      <c r="S1410" t="str">
        <f t="shared" si="280"/>
        <v>Hired</v>
      </c>
      <c r="T1410">
        <f t="shared" si="281"/>
        <v>28</v>
      </c>
      <c r="U1410" t="str">
        <f t="shared" si="282"/>
        <v>Needs Improvement</v>
      </c>
      <c r="V1410" t="str">
        <f t="shared" si="283"/>
        <v>Interview</v>
      </c>
      <c r="W1410" t="str">
        <f t="shared" si="284"/>
        <v>Personality &amp; Communication</v>
      </c>
      <c r="X1410" t="str">
        <f t="shared" si="285"/>
        <v>Work on communication and personality development</v>
      </c>
    </row>
    <row r="1411" spans="1:24" x14ac:dyDescent="0.3">
      <c r="A1411">
        <v>40</v>
      </c>
      <c r="B1411">
        <v>1</v>
      </c>
      <c r="C1411">
        <v>2</v>
      </c>
      <c r="D1411">
        <v>13</v>
      </c>
      <c r="E1411">
        <v>1</v>
      </c>
      <c r="F1411">
        <v>30.1533842211071</v>
      </c>
      <c r="G1411">
        <v>36</v>
      </c>
      <c r="H1411">
        <v>79</v>
      </c>
      <c r="I1411">
        <v>78</v>
      </c>
      <c r="J1411">
        <v>3</v>
      </c>
      <c r="K1411">
        <v>1</v>
      </c>
      <c r="L1411" t="str">
        <f t="shared" ref="L1411:L1474" si="286">"C"&amp;TEXT(ROW()-1,"000")</f>
        <v>C1410</v>
      </c>
      <c r="M1411" t="str">
        <f t="shared" ref="M1411:M1474" si="287">IF(B1411=0,"Male","Female")</f>
        <v>Female</v>
      </c>
      <c r="N1411" t="str">
        <f t="shared" ref="N1411:N1474" si="288">IF(C1411=1,"Bachelor's Type 1",IF(C1411=2,"Bachelor's Type 2",IF(C1411=3,"Master's","PhD")))</f>
        <v>Bachelor's Type 2</v>
      </c>
      <c r="O1411" t="str">
        <f t="shared" ref="O1411:O1474" si="289">IF(D1411&lt;=2,"Entry Level",IF(D1411&lt;=6,"Mid Level","Senior Level"))</f>
        <v>Senior Level</v>
      </c>
      <c r="P1411" t="str">
        <f t="shared" ref="P1411:P1474" si="290">IF(G1411&lt;50,"Low",IF(G1411&lt;75,"Average","Strong"))</f>
        <v>Low</v>
      </c>
      <c r="Q1411" t="str">
        <f t="shared" ref="Q1411:Q1474" si="291">IF(H1411&lt;50,"Beginner",IF(H1411&lt;75,"Intermediate","Advanced"))</f>
        <v>Advanced</v>
      </c>
      <c r="R1411" t="str">
        <f t="shared" ref="R1411:R1474" si="292">IF(I1411&lt;50,"Needs Improvement",IF(I1411&lt;75,"Good","Strong"))</f>
        <v>Strong</v>
      </c>
      <c r="S1411" t="str">
        <f t="shared" ref="S1411:S1474" si="293">IF(K1411=1,"Hired","Not Hired")</f>
        <v>Hired</v>
      </c>
      <c r="T1411">
        <f t="shared" ref="T1411:T1474" si="294">ROUND((G1411*30%)+(H1411*30%)+(I1411*20%)+((D1411/15)*100*15%)+(IF(C1411&lt;=2,50,IF(C1411=3,75,100))*5%),0)</f>
        <v>66</v>
      </c>
      <c r="U1411" t="str">
        <f t="shared" ref="U1411:U1474" si="295">IF(T1411&lt;50,"Needs Improvement",IF(T1411&lt;75,"Developing","Job Ready"))</f>
        <v>Developing</v>
      </c>
      <c r="V1411" t="str">
        <f t="shared" ref="V1411:V1474" si="296">IF(AND(G1411&gt;=H1411,G1411&gt;=I1411),"Interview",IF(H1411&gt;=I1411,"Technical Skills","Personality"))</f>
        <v>Technical Skills</v>
      </c>
      <c r="W1411" t="str">
        <f t="shared" ref="W1411:W1474" si="297">IF(AND(G1411&lt;=H1411,G1411&lt;=I1411),"Interview Preparation",IF(H1411&lt;=I1411,"Technical Skills","Personality &amp; Communication"))</f>
        <v>Interview Preparation</v>
      </c>
      <c r="X1411" t="str">
        <f t="shared" ref="X1411:X1474" si="298">IF(W1411="Interview Preparation","Improve interview preparation and communication",IF(W1411="Technical Skills","Strengthen technical skills and practical knowledge","Work on communication and personality development"))</f>
        <v>Improve interview preparation and communication</v>
      </c>
    </row>
    <row r="1412" spans="1:24" x14ac:dyDescent="0.3">
      <c r="A1412">
        <v>24</v>
      </c>
      <c r="B1412">
        <v>1</v>
      </c>
      <c r="C1412">
        <v>2</v>
      </c>
      <c r="D1412">
        <v>12</v>
      </c>
      <c r="E1412">
        <v>5</v>
      </c>
      <c r="F1412">
        <v>49.010903619141203</v>
      </c>
      <c r="G1412">
        <v>65</v>
      </c>
      <c r="H1412">
        <v>30</v>
      </c>
      <c r="I1412">
        <v>79</v>
      </c>
      <c r="J1412">
        <v>2</v>
      </c>
      <c r="K1412">
        <v>1</v>
      </c>
      <c r="L1412" t="str">
        <f t="shared" si="286"/>
        <v>C1411</v>
      </c>
      <c r="M1412" t="str">
        <f t="shared" si="287"/>
        <v>Female</v>
      </c>
      <c r="N1412" t="str">
        <f t="shared" si="288"/>
        <v>Bachelor's Type 2</v>
      </c>
      <c r="O1412" t="str">
        <f t="shared" si="289"/>
        <v>Senior Level</v>
      </c>
      <c r="P1412" t="str">
        <f t="shared" si="290"/>
        <v>Average</v>
      </c>
      <c r="Q1412" t="str">
        <f t="shared" si="291"/>
        <v>Beginner</v>
      </c>
      <c r="R1412" t="str">
        <f t="shared" si="292"/>
        <v>Strong</v>
      </c>
      <c r="S1412" t="str">
        <f t="shared" si="293"/>
        <v>Hired</v>
      </c>
      <c r="T1412">
        <f t="shared" si="294"/>
        <v>59</v>
      </c>
      <c r="U1412" t="str">
        <f t="shared" si="295"/>
        <v>Developing</v>
      </c>
      <c r="V1412" t="str">
        <f t="shared" si="296"/>
        <v>Personality</v>
      </c>
      <c r="W1412" t="str">
        <f t="shared" si="297"/>
        <v>Technical Skills</v>
      </c>
      <c r="X1412" t="str">
        <f t="shared" si="298"/>
        <v>Strengthen technical skills and practical knowledge</v>
      </c>
    </row>
    <row r="1413" spans="1:24" x14ac:dyDescent="0.3">
      <c r="A1413">
        <v>24</v>
      </c>
      <c r="B1413">
        <v>1</v>
      </c>
      <c r="C1413">
        <v>2</v>
      </c>
      <c r="D1413">
        <v>8</v>
      </c>
      <c r="E1413">
        <v>3</v>
      </c>
      <c r="F1413">
        <v>34.016791525706303</v>
      </c>
      <c r="G1413">
        <v>16</v>
      </c>
      <c r="H1413">
        <v>66</v>
      </c>
      <c r="I1413">
        <v>16</v>
      </c>
      <c r="J1413">
        <v>1</v>
      </c>
      <c r="K1413">
        <v>1</v>
      </c>
      <c r="L1413" t="str">
        <f t="shared" si="286"/>
        <v>C1412</v>
      </c>
      <c r="M1413" t="str">
        <f t="shared" si="287"/>
        <v>Female</v>
      </c>
      <c r="N1413" t="str">
        <f t="shared" si="288"/>
        <v>Bachelor's Type 2</v>
      </c>
      <c r="O1413" t="str">
        <f t="shared" si="289"/>
        <v>Senior Level</v>
      </c>
      <c r="P1413" t="str">
        <f t="shared" si="290"/>
        <v>Low</v>
      </c>
      <c r="Q1413" t="str">
        <f t="shared" si="291"/>
        <v>Intermediate</v>
      </c>
      <c r="R1413" t="str">
        <f t="shared" si="292"/>
        <v>Needs Improvement</v>
      </c>
      <c r="S1413" t="str">
        <f t="shared" si="293"/>
        <v>Hired</v>
      </c>
      <c r="T1413">
        <f t="shared" si="294"/>
        <v>38</v>
      </c>
      <c r="U1413" t="str">
        <f t="shared" si="295"/>
        <v>Needs Improvement</v>
      </c>
      <c r="V1413" t="str">
        <f t="shared" si="296"/>
        <v>Technical Skills</v>
      </c>
      <c r="W1413" t="str">
        <f t="shared" si="297"/>
        <v>Interview Preparation</v>
      </c>
      <c r="X1413" t="str">
        <f t="shared" si="298"/>
        <v>Improve interview preparation and communication</v>
      </c>
    </row>
    <row r="1414" spans="1:24" x14ac:dyDescent="0.3">
      <c r="A1414">
        <v>38</v>
      </c>
      <c r="B1414">
        <v>0</v>
      </c>
      <c r="C1414">
        <v>2</v>
      </c>
      <c r="D1414">
        <v>14</v>
      </c>
      <c r="E1414">
        <v>4</v>
      </c>
      <c r="F1414">
        <v>27.13547270338</v>
      </c>
      <c r="G1414">
        <v>39</v>
      </c>
      <c r="H1414">
        <v>86</v>
      </c>
      <c r="I1414">
        <v>82</v>
      </c>
      <c r="J1414">
        <v>2</v>
      </c>
      <c r="K1414">
        <v>0</v>
      </c>
      <c r="L1414" t="str">
        <f t="shared" si="286"/>
        <v>C1413</v>
      </c>
      <c r="M1414" t="str">
        <f t="shared" si="287"/>
        <v>Male</v>
      </c>
      <c r="N1414" t="str">
        <f t="shared" si="288"/>
        <v>Bachelor's Type 2</v>
      </c>
      <c r="O1414" t="str">
        <f t="shared" si="289"/>
        <v>Senior Level</v>
      </c>
      <c r="P1414" t="str">
        <f t="shared" si="290"/>
        <v>Low</v>
      </c>
      <c r="Q1414" t="str">
        <f t="shared" si="291"/>
        <v>Advanced</v>
      </c>
      <c r="R1414" t="str">
        <f t="shared" si="292"/>
        <v>Strong</v>
      </c>
      <c r="S1414" t="str">
        <f t="shared" si="293"/>
        <v>Not Hired</v>
      </c>
      <c r="T1414">
        <f t="shared" si="294"/>
        <v>70</v>
      </c>
      <c r="U1414" t="str">
        <f t="shared" si="295"/>
        <v>Developing</v>
      </c>
      <c r="V1414" t="str">
        <f t="shared" si="296"/>
        <v>Technical Skills</v>
      </c>
      <c r="W1414" t="str">
        <f t="shared" si="297"/>
        <v>Interview Preparation</v>
      </c>
      <c r="X1414" t="str">
        <f t="shared" si="298"/>
        <v>Improve interview preparation and communication</v>
      </c>
    </row>
    <row r="1415" spans="1:24" x14ac:dyDescent="0.3">
      <c r="A1415">
        <v>46</v>
      </c>
      <c r="B1415">
        <v>0</v>
      </c>
      <c r="C1415">
        <v>2</v>
      </c>
      <c r="D1415">
        <v>1</v>
      </c>
      <c r="E1415">
        <v>5</v>
      </c>
      <c r="F1415">
        <v>2.1795983890397901</v>
      </c>
      <c r="G1415">
        <v>37</v>
      </c>
      <c r="H1415">
        <v>41</v>
      </c>
      <c r="I1415">
        <v>10</v>
      </c>
      <c r="J1415">
        <v>1</v>
      </c>
      <c r="K1415">
        <v>0</v>
      </c>
      <c r="L1415" t="str">
        <f t="shared" si="286"/>
        <v>C1414</v>
      </c>
      <c r="M1415" t="str">
        <f t="shared" si="287"/>
        <v>Male</v>
      </c>
      <c r="N1415" t="str">
        <f t="shared" si="288"/>
        <v>Bachelor's Type 2</v>
      </c>
      <c r="O1415" t="str">
        <f t="shared" si="289"/>
        <v>Entry Level</v>
      </c>
      <c r="P1415" t="str">
        <f t="shared" si="290"/>
        <v>Low</v>
      </c>
      <c r="Q1415" t="str">
        <f t="shared" si="291"/>
        <v>Beginner</v>
      </c>
      <c r="R1415" t="str">
        <f t="shared" si="292"/>
        <v>Needs Improvement</v>
      </c>
      <c r="S1415" t="str">
        <f t="shared" si="293"/>
        <v>Not Hired</v>
      </c>
      <c r="T1415">
        <f t="shared" si="294"/>
        <v>29</v>
      </c>
      <c r="U1415" t="str">
        <f t="shared" si="295"/>
        <v>Needs Improvement</v>
      </c>
      <c r="V1415" t="str">
        <f t="shared" si="296"/>
        <v>Technical Skills</v>
      </c>
      <c r="W1415" t="str">
        <f t="shared" si="297"/>
        <v>Personality &amp; Communication</v>
      </c>
      <c r="X1415" t="str">
        <f t="shared" si="298"/>
        <v>Work on communication and personality development</v>
      </c>
    </row>
    <row r="1416" spans="1:24" x14ac:dyDescent="0.3">
      <c r="A1416">
        <v>33</v>
      </c>
      <c r="B1416">
        <v>0</v>
      </c>
      <c r="C1416">
        <v>2</v>
      </c>
      <c r="D1416">
        <v>2</v>
      </c>
      <c r="E1416">
        <v>3</v>
      </c>
      <c r="F1416">
        <v>21.686644879016399</v>
      </c>
      <c r="G1416">
        <v>84</v>
      </c>
      <c r="H1416">
        <v>81</v>
      </c>
      <c r="I1416">
        <v>47</v>
      </c>
      <c r="J1416">
        <v>2</v>
      </c>
      <c r="K1416">
        <v>0</v>
      </c>
      <c r="L1416" t="str">
        <f t="shared" si="286"/>
        <v>C1415</v>
      </c>
      <c r="M1416" t="str">
        <f t="shared" si="287"/>
        <v>Male</v>
      </c>
      <c r="N1416" t="str">
        <f t="shared" si="288"/>
        <v>Bachelor's Type 2</v>
      </c>
      <c r="O1416" t="str">
        <f t="shared" si="289"/>
        <v>Entry Level</v>
      </c>
      <c r="P1416" t="str">
        <f t="shared" si="290"/>
        <v>Strong</v>
      </c>
      <c r="Q1416" t="str">
        <f t="shared" si="291"/>
        <v>Advanced</v>
      </c>
      <c r="R1416" t="str">
        <f t="shared" si="292"/>
        <v>Needs Improvement</v>
      </c>
      <c r="S1416" t="str">
        <f t="shared" si="293"/>
        <v>Not Hired</v>
      </c>
      <c r="T1416">
        <f t="shared" si="294"/>
        <v>63</v>
      </c>
      <c r="U1416" t="str">
        <f t="shared" si="295"/>
        <v>Developing</v>
      </c>
      <c r="V1416" t="str">
        <f t="shared" si="296"/>
        <v>Interview</v>
      </c>
      <c r="W1416" t="str">
        <f t="shared" si="297"/>
        <v>Personality &amp; Communication</v>
      </c>
      <c r="X1416" t="str">
        <f t="shared" si="298"/>
        <v>Work on communication and personality development</v>
      </c>
    </row>
    <row r="1417" spans="1:24" x14ac:dyDescent="0.3">
      <c r="A1417">
        <v>45</v>
      </c>
      <c r="B1417">
        <v>0</v>
      </c>
      <c r="C1417">
        <v>4</v>
      </c>
      <c r="D1417">
        <v>9</v>
      </c>
      <c r="E1417">
        <v>2</v>
      </c>
      <c r="F1417">
        <v>15.962420963008</v>
      </c>
      <c r="G1417">
        <v>60</v>
      </c>
      <c r="H1417">
        <v>25</v>
      </c>
      <c r="I1417">
        <v>4</v>
      </c>
      <c r="J1417">
        <v>3</v>
      </c>
      <c r="K1417">
        <v>1</v>
      </c>
      <c r="L1417" t="str">
        <f t="shared" si="286"/>
        <v>C1416</v>
      </c>
      <c r="M1417" t="str">
        <f t="shared" si="287"/>
        <v>Male</v>
      </c>
      <c r="N1417" t="str">
        <f t="shared" si="288"/>
        <v>PhD</v>
      </c>
      <c r="O1417" t="str">
        <f t="shared" si="289"/>
        <v>Senior Level</v>
      </c>
      <c r="P1417" t="str">
        <f t="shared" si="290"/>
        <v>Average</v>
      </c>
      <c r="Q1417" t="str">
        <f t="shared" si="291"/>
        <v>Beginner</v>
      </c>
      <c r="R1417" t="str">
        <f t="shared" si="292"/>
        <v>Needs Improvement</v>
      </c>
      <c r="S1417" t="str">
        <f t="shared" si="293"/>
        <v>Hired</v>
      </c>
      <c r="T1417">
        <f t="shared" si="294"/>
        <v>40</v>
      </c>
      <c r="U1417" t="str">
        <f t="shared" si="295"/>
        <v>Needs Improvement</v>
      </c>
      <c r="V1417" t="str">
        <f t="shared" si="296"/>
        <v>Interview</v>
      </c>
      <c r="W1417" t="str">
        <f t="shared" si="297"/>
        <v>Personality &amp; Communication</v>
      </c>
      <c r="X1417" t="str">
        <f t="shared" si="298"/>
        <v>Work on communication and personality development</v>
      </c>
    </row>
    <row r="1418" spans="1:24" x14ac:dyDescent="0.3">
      <c r="A1418">
        <v>49</v>
      </c>
      <c r="B1418">
        <v>0</v>
      </c>
      <c r="C1418">
        <v>2</v>
      </c>
      <c r="D1418">
        <v>7</v>
      </c>
      <c r="E1418">
        <v>4</v>
      </c>
      <c r="F1418">
        <v>38.405283394374401</v>
      </c>
      <c r="G1418">
        <v>8</v>
      </c>
      <c r="H1418">
        <v>12</v>
      </c>
      <c r="I1418">
        <v>68</v>
      </c>
      <c r="J1418">
        <v>2</v>
      </c>
      <c r="K1418">
        <v>1</v>
      </c>
      <c r="L1418" t="str">
        <f t="shared" si="286"/>
        <v>C1417</v>
      </c>
      <c r="M1418" t="str">
        <f t="shared" si="287"/>
        <v>Male</v>
      </c>
      <c r="N1418" t="str">
        <f t="shared" si="288"/>
        <v>Bachelor's Type 2</v>
      </c>
      <c r="O1418" t="str">
        <f t="shared" si="289"/>
        <v>Senior Level</v>
      </c>
      <c r="P1418" t="str">
        <f t="shared" si="290"/>
        <v>Low</v>
      </c>
      <c r="Q1418" t="str">
        <f t="shared" si="291"/>
        <v>Beginner</v>
      </c>
      <c r="R1418" t="str">
        <f t="shared" si="292"/>
        <v>Good</v>
      </c>
      <c r="S1418" t="str">
        <f t="shared" si="293"/>
        <v>Hired</v>
      </c>
      <c r="T1418">
        <f t="shared" si="294"/>
        <v>29</v>
      </c>
      <c r="U1418" t="str">
        <f t="shared" si="295"/>
        <v>Needs Improvement</v>
      </c>
      <c r="V1418" t="str">
        <f t="shared" si="296"/>
        <v>Personality</v>
      </c>
      <c r="W1418" t="str">
        <f t="shared" si="297"/>
        <v>Interview Preparation</v>
      </c>
      <c r="X1418" t="str">
        <f t="shared" si="298"/>
        <v>Improve interview preparation and communication</v>
      </c>
    </row>
    <row r="1419" spans="1:24" x14ac:dyDescent="0.3">
      <c r="A1419">
        <v>23</v>
      </c>
      <c r="B1419">
        <v>1</v>
      </c>
      <c r="C1419">
        <v>1</v>
      </c>
      <c r="D1419">
        <v>13</v>
      </c>
      <c r="E1419">
        <v>2</v>
      </c>
      <c r="F1419">
        <v>11.413883757677199</v>
      </c>
      <c r="G1419">
        <v>76</v>
      </c>
      <c r="H1419">
        <v>57</v>
      </c>
      <c r="I1419">
        <v>63</v>
      </c>
      <c r="J1419">
        <v>2</v>
      </c>
      <c r="K1419">
        <v>0</v>
      </c>
      <c r="L1419" t="str">
        <f t="shared" si="286"/>
        <v>C1418</v>
      </c>
      <c r="M1419" t="str">
        <f t="shared" si="287"/>
        <v>Female</v>
      </c>
      <c r="N1419" t="str">
        <f t="shared" si="288"/>
        <v>Bachelor's Type 1</v>
      </c>
      <c r="O1419" t="str">
        <f t="shared" si="289"/>
        <v>Senior Level</v>
      </c>
      <c r="P1419" t="str">
        <f t="shared" si="290"/>
        <v>Strong</v>
      </c>
      <c r="Q1419" t="str">
        <f t="shared" si="291"/>
        <v>Intermediate</v>
      </c>
      <c r="R1419" t="str">
        <f t="shared" si="292"/>
        <v>Good</v>
      </c>
      <c r="S1419" t="str">
        <f t="shared" si="293"/>
        <v>Not Hired</v>
      </c>
      <c r="T1419">
        <f t="shared" si="294"/>
        <v>68</v>
      </c>
      <c r="U1419" t="str">
        <f t="shared" si="295"/>
        <v>Developing</v>
      </c>
      <c r="V1419" t="str">
        <f t="shared" si="296"/>
        <v>Interview</v>
      </c>
      <c r="W1419" t="str">
        <f t="shared" si="297"/>
        <v>Technical Skills</v>
      </c>
      <c r="X1419" t="str">
        <f t="shared" si="298"/>
        <v>Strengthen technical skills and practical knowledge</v>
      </c>
    </row>
    <row r="1420" spans="1:24" x14ac:dyDescent="0.3">
      <c r="A1420">
        <v>44</v>
      </c>
      <c r="B1420">
        <v>1</v>
      </c>
      <c r="C1420">
        <v>2</v>
      </c>
      <c r="D1420">
        <v>5</v>
      </c>
      <c r="E1420">
        <v>1</v>
      </c>
      <c r="F1420">
        <v>11.261004364703499</v>
      </c>
      <c r="G1420">
        <v>74</v>
      </c>
      <c r="H1420">
        <v>17</v>
      </c>
      <c r="I1420">
        <v>13</v>
      </c>
      <c r="J1420">
        <v>1</v>
      </c>
      <c r="K1420">
        <v>0</v>
      </c>
      <c r="L1420" t="str">
        <f t="shared" si="286"/>
        <v>C1419</v>
      </c>
      <c r="M1420" t="str">
        <f t="shared" si="287"/>
        <v>Female</v>
      </c>
      <c r="N1420" t="str">
        <f t="shared" si="288"/>
        <v>Bachelor's Type 2</v>
      </c>
      <c r="O1420" t="str">
        <f t="shared" si="289"/>
        <v>Mid Level</v>
      </c>
      <c r="P1420" t="str">
        <f t="shared" si="290"/>
        <v>Average</v>
      </c>
      <c r="Q1420" t="str">
        <f t="shared" si="291"/>
        <v>Beginner</v>
      </c>
      <c r="R1420" t="str">
        <f t="shared" si="292"/>
        <v>Needs Improvement</v>
      </c>
      <c r="S1420" t="str">
        <f t="shared" si="293"/>
        <v>Not Hired</v>
      </c>
      <c r="T1420">
        <f t="shared" si="294"/>
        <v>37</v>
      </c>
      <c r="U1420" t="str">
        <f t="shared" si="295"/>
        <v>Needs Improvement</v>
      </c>
      <c r="V1420" t="str">
        <f t="shared" si="296"/>
        <v>Interview</v>
      </c>
      <c r="W1420" t="str">
        <f t="shared" si="297"/>
        <v>Personality &amp; Communication</v>
      </c>
      <c r="X1420" t="str">
        <f t="shared" si="298"/>
        <v>Work on communication and personality development</v>
      </c>
    </row>
    <row r="1421" spans="1:24" x14ac:dyDescent="0.3">
      <c r="A1421">
        <v>32</v>
      </c>
      <c r="B1421">
        <v>0</v>
      </c>
      <c r="C1421">
        <v>3</v>
      </c>
      <c r="D1421">
        <v>9</v>
      </c>
      <c r="E1421">
        <v>2</v>
      </c>
      <c r="F1421">
        <v>10.475952161868801</v>
      </c>
      <c r="G1421">
        <v>60</v>
      </c>
      <c r="H1421">
        <v>66</v>
      </c>
      <c r="I1421">
        <v>49</v>
      </c>
      <c r="J1421">
        <v>2</v>
      </c>
      <c r="K1421">
        <v>1</v>
      </c>
      <c r="L1421" t="str">
        <f t="shared" si="286"/>
        <v>C1420</v>
      </c>
      <c r="M1421" t="str">
        <f t="shared" si="287"/>
        <v>Male</v>
      </c>
      <c r="N1421" t="str">
        <f t="shared" si="288"/>
        <v>Master's</v>
      </c>
      <c r="O1421" t="str">
        <f t="shared" si="289"/>
        <v>Senior Level</v>
      </c>
      <c r="P1421" t="str">
        <f t="shared" si="290"/>
        <v>Average</v>
      </c>
      <c r="Q1421" t="str">
        <f t="shared" si="291"/>
        <v>Intermediate</v>
      </c>
      <c r="R1421" t="str">
        <f t="shared" si="292"/>
        <v>Needs Improvement</v>
      </c>
      <c r="S1421" t="str">
        <f t="shared" si="293"/>
        <v>Hired</v>
      </c>
      <c r="T1421">
        <f t="shared" si="294"/>
        <v>60</v>
      </c>
      <c r="U1421" t="str">
        <f t="shared" si="295"/>
        <v>Developing</v>
      </c>
      <c r="V1421" t="str">
        <f t="shared" si="296"/>
        <v>Technical Skills</v>
      </c>
      <c r="W1421" t="str">
        <f t="shared" si="297"/>
        <v>Personality &amp; Communication</v>
      </c>
      <c r="X1421" t="str">
        <f t="shared" si="298"/>
        <v>Work on communication and personality development</v>
      </c>
    </row>
    <row r="1422" spans="1:24" x14ac:dyDescent="0.3">
      <c r="A1422">
        <v>29</v>
      </c>
      <c r="B1422">
        <v>0</v>
      </c>
      <c r="C1422">
        <v>3</v>
      </c>
      <c r="D1422">
        <v>8</v>
      </c>
      <c r="E1422">
        <v>2</v>
      </c>
      <c r="F1422">
        <v>7.28078065781179</v>
      </c>
      <c r="G1422">
        <v>79</v>
      </c>
      <c r="H1422">
        <v>86</v>
      </c>
      <c r="I1422">
        <v>25</v>
      </c>
      <c r="J1422">
        <v>2</v>
      </c>
      <c r="K1422">
        <v>1</v>
      </c>
      <c r="L1422" t="str">
        <f t="shared" si="286"/>
        <v>C1421</v>
      </c>
      <c r="M1422" t="str">
        <f t="shared" si="287"/>
        <v>Male</v>
      </c>
      <c r="N1422" t="str">
        <f t="shared" si="288"/>
        <v>Master's</v>
      </c>
      <c r="O1422" t="str">
        <f t="shared" si="289"/>
        <v>Senior Level</v>
      </c>
      <c r="P1422" t="str">
        <f t="shared" si="290"/>
        <v>Strong</v>
      </c>
      <c r="Q1422" t="str">
        <f t="shared" si="291"/>
        <v>Advanced</v>
      </c>
      <c r="R1422" t="str">
        <f t="shared" si="292"/>
        <v>Needs Improvement</v>
      </c>
      <c r="S1422" t="str">
        <f t="shared" si="293"/>
        <v>Hired</v>
      </c>
      <c r="T1422">
        <f t="shared" si="294"/>
        <v>66</v>
      </c>
      <c r="U1422" t="str">
        <f t="shared" si="295"/>
        <v>Developing</v>
      </c>
      <c r="V1422" t="str">
        <f t="shared" si="296"/>
        <v>Technical Skills</v>
      </c>
      <c r="W1422" t="str">
        <f t="shared" si="297"/>
        <v>Personality &amp; Communication</v>
      </c>
      <c r="X1422" t="str">
        <f t="shared" si="298"/>
        <v>Work on communication and personality development</v>
      </c>
    </row>
    <row r="1423" spans="1:24" x14ac:dyDescent="0.3">
      <c r="A1423">
        <v>44</v>
      </c>
      <c r="B1423">
        <v>0</v>
      </c>
      <c r="C1423">
        <v>1</v>
      </c>
      <c r="D1423">
        <v>9</v>
      </c>
      <c r="E1423">
        <v>4</v>
      </c>
      <c r="F1423">
        <v>16.5503501835443</v>
      </c>
      <c r="G1423">
        <v>15</v>
      </c>
      <c r="H1423">
        <v>2</v>
      </c>
      <c r="I1423">
        <v>71</v>
      </c>
      <c r="J1423">
        <v>2</v>
      </c>
      <c r="K1423">
        <v>1</v>
      </c>
      <c r="L1423" t="str">
        <f t="shared" si="286"/>
        <v>C1422</v>
      </c>
      <c r="M1423" t="str">
        <f t="shared" si="287"/>
        <v>Male</v>
      </c>
      <c r="N1423" t="str">
        <f t="shared" si="288"/>
        <v>Bachelor's Type 1</v>
      </c>
      <c r="O1423" t="str">
        <f t="shared" si="289"/>
        <v>Senior Level</v>
      </c>
      <c r="P1423" t="str">
        <f t="shared" si="290"/>
        <v>Low</v>
      </c>
      <c r="Q1423" t="str">
        <f t="shared" si="291"/>
        <v>Beginner</v>
      </c>
      <c r="R1423" t="str">
        <f t="shared" si="292"/>
        <v>Good</v>
      </c>
      <c r="S1423" t="str">
        <f t="shared" si="293"/>
        <v>Hired</v>
      </c>
      <c r="T1423">
        <f t="shared" si="294"/>
        <v>31</v>
      </c>
      <c r="U1423" t="str">
        <f t="shared" si="295"/>
        <v>Needs Improvement</v>
      </c>
      <c r="V1423" t="str">
        <f t="shared" si="296"/>
        <v>Personality</v>
      </c>
      <c r="W1423" t="str">
        <f t="shared" si="297"/>
        <v>Technical Skills</v>
      </c>
      <c r="X1423" t="str">
        <f t="shared" si="298"/>
        <v>Strengthen technical skills and practical knowledge</v>
      </c>
    </row>
    <row r="1424" spans="1:24" x14ac:dyDescent="0.3">
      <c r="A1424">
        <v>37</v>
      </c>
      <c r="B1424">
        <v>0</v>
      </c>
      <c r="C1424">
        <v>4</v>
      </c>
      <c r="D1424">
        <v>3</v>
      </c>
      <c r="E1424">
        <v>1</v>
      </c>
      <c r="F1424">
        <v>45.296105722171198</v>
      </c>
      <c r="G1424">
        <v>1</v>
      </c>
      <c r="H1424">
        <v>54</v>
      </c>
      <c r="I1424">
        <v>68</v>
      </c>
      <c r="J1424">
        <v>1</v>
      </c>
      <c r="K1424">
        <v>1</v>
      </c>
      <c r="L1424" t="str">
        <f t="shared" si="286"/>
        <v>C1423</v>
      </c>
      <c r="M1424" t="str">
        <f t="shared" si="287"/>
        <v>Male</v>
      </c>
      <c r="N1424" t="str">
        <f t="shared" si="288"/>
        <v>PhD</v>
      </c>
      <c r="O1424" t="str">
        <f t="shared" si="289"/>
        <v>Mid Level</v>
      </c>
      <c r="P1424" t="str">
        <f t="shared" si="290"/>
        <v>Low</v>
      </c>
      <c r="Q1424" t="str">
        <f t="shared" si="291"/>
        <v>Intermediate</v>
      </c>
      <c r="R1424" t="str">
        <f t="shared" si="292"/>
        <v>Good</v>
      </c>
      <c r="S1424" t="str">
        <f t="shared" si="293"/>
        <v>Hired</v>
      </c>
      <c r="T1424">
        <f t="shared" si="294"/>
        <v>38</v>
      </c>
      <c r="U1424" t="str">
        <f t="shared" si="295"/>
        <v>Needs Improvement</v>
      </c>
      <c r="V1424" t="str">
        <f t="shared" si="296"/>
        <v>Personality</v>
      </c>
      <c r="W1424" t="str">
        <f t="shared" si="297"/>
        <v>Interview Preparation</v>
      </c>
      <c r="X1424" t="str">
        <f t="shared" si="298"/>
        <v>Improve interview preparation and communication</v>
      </c>
    </row>
    <row r="1425" spans="1:24" x14ac:dyDescent="0.3">
      <c r="A1425">
        <v>27</v>
      </c>
      <c r="B1425">
        <v>1</v>
      </c>
      <c r="C1425">
        <v>2</v>
      </c>
      <c r="D1425">
        <v>15</v>
      </c>
      <c r="E1425">
        <v>2</v>
      </c>
      <c r="F1425">
        <v>39.746423615297701</v>
      </c>
      <c r="G1425">
        <v>71</v>
      </c>
      <c r="H1425">
        <v>88</v>
      </c>
      <c r="I1425">
        <v>6</v>
      </c>
      <c r="J1425">
        <v>2</v>
      </c>
      <c r="K1425">
        <v>0</v>
      </c>
      <c r="L1425" t="str">
        <f t="shared" si="286"/>
        <v>C1424</v>
      </c>
      <c r="M1425" t="str">
        <f t="shared" si="287"/>
        <v>Female</v>
      </c>
      <c r="N1425" t="str">
        <f t="shared" si="288"/>
        <v>Bachelor's Type 2</v>
      </c>
      <c r="O1425" t="str">
        <f t="shared" si="289"/>
        <v>Senior Level</v>
      </c>
      <c r="P1425" t="str">
        <f t="shared" si="290"/>
        <v>Average</v>
      </c>
      <c r="Q1425" t="str">
        <f t="shared" si="291"/>
        <v>Advanced</v>
      </c>
      <c r="R1425" t="str">
        <f t="shared" si="292"/>
        <v>Needs Improvement</v>
      </c>
      <c r="S1425" t="str">
        <f t="shared" si="293"/>
        <v>Not Hired</v>
      </c>
      <c r="T1425">
        <f t="shared" si="294"/>
        <v>66</v>
      </c>
      <c r="U1425" t="str">
        <f t="shared" si="295"/>
        <v>Developing</v>
      </c>
      <c r="V1425" t="str">
        <f t="shared" si="296"/>
        <v>Technical Skills</v>
      </c>
      <c r="W1425" t="str">
        <f t="shared" si="297"/>
        <v>Personality &amp; Communication</v>
      </c>
      <c r="X1425" t="str">
        <f t="shared" si="298"/>
        <v>Work on communication and personality development</v>
      </c>
    </row>
    <row r="1426" spans="1:24" x14ac:dyDescent="0.3">
      <c r="A1426">
        <v>27</v>
      </c>
      <c r="B1426">
        <v>0</v>
      </c>
      <c r="C1426">
        <v>1</v>
      </c>
      <c r="D1426">
        <v>7</v>
      </c>
      <c r="E1426">
        <v>5</v>
      </c>
      <c r="F1426">
        <v>37.762560815339597</v>
      </c>
      <c r="G1426">
        <v>42</v>
      </c>
      <c r="H1426">
        <v>90</v>
      </c>
      <c r="I1426">
        <v>15</v>
      </c>
      <c r="J1426">
        <v>1</v>
      </c>
      <c r="K1426">
        <v>1</v>
      </c>
      <c r="L1426" t="str">
        <f t="shared" si="286"/>
        <v>C1425</v>
      </c>
      <c r="M1426" t="str">
        <f t="shared" si="287"/>
        <v>Male</v>
      </c>
      <c r="N1426" t="str">
        <f t="shared" si="288"/>
        <v>Bachelor's Type 1</v>
      </c>
      <c r="O1426" t="str">
        <f t="shared" si="289"/>
        <v>Senior Level</v>
      </c>
      <c r="P1426" t="str">
        <f t="shared" si="290"/>
        <v>Low</v>
      </c>
      <c r="Q1426" t="str">
        <f t="shared" si="291"/>
        <v>Advanced</v>
      </c>
      <c r="R1426" t="str">
        <f t="shared" si="292"/>
        <v>Needs Improvement</v>
      </c>
      <c r="S1426" t="str">
        <f t="shared" si="293"/>
        <v>Hired</v>
      </c>
      <c r="T1426">
        <f t="shared" si="294"/>
        <v>52</v>
      </c>
      <c r="U1426" t="str">
        <f t="shared" si="295"/>
        <v>Developing</v>
      </c>
      <c r="V1426" t="str">
        <f t="shared" si="296"/>
        <v>Technical Skills</v>
      </c>
      <c r="W1426" t="str">
        <f t="shared" si="297"/>
        <v>Personality &amp; Communication</v>
      </c>
      <c r="X1426" t="str">
        <f t="shared" si="298"/>
        <v>Work on communication and personality development</v>
      </c>
    </row>
    <row r="1427" spans="1:24" x14ac:dyDescent="0.3">
      <c r="A1427">
        <v>26</v>
      </c>
      <c r="B1427">
        <v>0</v>
      </c>
      <c r="C1427">
        <v>1</v>
      </c>
      <c r="D1427">
        <v>9</v>
      </c>
      <c r="E1427">
        <v>3</v>
      </c>
      <c r="F1427">
        <v>40.866840282498103</v>
      </c>
      <c r="G1427">
        <v>41</v>
      </c>
      <c r="H1427">
        <v>57</v>
      </c>
      <c r="I1427">
        <v>54</v>
      </c>
      <c r="J1427">
        <v>2</v>
      </c>
      <c r="K1427">
        <v>1</v>
      </c>
      <c r="L1427" t="str">
        <f t="shared" si="286"/>
        <v>C1426</v>
      </c>
      <c r="M1427" t="str">
        <f t="shared" si="287"/>
        <v>Male</v>
      </c>
      <c r="N1427" t="str">
        <f t="shared" si="288"/>
        <v>Bachelor's Type 1</v>
      </c>
      <c r="O1427" t="str">
        <f t="shared" si="289"/>
        <v>Senior Level</v>
      </c>
      <c r="P1427" t="str">
        <f t="shared" si="290"/>
        <v>Low</v>
      </c>
      <c r="Q1427" t="str">
        <f t="shared" si="291"/>
        <v>Intermediate</v>
      </c>
      <c r="R1427" t="str">
        <f t="shared" si="292"/>
        <v>Good</v>
      </c>
      <c r="S1427" t="str">
        <f t="shared" si="293"/>
        <v>Hired</v>
      </c>
      <c r="T1427">
        <f t="shared" si="294"/>
        <v>52</v>
      </c>
      <c r="U1427" t="str">
        <f t="shared" si="295"/>
        <v>Developing</v>
      </c>
      <c r="V1427" t="str">
        <f t="shared" si="296"/>
        <v>Technical Skills</v>
      </c>
      <c r="W1427" t="str">
        <f t="shared" si="297"/>
        <v>Interview Preparation</v>
      </c>
      <c r="X1427" t="str">
        <f t="shared" si="298"/>
        <v>Improve interview preparation and communication</v>
      </c>
    </row>
    <row r="1428" spans="1:24" x14ac:dyDescent="0.3">
      <c r="A1428">
        <v>27</v>
      </c>
      <c r="B1428">
        <v>0</v>
      </c>
      <c r="C1428">
        <v>1</v>
      </c>
      <c r="D1428">
        <v>2</v>
      </c>
      <c r="E1428">
        <v>2</v>
      </c>
      <c r="F1428">
        <v>14.4708944664785</v>
      </c>
      <c r="G1428">
        <v>76</v>
      </c>
      <c r="H1428">
        <v>62</v>
      </c>
      <c r="I1428">
        <v>77</v>
      </c>
      <c r="J1428">
        <v>1</v>
      </c>
      <c r="K1428">
        <v>0</v>
      </c>
      <c r="L1428" t="str">
        <f t="shared" si="286"/>
        <v>C1427</v>
      </c>
      <c r="M1428" t="str">
        <f t="shared" si="287"/>
        <v>Male</v>
      </c>
      <c r="N1428" t="str">
        <f t="shared" si="288"/>
        <v>Bachelor's Type 1</v>
      </c>
      <c r="O1428" t="str">
        <f t="shared" si="289"/>
        <v>Entry Level</v>
      </c>
      <c r="P1428" t="str">
        <f t="shared" si="290"/>
        <v>Strong</v>
      </c>
      <c r="Q1428" t="str">
        <f t="shared" si="291"/>
        <v>Intermediate</v>
      </c>
      <c r="R1428" t="str">
        <f t="shared" si="292"/>
        <v>Strong</v>
      </c>
      <c r="S1428" t="str">
        <f t="shared" si="293"/>
        <v>Not Hired</v>
      </c>
      <c r="T1428">
        <f t="shared" si="294"/>
        <v>61</v>
      </c>
      <c r="U1428" t="str">
        <f t="shared" si="295"/>
        <v>Developing</v>
      </c>
      <c r="V1428" t="str">
        <f t="shared" si="296"/>
        <v>Personality</v>
      </c>
      <c r="W1428" t="str">
        <f t="shared" si="297"/>
        <v>Technical Skills</v>
      </c>
      <c r="X1428" t="str">
        <f t="shared" si="298"/>
        <v>Strengthen technical skills and practical knowledge</v>
      </c>
    </row>
    <row r="1429" spans="1:24" x14ac:dyDescent="0.3">
      <c r="A1429">
        <v>33</v>
      </c>
      <c r="B1429">
        <v>0</v>
      </c>
      <c r="C1429">
        <v>3</v>
      </c>
      <c r="D1429">
        <v>2</v>
      </c>
      <c r="E1429">
        <v>1</v>
      </c>
      <c r="F1429">
        <v>45.372084537624303</v>
      </c>
      <c r="G1429">
        <v>56</v>
      </c>
      <c r="H1429">
        <v>90</v>
      </c>
      <c r="I1429">
        <v>100</v>
      </c>
      <c r="J1429">
        <v>3</v>
      </c>
      <c r="K1429">
        <v>0</v>
      </c>
      <c r="L1429" t="str">
        <f t="shared" si="286"/>
        <v>C1428</v>
      </c>
      <c r="M1429" t="str">
        <f t="shared" si="287"/>
        <v>Male</v>
      </c>
      <c r="N1429" t="str">
        <f t="shared" si="288"/>
        <v>Master's</v>
      </c>
      <c r="O1429" t="str">
        <f t="shared" si="289"/>
        <v>Entry Level</v>
      </c>
      <c r="P1429" t="str">
        <f t="shared" si="290"/>
        <v>Average</v>
      </c>
      <c r="Q1429" t="str">
        <f t="shared" si="291"/>
        <v>Advanced</v>
      </c>
      <c r="R1429" t="str">
        <f t="shared" si="292"/>
        <v>Strong</v>
      </c>
      <c r="S1429" t="str">
        <f t="shared" si="293"/>
        <v>Not Hired</v>
      </c>
      <c r="T1429">
        <f t="shared" si="294"/>
        <v>70</v>
      </c>
      <c r="U1429" t="str">
        <f t="shared" si="295"/>
        <v>Developing</v>
      </c>
      <c r="V1429" t="str">
        <f t="shared" si="296"/>
        <v>Personality</v>
      </c>
      <c r="W1429" t="str">
        <f t="shared" si="297"/>
        <v>Interview Preparation</v>
      </c>
      <c r="X1429" t="str">
        <f t="shared" si="298"/>
        <v>Improve interview preparation and communication</v>
      </c>
    </row>
    <row r="1430" spans="1:24" x14ac:dyDescent="0.3">
      <c r="A1430">
        <v>38</v>
      </c>
      <c r="B1430">
        <v>1</v>
      </c>
      <c r="C1430">
        <v>1</v>
      </c>
      <c r="D1430">
        <v>7</v>
      </c>
      <c r="E1430">
        <v>2</v>
      </c>
      <c r="F1430">
        <v>7.8651687570802196</v>
      </c>
      <c r="G1430">
        <v>80</v>
      </c>
      <c r="H1430">
        <v>51</v>
      </c>
      <c r="I1430">
        <v>55</v>
      </c>
      <c r="J1430">
        <v>1</v>
      </c>
      <c r="K1430">
        <v>0</v>
      </c>
      <c r="L1430" t="str">
        <f t="shared" si="286"/>
        <v>C1429</v>
      </c>
      <c r="M1430" t="str">
        <f t="shared" si="287"/>
        <v>Female</v>
      </c>
      <c r="N1430" t="str">
        <f t="shared" si="288"/>
        <v>Bachelor's Type 1</v>
      </c>
      <c r="O1430" t="str">
        <f t="shared" si="289"/>
        <v>Senior Level</v>
      </c>
      <c r="P1430" t="str">
        <f t="shared" si="290"/>
        <v>Strong</v>
      </c>
      <c r="Q1430" t="str">
        <f t="shared" si="291"/>
        <v>Intermediate</v>
      </c>
      <c r="R1430" t="str">
        <f t="shared" si="292"/>
        <v>Good</v>
      </c>
      <c r="S1430" t="str">
        <f t="shared" si="293"/>
        <v>Not Hired</v>
      </c>
      <c r="T1430">
        <f t="shared" si="294"/>
        <v>60</v>
      </c>
      <c r="U1430" t="str">
        <f t="shared" si="295"/>
        <v>Developing</v>
      </c>
      <c r="V1430" t="str">
        <f t="shared" si="296"/>
        <v>Interview</v>
      </c>
      <c r="W1430" t="str">
        <f t="shared" si="297"/>
        <v>Technical Skills</v>
      </c>
      <c r="X1430" t="str">
        <f t="shared" si="298"/>
        <v>Strengthen technical skills and practical knowledge</v>
      </c>
    </row>
    <row r="1431" spans="1:24" x14ac:dyDescent="0.3">
      <c r="A1431">
        <v>48</v>
      </c>
      <c r="B1431">
        <v>0</v>
      </c>
      <c r="C1431">
        <v>1</v>
      </c>
      <c r="D1431">
        <v>4</v>
      </c>
      <c r="E1431">
        <v>3</v>
      </c>
      <c r="F1431">
        <v>17.817286335778999</v>
      </c>
      <c r="G1431">
        <v>87</v>
      </c>
      <c r="H1431">
        <v>88</v>
      </c>
      <c r="I1431">
        <v>3</v>
      </c>
      <c r="J1431">
        <v>2</v>
      </c>
      <c r="K1431">
        <v>1</v>
      </c>
      <c r="L1431" t="str">
        <f t="shared" si="286"/>
        <v>C1430</v>
      </c>
      <c r="M1431" t="str">
        <f t="shared" si="287"/>
        <v>Male</v>
      </c>
      <c r="N1431" t="str">
        <f t="shared" si="288"/>
        <v>Bachelor's Type 1</v>
      </c>
      <c r="O1431" t="str">
        <f t="shared" si="289"/>
        <v>Mid Level</v>
      </c>
      <c r="P1431" t="str">
        <f t="shared" si="290"/>
        <v>Strong</v>
      </c>
      <c r="Q1431" t="str">
        <f t="shared" si="291"/>
        <v>Advanced</v>
      </c>
      <c r="R1431" t="str">
        <f t="shared" si="292"/>
        <v>Needs Improvement</v>
      </c>
      <c r="S1431" t="str">
        <f t="shared" si="293"/>
        <v>Hired</v>
      </c>
      <c r="T1431">
        <f t="shared" si="294"/>
        <v>60</v>
      </c>
      <c r="U1431" t="str">
        <f t="shared" si="295"/>
        <v>Developing</v>
      </c>
      <c r="V1431" t="str">
        <f t="shared" si="296"/>
        <v>Technical Skills</v>
      </c>
      <c r="W1431" t="str">
        <f t="shared" si="297"/>
        <v>Personality &amp; Communication</v>
      </c>
      <c r="X1431" t="str">
        <f t="shared" si="298"/>
        <v>Work on communication and personality development</v>
      </c>
    </row>
    <row r="1432" spans="1:24" x14ac:dyDescent="0.3">
      <c r="A1432">
        <v>25</v>
      </c>
      <c r="B1432">
        <v>0</v>
      </c>
      <c r="C1432">
        <v>3</v>
      </c>
      <c r="D1432">
        <v>2</v>
      </c>
      <c r="E1432">
        <v>1</v>
      </c>
      <c r="F1432">
        <v>30.337405948367099</v>
      </c>
      <c r="G1432">
        <v>66</v>
      </c>
      <c r="H1432">
        <v>23</v>
      </c>
      <c r="I1432">
        <v>99</v>
      </c>
      <c r="J1432">
        <v>1</v>
      </c>
      <c r="K1432">
        <v>1</v>
      </c>
      <c r="L1432" t="str">
        <f t="shared" si="286"/>
        <v>C1431</v>
      </c>
      <c r="M1432" t="str">
        <f t="shared" si="287"/>
        <v>Male</v>
      </c>
      <c r="N1432" t="str">
        <f t="shared" si="288"/>
        <v>Master's</v>
      </c>
      <c r="O1432" t="str">
        <f t="shared" si="289"/>
        <v>Entry Level</v>
      </c>
      <c r="P1432" t="str">
        <f t="shared" si="290"/>
        <v>Average</v>
      </c>
      <c r="Q1432" t="str">
        <f t="shared" si="291"/>
        <v>Beginner</v>
      </c>
      <c r="R1432" t="str">
        <f t="shared" si="292"/>
        <v>Strong</v>
      </c>
      <c r="S1432" t="str">
        <f t="shared" si="293"/>
        <v>Hired</v>
      </c>
      <c r="T1432">
        <f t="shared" si="294"/>
        <v>52</v>
      </c>
      <c r="U1432" t="str">
        <f t="shared" si="295"/>
        <v>Developing</v>
      </c>
      <c r="V1432" t="str">
        <f t="shared" si="296"/>
        <v>Personality</v>
      </c>
      <c r="W1432" t="str">
        <f t="shared" si="297"/>
        <v>Technical Skills</v>
      </c>
      <c r="X1432" t="str">
        <f t="shared" si="298"/>
        <v>Strengthen technical skills and practical knowledge</v>
      </c>
    </row>
    <row r="1433" spans="1:24" x14ac:dyDescent="0.3">
      <c r="A1433">
        <v>20</v>
      </c>
      <c r="B1433">
        <v>1</v>
      </c>
      <c r="C1433">
        <v>2</v>
      </c>
      <c r="D1433">
        <v>9</v>
      </c>
      <c r="E1433">
        <v>4</v>
      </c>
      <c r="F1433">
        <v>6.1452544171000296</v>
      </c>
      <c r="G1433">
        <v>29</v>
      </c>
      <c r="H1433">
        <v>71</v>
      </c>
      <c r="I1433">
        <v>47</v>
      </c>
      <c r="J1433">
        <v>2</v>
      </c>
      <c r="K1433">
        <v>1</v>
      </c>
      <c r="L1433" t="str">
        <f t="shared" si="286"/>
        <v>C1432</v>
      </c>
      <c r="M1433" t="str">
        <f t="shared" si="287"/>
        <v>Female</v>
      </c>
      <c r="N1433" t="str">
        <f t="shared" si="288"/>
        <v>Bachelor's Type 2</v>
      </c>
      <c r="O1433" t="str">
        <f t="shared" si="289"/>
        <v>Senior Level</v>
      </c>
      <c r="P1433" t="str">
        <f t="shared" si="290"/>
        <v>Low</v>
      </c>
      <c r="Q1433" t="str">
        <f t="shared" si="291"/>
        <v>Intermediate</v>
      </c>
      <c r="R1433" t="str">
        <f t="shared" si="292"/>
        <v>Needs Improvement</v>
      </c>
      <c r="S1433" t="str">
        <f t="shared" si="293"/>
        <v>Hired</v>
      </c>
      <c r="T1433">
        <f t="shared" si="294"/>
        <v>51</v>
      </c>
      <c r="U1433" t="str">
        <f t="shared" si="295"/>
        <v>Developing</v>
      </c>
      <c r="V1433" t="str">
        <f t="shared" si="296"/>
        <v>Technical Skills</v>
      </c>
      <c r="W1433" t="str">
        <f t="shared" si="297"/>
        <v>Interview Preparation</v>
      </c>
      <c r="X1433" t="str">
        <f t="shared" si="298"/>
        <v>Improve interview preparation and communication</v>
      </c>
    </row>
    <row r="1434" spans="1:24" x14ac:dyDescent="0.3">
      <c r="A1434">
        <v>42</v>
      </c>
      <c r="B1434">
        <v>1</v>
      </c>
      <c r="C1434">
        <v>1</v>
      </c>
      <c r="D1434">
        <v>10</v>
      </c>
      <c r="E1434">
        <v>1</v>
      </c>
      <c r="F1434">
        <v>37.5065093888212</v>
      </c>
      <c r="G1434">
        <v>12</v>
      </c>
      <c r="H1434">
        <v>8</v>
      </c>
      <c r="I1434">
        <v>16</v>
      </c>
      <c r="J1434">
        <v>2</v>
      </c>
      <c r="K1434">
        <v>1</v>
      </c>
      <c r="L1434" t="str">
        <f t="shared" si="286"/>
        <v>C1433</v>
      </c>
      <c r="M1434" t="str">
        <f t="shared" si="287"/>
        <v>Female</v>
      </c>
      <c r="N1434" t="str">
        <f t="shared" si="288"/>
        <v>Bachelor's Type 1</v>
      </c>
      <c r="O1434" t="str">
        <f t="shared" si="289"/>
        <v>Senior Level</v>
      </c>
      <c r="P1434" t="str">
        <f t="shared" si="290"/>
        <v>Low</v>
      </c>
      <c r="Q1434" t="str">
        <f t="shared" si="291"/>
        <v>Beginner</v>
      </c>
      <c r="R1434" t="str">
        <f t="shared" si="292"/>
        <v>Needs Improvement</v>
      </c>
      <c r="S1434" t="str">
        <f t="shared" si="293"/>
        <v>Hired</v>
      </c>
      <c r="T1434">
        <f t="shared" si="294"/>
        <v>22</v>
      </c>
      <c r="U1434" t="str">
        <f t="shared" si="295"/>
        <v>Needs Improvement</v>
      </c>
      <c r="V1434" t="str">
        <f t="shared" si="296"/>
        <v>Personality</v>
      </c>
      <c r="W1434" t="str">
        <f t="shared" si="297"/>
        <v>Technical Skills</v>
      </c>
      <c r="X1434" t="str">
        <f t="shared" si="298"/>
        <v>Strengthen technical skills and practical knowledge</v>
      </c>
    </row>
    <row r="1435" spans="1:24" x14ac:dyDescent="0.3">
      <c r="A1435">
        <v>50</v>
      </c>
      <c r="B1435">
        <v>1</v>
      </c>
      <c r="C1435">
        <v>1</v>
      </c>
      <c r="D1435">
        <v>15</v>
      </c>
      <c r="E1435">
        <v>4</v>
      </c>
      <c r="F1435">
        <v>20.362302410173701</v>
      </c>
      <c r="G1435">
        <v>18</v>
      </c>
      <c r="H1435">
        <v>36</v>
      </c>
      <c r="I1435">
        <v>35</v>
      </c>
      <c r="J1435">
        <v>2</v>
      </c>
      <c r="K1435">
        <v>0</v>
      </c>
      <c r="L1435" t="str">
        <f t="shared" si="286"/>
        <v>C1434</v>
      </c>
      <c r="M1435" t="str">
        <f t="shared" si="287"/>
        <v>Female</v>
      </c>
      <c r="N1435" t="str">
        <f t="shared" si="288"/>
        <v>Bachelor's Type 1</v>
      </c>
      <c r="O1435" t="str">
        <f t="shared" si="289"/>
        <v>Senior Level</v>
      </c>
      <c r="P1435" t="str">
        <f t="shared" si="290"/>
        <v>Low</v>
      </c>
      <c r="Q1435" t="str">
        <f t="shared" si="291"/>
        <v>Beginner</v>
      </c>
      <c r="R1435" t="str">
        <f t="shared" si="292"/>
        <v>Needs Improvement</v>
      </c>
      <c r="S1435" t="str">
        <f t="shared" si="293"/>
        <v>Not Hired</v>
      </c>
      <c r="T1435">
        <f t="shared" si="294"/>
        <v>41</v>
      </c>
      <c r="U1435" t="str">
        <f t="shared" si="295"/>
        <v>Needs Improvement</v>
      </c>
      <c r="V1435" t="str">
        <f t="shared" si="296"/>
        <v>Technical Skills</v>
      </c>
      <c r="W1435" t="str">
        <f t="shared" si="297"/>
        <v>Interview Preparation</v>
      </c>
      <c r="X1435" t="str">
        <f t="shared" si="298"/>
        <v>Improve interview preparation and communication</v>
      </c>
    </row>
    <row r="1436" spans="1:24" x14ac:dyDescent="0.3">
      <c r="A1436">
        <v>34</v>
      </c>
      <c r="B1436">
        <v>0</v>
      </c>
      <c r="C1436">
        <v>1</v>
      </c>
      <c r="D1436">
        <v>0</v>
      </c>
      <c r="E1436">
        <v>1</v>
      </c>
      <c r="F1436">
        <v>40.220283280419999</v>
      </c>
      <c r="G1436">
        <v>6</v>
      </c>
      <c r="H1436">
        <v>93</v>
      </c>
      <c r="I1436">
        <v>69</v>
      </c>
      <c r="J1436">
        <v>1</v>
      </c>
      <c r="K1436">
        <v>0</v>
      </c>
      <c r="L1436" t="str">
        <f t="shared" si="286"/>
        <v>C1435</v>
      </c>
      <c r="M1436" t="str">
        <f t="shared" si="287"/>
        <v>Male</v>
      </c>
      <c r="N1436" t="str">
        <f t="shared" si="288"/>
        <v>Bachelor's Type 1</v>
      </c>
      <c r="O1436" t="str">
        <f t="shared" si="289"/>
        <v>Entry Level</v>
      </c>
      <c r="P1436" t="str">
        <f t="shared" si="290"/>
        <v>Low</v>
      </c>
      <c r="Q1436" t="str">
        <f t="shared" si="291"/>
        <v>Advanced</v>
      </c>
      <c r="R1436" t="str">
        <f t="shared" si="292"/>
        <v>Good</v>
      </c>
      <c r="S1436" t="str">
        <f t="shared" si="293"/>
        <v>Not Hired</v>
      </c>
      <c r="T1436">
        <f t="shared" si="294"/>
        <v>46</v>
      </c>
      <c r="U1436" t="str">
        <f t="shared" si="295"/>
        <v>Needs Improvement</v>
      </c>
      <c r="V1436" t="str">
        <f t="shared" si="296"/>
        <v>Technical Skills</v>
      </c>
      <c r="W1436" t="str">
        <f t="shared" si="297"/>
        <v>Interview Preparation</v>
      </c>
      <c r="X1436" t="str">
        <f t="shared" si="298"/>
        <v>Improve interview preparation and communication</v>
      </c>
    </row>
    <row r="1437" spans="1:24" x14ac:dyDescent="0.3">
      <c r="A1437">
        <v>20</v>
      </c>
      <c r="B1437">
        <v>0</v>
      </c>
      <c r="C1437">
        <v>2</v>
      </c>
      <c r="D1437">
        <v>14</v>
      </c>
      <c r="E1437">
        <v>3</v>
      </c>
      <c r="F1437">
        <v>25.644814279230101</v>
      </c>
      <c r="G1437">
        <v>8</v>
      </c>
      <c r="H1437">
        <v>82</v>
      </c>
      <c r="I1437">
        <v>79</v>
      </c>
      <c r="J1437">
        <v>2</v>
      </c>
      <c r="K1437">
        <v>1</v>
      </c>
      <c r="L1437" t="str">
        <f t="shared" si="286"/>
        <v>C1436</v>
      </c>
      <c r="M1437" t="str">
        <f t="shared" si="287"/>
        <v>Male</v>
      </c>
      <c r="N1437" t="str">
        <f t="shared" si="288"/>
        <v>Bachelor's Type 2</v>
      </c>
      <c r="O1437" t="str">
        <f t="shared" si="289"/>
        <v>Senior Level</v>
      </c>
      <c r="P1437" t="str">
        <f t="shared" si="290"/>
        <v>Low</v>
      </c>
      <c r="Q1437" t="str">
        <f t="shared" si="291"/>
        <v>Advanced</v>
      </c>
      <c r="R1437" t="str">
        <f t="shared" si="292"/>
        <v>Strong</v>
      </c>
      <c r="S1437" t="str">
        <f t="shared" si="293"/>
        <v>Hired</v>
      </c>
      <c r="T1437">
        <f t="shared" si="294"/>
        <v>59</v>
      </c>
      <c r="U1437" t="str">
        <f t="shared" si="295"/>
        <v>Developing</v>
      </c>
      <c r="V1437" t="str">
        <f t="shared" si="296"/>
        <v>Technical Skills</v>
      </c>
      <c r="W1437" t="str">
        <f t="shared" si="297"/>
        <v>Interview Preparation</v>
      </c>
      <c r="X1437" t="str">
        <f t="shared" si="298"/>
        <v>Improve interview preparation and communication</v>
      </c>
    </row>
    <row r="1438" spans="1:24" x14ac:dyDescent="0.3">
      <c r="A1438">
        <v>44</v>
      </c>
      <c r="B1438">
        <v>1</v>
      </c>
      <c r="C1438">
        <v>2</v>
      </c>
      <c r="D1438">
        <v>2</v>
      </c>
      <c r="E1438">
        <v>3</v>
      </c>
      <c r="F1438">
        <v>10.0437262212668</v>
      </c>
      <c r="G1438">
        <v>82</v>
      </c>
      <c r="H1438">
        <v>52</v>
      </c>
      <c r="I1438">
        <v>92</v>
      </c>
      <c r="J1438">
        <v>1</v>
      </c>
      <c r="K1438">
        <v>1</v>
      </c>
      <c r="L1438" t="str">
        <f t="shared" si="286"/>
        <v>C1437</v>
      </c>
      <c r="M1438" t="str">
        <f t="shared" si="287"/>
        <v>Female</v>
      </c>
      <c r="N1438" t="str">
        <f t="shared" si="288"/>
        <v>Bachelor's Type 2</v>
      </c>
      <c r="O1438" t="str">
        <f t="shared" si="289"/>
        <v>Entry Level</v>
      </c>
      <c r="P1438" t="str">
        <f t="shared" si="290"/>
        <v>Strong</v>
      </c>
      <c r="Q1438" t="str">
        <f t="shared" si="291"/>
        <v>Intermediate</v>
      </c>
      <c r="R1438" t="str">
        <f t="shared" si="292"/>
        <v>Strong</v>
      </c>
      <c r="S1438" t="str">
        <f t="shared" si="293"/>
        <v>Hired</v>
      </c>
      <c r="T1438">
        <f t="shared" si="294"/>
        <v>63</v>
      </c>
      <c r="U1438" t="str">
        <f t="shared" si="295"/>
        <v>Developing</v>
      </c>
      <c r="V1438" t="str">
        <f t="shared" si="296"/>
        <v>Personality</v>
      </c>
      <c r="W1438" t="str">
        <f t="shared" si="297"/>
        <v>Technical Skills</v>
      </c>
      <c r="X1438" t="str">
        <f t="shared" si="298"/>
        <v>Strengthen technical skills and practical knowledge</v>
      </c>
    </row>
    <row r="1439" spans="1:24" x14ac:dyDescent="0.3">
      <c r="A1439">
        <v>36</v>
      </c>
      <c r="B1439">
        <v>1</v>
      </c>
      <c r="C1439">
        <v>1</v>
      </c>
      <c r="D1439">
        <v>11</v>
      </c>
      <c r="E1439">
        <v>1</v>
      </c>
      <c r="F1439">
        <v>37.738090567767202</v>
      </c>
      <c r="G1439">
        <v>53</v>
      </c>
      <c r="H1439">
        <v>79</v>
      </c>
      <c r="I1439">
        <v>99</v>
      </c>
      <c r="J1439">
        <v>1</v>
      </c>
      <c r="K1439">
        <v>1</v>
      </c>
      <c r="L1439" t="str">
        <f t="shared" si="286"/>
        <v>C1438</v>
      </c>
      <c r="M1439" t="str">
        <f t="shared" si="287"/>
        <v>Female</v>
      </c>
      <c r="N1439" t="str">
        <f t="shared" si="288"/>
        <v>Bachelor's Type 1</v>
      </c>
      <c r="O1439" t="str">
        <f t="shared" si="289"/>
        <v>Senior Level</v>
      </c>
      <c r="P1439" t="str">
        <f t="shared" si="290"/>
        <v>Average</v>
      </c>
      <c r="Q1439" t="str">
        <f t="shared" si="291"/>
        <v>Advanced</v>
      </c>
      <c r="R1439" t="str">
        <f t="shared" si="292"/>
        <v>Strong</v>
      </c>
      <c r="S1439" t="str">
        <f t="shared" si="293"/>
        <v>Hired</v>
      </c>
      <c r="T1439">
        <f t="shared" si="294"/>
        <v>73</v>
      </c>
      <c r="U1439" t="str">
        <f t="shared" si="295"/>
        <v>Developing</v>
      </c>
      <c r="V1439" t="str">
        <f t="shared" si="296"/>
        <v>Personality</v>
      </c>
      <c r="W1439" t="str">
        <f t="shared" si="297"/>
        <v>Interview Preparation</v>
      </c>
      <c r="X1439" t="str">
        <f t="shared" si="298"/>
        <v>Improve interview preparation and communication</v>
      </c>
    </row>
    <row r="1440" spans="1:24" x14ac:dyDescent="0.3">
      <c r="A1440">
        <v>20</v>
      </c>
      <c r="B1440">
        <v>1</v>
      </c>
      <c r="C1440">
        <v>1</v>
      </c>
      <c r="D1440">
        <v>8</v>
      </c>
      <c r="E1440">
        <v>2</v>
      </c>
      <c r="F1440">
        <v>13.607197791947099</v>
      </c>
      <c r="G1440">
        <v>85</v>
      </c>
      <c r="H1440">
        <v>23</v>
      </c>
      <c r="I1440">
        <v>37</v>
      </c>
      <c r="J1440">
        <v>2</v>
      </c>
      <c r="K1440">
        <v>0</v>
      </c>
      <c r="L1440" t="str">
        <f t="shared" si="286"/>
        <v>C1439</v>
      </c>
      <c r="M1440" t="str">
        <f t="shared" si="287"/>
        <v>Female</v>
      </c>
      <c r="N1440" t="str">
        <f t="shared" si="288"/>
        <v>Bachelor's Type 1</v>
      </c>
      <c r="O1440" t="str">
        <f t="shared" si="289"/>
        <v>Senior Level</v>
      </c>
      <c r="P1440" t="str">
        <f t="shared" si="290"/>
        <v>Strong</v>
      </c>
      <c r="Q1440" t="str">
        <f t="shared" si="291"/>
        <v>Beginner</v>
      </c>
      <c r="R1440" t="str">
        <f t="shared" si="292"/>
        <v>Needs Improvement</v>
      </c>
      <c r="S1440" t="str">
        <f t="shared" si="293"/>
        <v>Not Hired</v>
      </c>
      <c r="T1440">
        <f t="shared" si="294"/>
        <v>50</v>
      </c>
      <c r="U1440" t="str">
        <f t="shared" si="295"/>
        <v>Developing</v>
      </c>
      <c r="V1440" t="str">
        <f t="shared" si="296"/>
        <v>Interview</v>
      </c>
      <c r="W1440" t="str">
        <f t="shared" si="297"/>
        <v>Technical Skills</v>
      </c>
      <c r="X1440" t="str">
        <f t="shared" si="298"/>
        <v>Strengthen technical skills and practical knowledge</v>
      </c>
    </row>
    <row r="1441" spans="1:24" x14ac:dyDescent="0.3">
      <c r="A1441">
        <v>34</v>
      </c>
      <c r="B1441">
        <v>1</v>
      </c>
      <c r="C1441">
        <v>3</v>
      </c>
      <c r="D1441">
        <v>4</v>
      </c>
      <c r="E1441">
        <v>3</v>
      </c>
      <c r="F1441">
        <v>25.540515063402101</v>
      </c>
      <c r="G1441">
        <v>81</v>
      </c>
      <c r="H1441">
        <v>20</v>
      </c>
      <c r="I1441">
        <v>100</v>
      </c>
      <c r="J1441">
        <v>1</v>
      </c>
      <c r="K1441">
        <v>1</v>
      </c>
      <c r="L1441" t="str">
        <f t="shared" si="286"/>
        <v>C1440</v>
      </c>
      <c r="M1441" t="str">
        <f t="shared" si="287"/>
        <v>Female</v>
      </c>
      <c r="N1441" t="str">
        <f t="shared" si="288"/>
        <v>Master's</v>
      </c>
      <c r="O1441" t="str">
        <f t="shared" si="289"/>
        <v>Mid Level</v>
      </c>
      <c r="P1441" t="str">
        <f t="shared" si="290"/>
        <v>Strong</v>
      </c>
      <c r="Q1441" t="str">
        <f t="shared" si="291"/>
        <v>Beginner</v>
      </c>
      <c r="R1441" t="str">
        <f t="shared" si="292"/>
        <v>Strong</v>
      </c>
      <c r="S1441" t="str">
        <f t="shared" si="293"/>
        <v>Hired</v>
      </c>
      <c r="T1441">
        <f t="shared" si="294"/>
        <v>58</v>
      </c>
      <c r="U1441" t="str">
        <f t="shared" si="295"/>
        <v>Developing</v>
      </c>
      <c r="V1441" t="str">
        <f t="shared" si="296"/>
        <v>Personality</v>
      </c>
      <c r="W1441" t="str">
        <f t="shared" si="297"/>
        <v>Technical Skills</v>
      </c>
      <c r="X1441" t="str">
        <f t="shared" si="298"/>
        <v>Strengthen technical skills and practical knowledge</v>
      </c>
    </row>
    <row r="1442" spans="1:24" x14ac:dyDescent="0.3">
      <c r="A1442">
        <v>42</v>
      </c>
      <c r="B1442">
        <v>1</v>
      </c>
      <c r="C1442">
        <v>2</v>
      </c>
      <c r="D1442">
        <v>11</v>
      </c>
      <c r="E1442">
        <v>4</v>
      </c>
      <c r="F1442">
        <v>4.7766634578453804</v>
      </c>
      <c r="G1442">
        <v>60</v>
      </c>
      <c r="H1442">
        <v>99</v>
      </c>
      <c r="I1442">
        <v>61</v>
      </c>
      <c r="J1442">
        <v>1</v>
      </c>
      <c r="K1442">
        <v>0</v>
      </c>
      <c r="L1442" t="str">
        <f t="shared" si="286"/>
        <v>C1441</v>
      </c>
      <c r="M1442" t="str">
        <f t="shared" si="287"/>
        <v>Female</v>
      </c>
      <c r="N1442" t="str">
        <f t="shared" si="288"/>
        <v>Bachelor's Type 2</v>
      </c>
      <c r="O1442" t="str">
        <f t="shared" si="289"/>
        <v>Senior Level</v>
      </c>
      <c r="P1442" t="str">
        <f t="shared" si="290"/>
        <v>Average</v>
      </c>
      <c r="Q1442" t="str">
        <f t="shared" si="291"/>
        <v>Advanced</v>
      </c>
      <c r="R1442" t="str">
        <f t="shared" si="292"/>
        <v>Good</v>
      </c>
      <c r="S1442" t="str">
        <f t="shared" si="293"/>
        <v>Not Hired</v>
      </c>
      <c r="T1442">
        <f t="shared" si="294"/>
        <v>73</v>
      </c>
      <c r="U1442" t="str">
        <f t="shared" si="295"/>
        <v>Developing</v>
      </c>
      <c r="V1442" t="str">
        <f t="shared" si="296"/>
        <v>Technical Skills</v>
      </c>
      <c r="W1442" t="str">
        <f t="shared" si="297"/>
        <v>Interview Preparation</v>
      </c>
      <c r="X1442" t="str">
        <f t="shared" si="298"/>
        <v>Improve interview preparation and communication</v>
      </c>
    </row>
    <row r="1443" spans="1:24" x14ac:dyDescent="0.3">
      <c r="A1443">
        <v>21</v>
      </c>
      <c r="B1443">
        <v>1</v>
      </c>
      <c r="C1443">
        <v>2</v>
      </c>
      <c r="D1443">
        <v>9</v>
      </c>
      <c r="E1443">
        <v>4</v>
      </c>
      <c r="F1443">
        <v>31.893332720601801</v>
      </c>
      <c r="G1443">
        <v>86</v>
      </c>
      <c r="H1443">
        <v>39</v>
      </c>
      <c r="I1443">
        <v>47</v>
      </c>
      <c r="J1443">
        <v>3</v>
      </c>
      <c r="K1443">
        <v>1</v>
      </c>
      <c r="L1443" t="str">
        <f t="shared" si="286"/>
        <v>C1442</v>
      </c>
      <c r="M1443" t="str">
        <f t="shared" si="287"/>
        <v>Female</v>
      </c>
      <c r="N1443" t="str">
        <f t="shared" si="288"/>
        <v>Bachelor's Type 2</v>
      </c>
      <c r="O1443" t="str">
        <f t="shared" si="289"/>
        <v>Senior Level</v>
      </c>
      <c r="P1443" t="str">
        <f t="shared" si="290"/>
        <v>Strong</v>
      </c>
      <c r="Q1443" t="str">
        <f t="shared" si="291"/>
        <v>Beginner</v>
      </c>
      <c r="R1443" t="str">
        <f t="shared" si="292"/>
        <v>Needs Improvement</v>
      </c>
      <c r="S1443" t="str">
        <f t="shared" si="293"/>
        <v>Hired</v>
      </c>
      <c r="T1443">
        <f t="shared" si="294"/>
        <v>58</v>
      </c>
      <c r="U1443" t="str">
        <f t="shared" si="295"/>
        <v>Developing</v>
      </c>
      <c r="V1443" t="str">
        <f t="shared" si="296"/>
        <v>Interview</v>
      </c>
      <c r="W1443" t="str">
        <f t="shared" si="297"/>
        <v>Technical Skills</v>
      </c>
      <c r="X1443" t="str">
        <f t="shared" si="298"/>
        <v>Strengthen technical skills and practical knowledge</v>
      </c>
    </row>
    <row r="1444" spans="1:24" x14ac:dyDescent="0.3">
      <c r="A1444">
        <v>33</v>
      </c>
      <c r="B1444">
        <v>0</v>
      </c>
      <c r="C1444">
        <v>2</v>
      </c>
      <c r="D1444">
        <v>14</v>
      </c>
      <c r="E1444">
        <v>5</v>
      </c>
      <c r="F1444">
        <v>34.292888310813801</v>
      </c>
      <c r="G1444">
        <v>1</v>
      </c>
      <c r="H1444">
        <v>61</v>
      </c>
      <c r="I1444">
        <v>9</v>
      </c>
      <c r="J1444">
        <v>3</v>
      </c>
      <c r="K1444">
        <v>0</v>
      </c>
      <c r="L1444" t="str">
        <f t="shared" si="286"/>
        <v>C1443</v>
      </c>
      <c r="M1444" t="str">
        <f t="shared" si="287"/>
        <v>Male</v>
      </c>
      <c r="N1444" t="str">
        <f t="shared" si="288"/>
        <v>Bachelor's Type 2</v>
      </c>
      <c r="O1444" t="str">
        <f t="shared" si="289"/>
        <v>Senior Level</v>
      </c>
      <c r="P1444" t="str">
        <f t="shared" si="290"/>
        <v>Low</v>
      </c>
      <c r="Q1444" t="str">
        <f t="shared" si="291"/>
        <v>Intermediate</v>
      </c>
      <c r="R1444" t="str">
        <f t="shared" si="292"/>
        <v>Needs Improvement</v>
      </c>
      <c r="S1444" t="str">
        <f t="shared" si="293"/>
        <v>Not Hired</v>
      </c>
      <c r="T1444">
        <f t="shared" si="294"/>
        <v>37</v>
      </c>
      <c r="U1444" t="str">
        <f t="shared" si="295"/>
        <v>Needs Improvement</v>
      </c>
      <c r="V1444" t="str">
        <f t="shared" si="296"/>
        <v>Technical Skills</v>
      </c>
      <c r="W1444" t="str">
        <f t="shared" si="297"/>
        <v>Interview Preparation</v>
      </c>
      <c r="X1444" t="str">
        <f t="shared" si="298"/>
        <v>Improve interview preparation and communication</v>
      </c>
    </row>
    <row r="1445" spans="1:24" x14ac:dyDescent="0.3">
      <c r="A1445">
        <v>40</v>
      </c>
      <c r="B1445">
        <v>0</v>
      </c>
      <c r="C1445">
        <v>2</v>
      </c>
      <c r="D1445">
        <v>1</v>
      </c>
      <c r="E1445">
        <v>4</v>
      </c>
      <c r="F1445">
        <v>19.933710498639101</v>
      </c>
      <c r="G1445">
        <v>49</v>
      </c>
      <c r="H1445">
        <v>69</v>
      </c>
      <c r="I1445">
        <v>35</v>
      </c>
      <c r="J1445">
        <v>2</v>
      </c>
      <c r="K1445">
        <v>0</v>
      </c>
      <c r="L1445" t="str">
        <f t="shared" si="286"/>
        <v>C1444</v>
      </c>
      <c r="M1445" t="str">
        <f t="shared" si="287"/>
        <v>Male</v>
      </c>
      <c r="N1445" t="str">
        <f t="shared" si="288"/>
        <v>Bachelor's Type 2</v>
      </c>
      <c r="O1445" t="str">
        <f t="shared" si="289"/>
        <v>Entry Level</v>
      </c>
      <c r="P1445" t="str">
        <f t="shared" si="290"/>
        <v>Low</v>
      </c>
      <c r="Q1445" t="str">
        <f t="shared" si="291"/>
        <v>Intermediate</v>
      </c>
      <c r="R1445" t="str">
        <f t="shared" si="292"/>
        <v>Needs Improvement</v>
      </c>
      <c r="S1445" t="str">
        <f t="shared" si="293"/>
        <v>Not Hired</v>
      </c>
      <c r="T1445">
        <f t="shared" si="294"/>
        <v>46</v>
      </c>
      <c r="U1445" t="str">
        <f t="shared" si="295"/>
        <v>Needs Improvement</v>
      </c>
      <c r="V1445" t="str">
        <f t="shared" si="296"/>
        <v>Technical Skills</v>
      </c>
      <c r="W1445" t="str">
        <f t="shared" si="297"/>
        <v>Personality &amp; Communication</v>
      </c>
      <c r="X1445" t="str">
        <f t="shared" si="298"/>
        <v>Work on communication and personality development</v>
      </c>
    </row>
    <row r="1446" spans="1:24" x14ac:dyDescent="0.3">
      <c r="A1446">
        <v>27</v>
      </c>
      <c r="B1446">
        <v>0</v>
      </c>
      <c r="C1446">
        <v>2</v>
      </c>
      <c r="D1446">
        <v>6</v>
      </c>
      <c r="E1446">
        <v>5</v>
      </c>
      <c r="F1446">
        <v>48.721139016053598</v>
      </c>
      <c r="G1446">
        <v>74</v>
      </c>
      <c r="H1446">
        <v>68</v>
      </c>
      <c r="I1446">
        <v>28</v>
      </c>
      <c r="J1446">
        <v>1</v>
      </c>
      <c r="K1446">
        <v>1</v>
      </c>
      <c r="L1446" t="str">
        <f t="shared" si="286"/>
        <v>C1445</v>
      </c>
      <c r="M1446" t="str">
        <f t="shared" si="287"/>
        <v>Male</v>
      </c>
      <c r="N1446" t="str">
        <f t="shared" si="288"/>
        <v>Bachelor's Type 2</v>
      </c>
      <c r="O1446" t="str">
        <f t="shared" si="289"/>
        <v>Mid Level</v>
      </c>
      <c r="P1446" t="str">
        <f t="shared" si="290"/>
        <v>Average</v>
      </c>
      <c r="Q1446" t="str">
        <f t="shared" si="291"/>
        <v>Intermediate</v>
      </c>
      <c r="R1446" t="str">
        <f t="shared" si="292"/>
        <v>Needs Improvement</v>
      </c>
      <c r="S1446" t="str">
        <f t="shared" si="293"/>
        <v>Hired</v>
      </c>
      <c r="T1446">
        <f t="shared" si="294"/>
        <v>57</v>
      </c>
      <c r="U1446" t="str">
        <f t="shared" si="295"/>
        <v>Developing</v>
      </c>
      <c r="V1446" t="str">
        <f t="shared" si="296"/>
        <v>Interview</v>
      </c>
      <c r="W1446" t="str">
        <f t="shared" si="297"/>
        <v>Personality &amp; Communication</v>
      </c>
      <c r="X1446" t="str">
        <f t="shared" si="298"/>
        <v>Work on communication and personality development</v>
      </c>
    </row>
    <row r="1447" spans="1:24" x14ac:dyDescent="0.3">
      <c r="A1447">
        <v>27</v>
      </c>
      <c r="B1447">
        <v>1</v>
      </c>
      <c r="C1447">
        <v>2</v>
      </c>
      <c r="D1447">
        <v>14</v>
      </c>
      <c r="E1447">
        <v>1</v>
      </c>
      <c r="F1447">
        <v>44.708446074103399</v>
      </c>
      <c r="G1447">
        <v>30</v>
      </c>
      <c r="H1447">
        <v>13</v>
      </c>
      <c r="I1447">
        <v>77</v>
      </c>
      <c r="J1447">
        <v>1</v>
      </c>
      <c r="K1447">
        <v>0</v>
      </c>
      <c r="L1447" t="str">
        <f t="shared" si="286"/>
        <v>C1446</v>
      </c>
      <c r="M1447" t="str">
        <f t="shared" si="287"/>
        <v>Female</v>
      </c>
      <c r="N1447" t="str">
        <f t="shared" si="288"/>
        <v>Bachelor's Type 2</v>
      </c>
      <c r="O1447" t="str">
        <f t="shared" si="289"/>
        <v>Senior Level</v>
      </c>
      <c r="P1447" t="str">
        <f t="shared" si="290"/>
        <v>Low</v>
      </c>
      <c r="Q1447" t="str">
        <f t="shared" si="291"/>
        <v>Beginner</v>
      </c>
      <c r="R1447" t="str">
        <f t="shared" si="292"/>
        <v>Strong</v>
      </c>
      <c r="S1447" t="str">
        <f t="shared" si="293"/>
        <v>Not Hired</v>
      </c>
      <c r="T1447">
        <f t="shared" si="294"/>
        <v>45</v>
      </c>
      <c r="U1447" t="str">
        <f t="shared" si="295"/>
        <v>Needs Improvement</v>
      </c>
      <c r="V1447" t="str">
        <f t="shared" si="296"/>
        <v>Personality</v>
      </c>
      <c r="W1447" t="str">
        <f t="shared" si="297"/>
        <v>Technical Skills</v>
      </c>
      <c r="X1447" t="str">
        <f t="shared" si="298"/>
        <v>Strengthen technical skills and practical knowledge</v>
      </c>
    </row>
    <row r="1448" spans="1:24" x14ac:dyDescent="0.3">
      <c r="A1448">
        <v>38</v>
      </c>
      <c r="B1448">
        <v>1</v>
      </c>
      <c r="C1448">
        <v>2</v>
      </c>
      <c r="D1448">
        <v>1</v>
      </c>
      <c r="E1448">
        <v>1</v>
      </c>
      <c r="F1448">
        <v>36.397045786999698</v>
      </c>
      <c r="G1448">
        <v>32</v>
      </c>
      <c r="H1448">
        <v>41</v>
      </c>
      <c r="I1448">
        <v>3</v>
      </c>
      <c r="J1448">
        <v>2</v>
      </c>
      <c r="K1448">
        <v>0</v>
      </c>
      <c r="L1448" t="str">
        <f t="shared" si="286"/>
        <v>C1447</v>
      </c>
      <c r="M1448" t="str">
        <f t="shared" si="287"/>
        <v>Female</v>
      </c>
      <c r="N1448" t="str">
        <f t="shared" si="288"/>
        <v>Bachelor's Type 2</v>
      </c>
      <c r="O1448" t="str">
        <f t="shared" si="289"/>
        <v>Entry Level</v>
      </c>
      <c r="P1448" t="str">
        <f t="shared" si="290"/>
        <v>Low</v>
      </c>
      <c r="Q1448" t="str">
        <f t="shared" si="291"/>
        <v>Beginner</v>
      </c>
      <c r="R1448" t="str">
        <f t="shared" si="292"/>
        <v>Needs Improvement</v>
      </c>
      <c r="S1448" t="str">
        <f t="shared" si="293"/>
        <v>Not Hired</v>
      </c>
      <c r="T1448">
        <f t="shared" si="294"/>
        <v>26</v>
      </c>
      <c r="U1448" t="str">
        <f t="shared" si="295"/>
        <v>Needs Improvement</v>
      </c>
      <c r="V1448" t="str">
        <f t="shared" si="296"/>
        <v>Technical Skills</v>
      </c>
      <c r="W1448" t="str">
        <f t="shared" si="297"/>
        <v>Personality &amp; Communication</v>
      </c>
      <c r="X1448" t="str">
        <f t="shared" si="298"/>
        <v>Work on communication and personality development</v>
      </c>
    </row>
    <row r="1449" spans="1:24" x14ac:dyDescent="0.3">
      <c r="A1449">
        <v>26</v>
      </c>
      <c r="B1449">
        <v>1</v>
      </c>
      <c r="C1449">
        <v>4</v>
      </c>
      <c r="D1449">
        <v>3</v>
      </c>
      <c r="E1449">
        <v>1</v>
      </c>
      <c r="F1449">
        <v>36.682603724687098</v>
      </c>
      <c r="G1449">
        <v>77</v>
      </c>
      <c r="H1449">
        <v>49</v>
      </c>
      <c r="I1449">
        <v>43</v>
      </c>
      <c r="J1449">
        <v>1</v>
      </c>
      <c r="K1449">
        <v>1</v>
      </c>
      <c r="L1449" t="str">
        <f t="shared" si="286"/>
        <v>C1448</v>
      </c>
      <c r="M1449" t="str">
        <f t="shared" si="287"/>
        <v>Female</v>
      </c>
      <c r="N1449" t="str">
        <f t="shared" si="288"/>
        <v>PhD</v>
      </c>
      <c r="O1449" t="str">
        <f t="shared" si="289"/>
        <v>Mid Level</v>
      </c>
      <c r="P1449" t="str">
        <f t="shared" si="290"/>
        <v>Strong</v>
      </c>
      <c r="Q1449" t="str">
        <f t="shared" si="291"/>
        <v>Beginner</v>
      </c>
      <c r="R1449" t="str">
        <f t="shared" si="292"/>
        <v>Needs Improvement</v>
      </c>
      <c r="S1449" t="str">
        <f t="shared" si="293"/>
        <v>Hired</v>
      </c>
      <c r="T1449">
        <f t="shared" si="294"/>
        <v>54</v>
      </c>
      <c r="U1449" t="str">
        <f t="shared" si="295"/>
        <v>Developing</v>
      </c>
      <c r="V1449" t="str">
        <f t="shared" si="296"/>
        <v>Interview</v>
      </c>
      <c r="W1449" t="str">
        <f t="shared" si="297"/>
        <v>Personality &amp; Communication</v>
      </c>
      <c r="X1449" t="str">
        <f t="shared" si="298"/>
        <v>Work on communication and personality development</v>
      </c>
    </row>
    <row r="1450" spans="1:24" x14ac:dyDescent="0.3">
      <c r="A1450">
        <v>38</v>
      </c>
      <c r="B1450">
        <v>1</v>
      </c>
      <c r="C1450">
        <v>1</v>
      </c>
      <c r="D1450">
        <v>11</v>
      </c>
      <c r="E1450">
        <v>2</v>
      </c>
      <c r="F1450">
        <v>13.620085747107501</v>
      </c>
      <c r="G1450">
        <v>79</v>
      </c>
      <c r="H1450">
        <v>60</v>
      </c>
      <c r="I1450">
        <v>55</v>
      </c>
      <c r="J1450">
        <v>3</v>
      </c>
      <c r="K1450">
        <v>0</v>
      </c>
      <c r="L1450" t="str">
        <f t="shared" si="286"/>
        <v>C1449</v>
      </c>
      <c r="M1450" t="str">
        <f t="shared" si="287"/>
        <v>Female</v>
      </c>
      <c r="N1450" t="str">
        <f t="shared" si="288"/>
        <v>Bachelor's Type 1</v>
      </c>
      <c r="O1450" t="str">
        <f t="shared" si="289"/>
        <v>Senior Level</v>
      </c>
      <c r="P1450" t="str">
        <f t="shared" si="290"/>
        <v>Strong</v>
      </c>
      <c r="Q1450" t="str">
        <f t="shared" si="291"/>
        <v>Intermediate</v>
      </c>
      <c r="R1450" t="str">
        <f t="shared" si="292"/>
        <v>Good</v>
      </c>
      <c r="S1450" t="str">
        <f t="shared" si="293"/>
        <v>Not Hired</v>
      </c>
      <c r="T1450">
        <f t="shared" si="294"/>
        <v>66</v>
      </c>
      <c r="U1450" t="str">
        <f t="shared" si="295"/>
        <v>Developing</v>
      </c>
      <c r="V1450" t="str">
        <f t="shared" si="296"/>
        <v>Interview</v>
      </c>
      <c r="W1450" t="str">
        <f t="shared" si="297"/>
        <v>Personality &amp; Communication</v>
      </c>
      <c r="X1450" t="str">
        <f t="shared" si="298"/>
        <v>Work on communication and personality development</v>
      </c>
    </row>
    <row r="1451" spans="1:24" x14ac:dyDescent="0.3">
      <c r="A1451">
        <v>25</v>
      </c>
      <c r="B1451">
        <v>1</v>
      </c>
      <c r="C1451">
        <v>3</v>
      </c>
      <c r="D1451">
        <v>6</v>
      </c>
      <c r="E1451">
        <v>2</v>
      </c>
      <c r="F1451">
        <v>33.8407615544224</v>
      </c>
      <c r="G1451">
        <v>10</v>
      </c>
      <c r="H1451">
        <v>3</v>
      </c>
      <c r="I1451">
        <v>41</v>
      </c>
      <c r="J1451">
        <v>1</v>
      </c>
      <c r="K1451">
        <v>1</v>
      </c>
      <c r="L1451" t="str">
        <f t="shared" si="286"/>
        <v>C1450</v>
      </c>
      <c r="M1451" t="str">
        <f t="shared" si="287"/>
        <v>Female</v>
      </c>
      <c r="N1451" t="str">
        <f t="shared" si="288"/>
        <v>Master's</v>
      </c>
      <c r="O1451" t="str">
        <f t="shared" si="289"/>
        <v>Mid Level</v>
      </c>
      <c r="P1451" t="str">
        <f t="shared" si="290"/>
        <v>Low</v>
      </c>
      <c r="Q1451" t="str">
        <f t="shared" si="291"/>
        <v>Beginner</v>
      </c>
      <c r="R1451" t="str">
        <f t="shared" si="292"/>
        <v>Needs Improvement</v>
      </c>
      <c r="S1451" t="str">
        <f t="shared" si="293"/>
        <v>Hired</v>
      </c>
      <c r="T1451">
        <f t="shared" si="294"/>
        <v>22</v>
      </c>
      <c r="U1451" t="str">
        <f t="shared" si="295"/>
        <v>Needs Improvement</v>
      </c>
      <c r="V1451" t="str">
        <f t="shared" si="296"/>
        <v>Personality</v>
      </c>
      <c r="W1451" t="str">
        <f t="shared" si="297"/>
        <v>Technical Skills</v>
      </c>
      <c r="X1451" t="str">
        <f t="shared" si="298"/>
        <v>Strengthen technical skills and practical knowledge</v>
      </c>
    </row>
    <row r="1452" spans="1:24" x14ac:dyDescent="0.3">
      <c r="A1452">
        <v>25</v>
      </c>
      <c r="B1452">
        <v>1</v>
      </c>
      <c r="C1452">
        <v>1</v>
      </c>
      <c r="D1452">
        <v>3</v>
      </c>
      <c r="E1452">
        <v>5</v>
      </c>
      <c r="F1452">
        <v>10.910313261775901</v>
      </c>
      <c r="G1452">
        <v>32</v>
      </c>
      <c r="H1452">
        <v>71</v>
      </c>
      <c r="I1452">
        <v>99</v>
      </c>
      <c r="J1452">
        <v>3</v>
      </c>
      <c r="K1452">
        <v>0</v>
      </c>
      <c r="L1452" t="str">
        <f t="shared" si="286"/>
        <v>C1451</v>
      </c>
      <c r="M1452" t="str">
        <f t="shared" si="287"/>
        <v>Female</v>
      </c>
      <c r="N1452" t="str">
        <f t="shared" si="288"/>
        <v>Bachelor's Type 1</v>
      </c>
      <c r="O1452" t="str">
        <f t="shared" si="289"/>
        <v>Mid Level</v>
      </c>
      <c r="P1452" t="str">
        <f t="shared" si="290"/>
        <v>Low</v>
      </c>
      <c r="Q1452" t="str">
        <f t="shared" si="291"/>
        <v>Intermediate</v>
      </c>
      <c r="R1452" t="str">
        <f t="shared" si="292"/>
        <v>Strong</v>
      </c>
      <c r="S1452" t="str">
        <f t="shared" si="293"/>
        <v>Not Hired</v>
      </c>
      <c r="T1452">
        <f t="shared" si="294"/>
        <v>56</v>
      </c>
      <c r="U1452" t="str">
        <f t="shared" si="295"/>
        <v>Developing</v>
      </c>
      <c r="V1452" t="str">
        <f t="shared" si="296"/>
        <v>Personality</v>
      </c>
      <c r="W1452" t="str">
        <f t="shared" si="297"/>
        <v>Interview Preparation</v>
      </c>
      <c r="X1452" t="str">
        <f t="shared" si="298"/>
        <v>Improve interview preparation and communication</v>
      </c>
    </row>
    <row r="1453" spans="1:24" x14ac:dyDescent="0.3">
      <c r="A1453">
        <v>22</v>
      </c>
      <c r="B1453">
        <v>0</v>
      </c>
      <c r="C1453">
        <v>3</v>
      </c>
      <c r="D1453">
        <v>6</v>
      </c>
      <c r="E1453">
        <v>4</v>
      </c>
      <c r="F1453">
        <v>8.2001611959911003</v>
      </c>
      <c r="G1453">
        <v>6</v>
      </c>
      <c r="H1453">
        <v>87</v>
      </c>
      <c r="I1453">
        <v>12</v>
      </c>
      <c r="J1453">
        <v>2</v>
      </c>
      <c r="K1453">
        <v>0</v>
      </c>
      <c r="L1453" t="str">
        <f t="shared" si="286"/>
        <v>C1452</v>
      </c>
      <c r="M1453" t="str">
        <f t="shared" si="287"/>
        <v>Male</v>
      </c>
      <c r="N1453" t="str">
        <f t="shared" si="288"/>
        <v>Master's</v>
      </c>
      <c r="O1453" t="str">
        <f t="shared" si="289"/>
        <v>Mid Level</v>
      </c>
      <c r="P1453" t="str">
        <f t="shared" si="290"/>
        <v>Low</v>
      </c>
      <c r="Q1453" t="str">
        <f t="shared" si="291"/>
        <v>Advanced</v>
      </c>
      <c r="R1453" t="str">
        <f t="shared" si="292"/>
        <v>Needs Improvement</v>
      </c>
      <c r="S1453" t="str">
        <f t="shared" si="293"/>
        <v>Not Hired</v>
      </c>
      <c r="T1453">
        <f t="shared" si="294"/>
        <v>40</v>
      </c>
      <c r="U1453" t="str">
        <f t="shared" si="295"/>
        <v>Needs Improvement</v>
      </c>
      <c r="V1453" t="str">
        <f t="shared" si="296"/>
        <v>Technical Skills</v>
      </c>
      <c r="W1453" t="str">
        <f t="shared" si="297"/>
        <v>Interview Preparation</v>
      </c>
      <c r="X1453" t="str">
        <f t="shared" si="298"/>
        <v>Improve interview preparation and communication</v>
      </c>
    </row>
    <row r="1454" spans="1:24" x14ac:dyDescent="0.3">
      <c r="A1454">
        <v>26</v>
      </c>
      <c r="B1454">
        <v>0</v>
      </c>
      <c r="C1454">
        <v>2</v>
      </c>
      <c r="D1454">
        <v>15</v>
      </c>
      <c r="E1454">
        <v>4</v>
      </c>
      <c r="F1454">
        <v>50.973394710129</v>
      </c>
      <c r="G1454">
        <v>30</v>
      </c>
      <c r="H1454">
        <v>74</v>
      </c>
      <c r="I1454">
        <v>45</v>
      </c>
      <c r="J1454">
        <v>2</v>
      </c>
      <c r="K1454">
        <v>0</v>
      </c>
      <c r="L1454" t="str">
        <f t="shared" si="286"/>
        <v>C1453</v>
      </c>
      <c r="M1454" t="str">
        <f t="shared" si="287"/>
        <v>Male</v>
      </c>
      <c r="N1454" t="str">
        <f t="shared" si="288"/>
        <v>Bachelor's Type 2</v>
      </c>
      <c r="O1454" t="str">
        <f t="shared" si="289"/>
        <v>Senior Level</v>
      </c>
      <c r="P1454" t="str">
        <f t="shared" si="290"/>
        <v>Low</v>
      </c>
      <c r="Q1454" t="str">
        <f t="shared" si="291"/>
        <v>Intermediate</v>
      </c>
      <c r="R1454" t="str">
        <f t="shared" si="292"/>
        <v>Needs Improvement</v>
      </c>
      <c r="S1454" t="str">
        <f t="shared" si="293"/>
        <v>Not Hired</v>
      </c>
      <c r="T1454">
        <f t="shared" si="294"/>
        <v>58</v>
      </c>
      <c r="U1454" t="str">
        <f t="shared" si="295"/>
        <v>Developing</v>
      </c>
      <c r="V1454" t="str">
        <f t="shared" si="296"/>
        <v>Technical Skills</v>
      </c>
      <c r="W1454" t="str">
        <f t="shared" si="297"/>
        <v>Interview Preparation</v>
      </c>
      <c r="X1454" t="str">
        <f t="shared" si="298"/>
        <v>Improve interview preparation and communication</v>
      </c>
    </row>
    <row r="1455" spans="1:24" x14ac:dyDescent="0.3">
      <c r="A1455">
        <v>38</v>
      </c>
      <c r="B1455">
        <v>1</v>
      </c>
      <c r="C1455">
        <v>3</v>
      </c>
      <c r="D1455">
        <v>6</v>
      </c>
      <c r="E1455">
        <v>1</v>
      </c>
      <c r="F1455">
        <v>32.118796573658699</v>
      </c>
      <c r="G1455">
        <v>47</v>
      </c>
      <c r="H1455">
        <v>16</v>
      </c>
      <c r="I1455">
        <v>81</v>
      </c>
      <c r="J1455">
        <v>1</v>
      </c>
      <c r="K1455">
        <v>0</v>
      </c>
      <c r="L1455" t="str">
        <f t="shared" si="286"/>
        <v>C1454</v>
      </c>
      <c r="M1455" t="str">
        <f t="shared" si="287"/>
        <v>Female</v>
      </c>
      <c r="N1455" t="str">
        <f t="shared" si="288"/>
        <v>Master's</v>
      </c>
      <c r="O1455" t="str">
        <f t="shared" si="289"/>
        <v>Mid Level</v>
      </c>
      <c r="P1455" t="str">
        <f t="shared" si="290"/>
        <v>Low</v>
      </c>
      <c r="Q1455" t="str">
        <f t="shared" si="291"/>
        <v>Beginner</v>
      </c>
      <c r="R1455" t="str">
        <f t="shared" si="292"/>
        <v>Strong</v>
      </c>
      <c r="S1455" t="str">
        <f t="shared" si="293"/>
        <v>Not Hired</v>
      </c>
      <c r="T1455">
        <f t="shared" si="294"/>
        <v>45</v>
      </c>
      <c r="U1455" t="str">
        <f t="shared" si="295"/>
        <v>Needs Improvement</v>
      </c>
      <c r="V1455" t="str">
        <f t="shared" si="296"/>
        <v>Personality</v>
      </c>
      <c r="W1455" t="str">
        <f t="shared" si="297"/>
        <v>Technical Skills</v>
      </c>
      <c r="X1455" t="str">
        <f t="shared" si="298"/>
        <v>Strengthen technical skills and practical knowledge</v>
      </c>
    </row>
    <row r="1456" spans="1:24" x14ac:dyDescent="0.3">
      <c r="A1456">
        <v>27</v>
      </c>
      <c r="B1456">
        <v>0</v>
      </c>
      <c r="C1456">
        <v>1</v>
      </c>
      <c r="D1456">
        <v>15</v>
      </c>
      <c r="E1456">
        <v>3</v>
      </c>
      <c r="F1456">
        <v>22.549393632859498</v>
      </c>
      <c r="G1456">
        <v>46</v>
      </c>
      <c r="H1456">
        <v>84</v>
      </c>
      <c r="I1456">
        <v>32</v>
      </c>
      <c r="J1456">
        <v>3</v>
      </c>
      <c r="K1456">
        <v>1</v>
      </c>
      <c r="L1456" t="str">
        <f t="shared" si="286"/>
        <v>C1455</v>
      </c>
      <c r="M1456" t="str">
        <f t="shared" si="287"/>
        <v>Male</v>
      </c>
      <c r="N1456" t="str">
        <f t="shared" si="288"/>
        <v>Bachelor's Type 1</v>
      </c>
      <c r="O1456" t="str">
        <f t="shared" si="289"/>
        <v>Senior Level</v>
      </c>
      <c r="P1456" t="str">
        <f t="shared" si="290"/>
        <v>Low</v>
      </c>
      <c r="Q1456" t="str">
        <f t="shared" si="291"/>
        <v>Advanced</v>
      </c>
      <c r="R1456" t="str">
        <f t="shared" si="292"/>
        <v>Needs Improvement</v>
      </c>
      <c r="S1456" t="str">
        <f t="shared" si="293"/>
        <v>Hired</v>
      </c>
      <c r="T1456">
        <f t="shared" si="294"/>
        <v>63</v>
      </c>
      <c r="U1456" t="str">
        <f t="shared" si="295"/>
        <v>Developing</v>
      </c>
      <c r="V1456" t="str">
        <f t="shared" si="296"/>
        <v>Technical Skills</v>
      </c>
      <c r="W1456" t="str">
        <f t="shared" si="297"/>
        <v>Personality &amp; Communication</v>
      </c>
      <c r="X1456" t="str">
        <f t="shared" si="298"/>
        <v>Work on communication and personality development</v>
      </c>
    </row>
    <row r="1457" spans="1:24" x14ac:dyDescent="0.3">
      <c r="A1457">
        <v>29</v>
      </c>
      <c r="B1457">
        <v>1</v>
      </c>
      <c r="C1457">
        <v>2</v>
      </c>
      <c r="D1457">
        <v>0</v>
      </c>
      <c r="E1457">
        <v>2</v>
      </c>
      <c r="F1457">
        <v>15.408226144197499</v>
      </c>
      <c r="G1457">
        <v>77</v>
      </c>
      <c r="H1457">
        <v>56</v>
      </c>
      <c r="I1457">
        <v>20</v>
      </c>
      <c r="J1457">
        <v>1</v>
      </c>
      <c r="K1457">
        <v>1</v>
      </c>
      <c r="L1457" t="str">
        <f t="shared" si="286"/>
        <v>C1456</v>
      </c>
      <c r="M1457" t="str">
        <f t="shared" si="287"/>
        <v>Female</v>
      </c>
      <c r="N1457" t="str">
        <f t="shared" si="288"/>
        <v>Bachelor's Type 2</v>
      </c>
      <c r="O1457" t="str">
        <f t="shared" si="289"/>
        <v>Entry Level</v>
      </c>
      <c r="P1457" t="str">
        <f t="shared" si="290"/>
        <v>Strong</v>
      </c>
      <c r="Q1457" t="str">
        <f t="shared" si="291"/>
        <v>Intermediate</v>
      </c>
      <c r="R1457" t="str">
        <f t="shared" si="292"/>
        <v>Needs Improvement</v>
      </c>
      <c r="S1457" t="str">
        <f t="shared" si="293"/>
        <v>Hired</v>
      </c>
      <c r="T1457">
        <f t="shared" si="294"/>
        <v>46</v>
      </c>
      <c r="U1457" t="str">
        <f t="shared" si="295"/>
        <v>Needs Improvement</v>
      </c>
      <c r="V1457" t="str">
        <f t="shared" si="296"/>
        <v>Interview</v>
      </c>
      <c r="W1457" t="str">
        <f t="shared" si="297"/>
        <v>Personality &amp; Communication</v>
      </c>
      <c r="X1457" t="str">
        <f t="shared" si="298"/>
        <v>Work on communication and personality development</v>
      </c>
    </row>
    <row r="1458" spans="1:24" x14ac:dyDescent="0.3">
      <c r="A1458">
        <v>39</v>
      </c>
      <c r="B1458">
        <v>0</v>
      </c>
      <c r="C1458">
        <v>2</v>
      </c>
      <c r="D1458">
        <v>5</v>
      </c>
      <c r="E1458">
        <v>2</v>
      </c>
      <c r="F1458">
        <v>31.1960221831113</v>
      </c>
      <c r="G1458">
        <v>91</v>
      </c>
      <c r="H1458">
        <v>89</v>
      </c>
      <c r="I1458">
        <v>79</v>
      </c>
      <c r="J1458">
        <v>2</v>
      </c>
      <c r="K1458">
        <v>1</v>
      </c>
      <c r="L1458" t="str">
        <f t="shared" si="286"/>
        <v>C1457</v>
      </c>
      <c r="M1458" t="str">
        <f t="shared" si="287"/>
        <v>Male</v>
      </c>
      <c r="N1458" t="str">
        <f t="shared" si="288"/>
        <v>Bachelor's Type 2</v>
      </c>
      <c r="O1458" t="str">
        <f t="shared" si="289"/>
        <v>Mid Level</v>
      </c>
      <c r="P1458" t="str">
        <f t="shared" si="290"/>
        <v>Strong</v>
      </c>
      <c r="Q1458" t="str">
        <f t="shared" si="291"/>
        <v>Advanced</v>
      </c>
      <c r="R1458" t="str">
        <f t="shared" si="292"/>
        <v>Strong</v>
      </c>
      <c r="S1458" t="str">
        <f t="shared" si="293"/>
        <v>Hired</v>
      </c>
      <c r="T1458">
        <f t="shared" si="294"/>
        <v>77</v>
      </c>
      <c r="U1458" t="str">
        <f t="shared" si="295"/>
        <v>Job Ready</v>
      </c>
      <c r="V1458" t="str">
        <f t="shared" si="296"/>
        <v>Interview</v>
      </c>
      <c r="W1458" t="str">
        <f t="shared" si="297"/>
        <v>Personality &amp; Communication</v>
      </c>
      <c r="X1458" t="str">
        <f t="shared" si="298"/>
        <v>Work on communication and personality development</v>
      </c>
    </row>
    <row r="1459" spans="1:24" x14ac:dyDescent="0.3">
      <c r="A1459">
        <v>34</v>
      </c>
      <c r="B1459">
        <v>1</v>
      </c>
      <c r="C1459">
        <v>3</v>
      </c>
      <c r="D1459">
        <v>8</v>
      </c>
      <c r="E1459">
        <v>1</v>
      </c>
      <c r="F1459">
        <v>3.4796754110042998</v>
      </c>
      <c r="G1459">
        <v>52</v>
      </c>
      <c r="H1459">
        <v>47</v>
      </c>
      <c r="I1459">
        <v>78</v>
      </c>
      <c r="J1459">
        <v>3</v>
      </c>
      <c r="K1459">
        <v>0</v>
      </c>
      <c r="L1459" t="str">
        <f t="shared" si="286"/>
        <v>C1458</v>
      </c>
      <c r="M1459" t="str">
        <f t="shared" si="287"/>
        <v>Female</v>
      </c>
      <c r="N1459" t="str">
        <f t="shared" si="288"/>
        <v>Master's</v>
      </c>
      <c r="O1459" t="str">
        <f t="shared" si="289"/>
        <v>Senior Level</v>
      </c>
      <c r="P1459" t="str">
        <f t="shared" si="290"/>
        <v>Average</v>
      </c>
      <c r="Q1459" t="str">
        <f t="shared" si="291"/>
        <v>Beginner</v>
      </c>
      <c r="R1459" t="str">
        <f t="shared" si="292"/>
        <v>Strong</v>
      </c>
      <c r="S1459" t="str">
        <f t="shared" si="293"/>
        <v>Not Hired</v>
      </c>
      <c r="T1459">
        <f t="shared" si="294"/>
        <v>57</v>
      </c>
      <c r="U1459" t="str">
        <f t="shared" si="295"/>
        <v>Developing</v>
      </c>
      <c r="V1459" t="str">
        <f t="shared" si="296"/>
        <v>Personality</v>
      </c>
      <c r="W1459" t="str">
        <f t="shared" si="297"/>
        <v>Technical Skills</v>
      </c>
      <c r="X1459" t="str">
        <f t="shared" si="298"/>
        <v>Strengthen technical skills and practical knowledge</v>
      </c>
    </row>
    <row r="1460" spans="1:24" x14ac:dyDescent="0.3">
      <c r="A1460">
        <v>34</v>
      </c>
      <c r="B1460">
        <v>1</v>
      </c>
      <c r="C1460">
        <v>2</v>
      </c>
      <c r="D1460">
        <v>1</v>
      </c>
      <c r="E1460">
        <v>2</v>
      </c>
      <c r="F1460">
        <v>5.7340495252397501</v>
      </c>
      <c r="G1460">
        <v>79</v>
      </c>
      <c r="H1460">
        <v>43</v>
      </c>
      <c r="I1460">
        <v>56</v>
      </c>
      <c r="J1460">
        <v>1</v>
      </c>
      <c r="K1460">
        <v>0</v>
      </c>
      <c r="L1460" t="str">
        <f t="shared" si="286"/>
        <v>C1459</v>
      </c>
      <c r="M1460" t="str">
        <f t="shared" si="287"/>
        <v>Female</v>
      </c>
      <c r="N1460" t="str">
        <f t="shared" si="288"/>
        <v>Bachelor's Type 2</v>
      </c>
      <c r="O1460" t="str">
        <f t="shared" si="289"/>
        <v>Entry Level</v>
      </c>
      <c r="P1460" t="str">
        <f t="shared" si="290"/>
        <v>Strong</v>
      </c>
      <c r="Q1460" t="str">
        <f t="shared" si="291"/>
        <v>Beginner</v>
      </c>
      <c r="R1460" t="str">
        <f t="shared" si="292"/>
        <v>Good</v>
      </c>
      <c r="S1460" t="str">
        <f t="shared" si="293"/>
        <v>Not Hired</v>
      </c>
      <c r="T1460">
        <f t="shared" si="294"/>
        <v>51</v>
      </c>
      <c r="U1460" t="str">
        <f t="shared" si="295"/>
        <v>Developing</v>
      </c>
      <c r="V1460" t="str">
        <f t="shared" si="296"/>
        <v>Interview</v>
      </c>
      <c r="W1460" t="str">
        <f t="shared" si="297"/>
        <v>Technical Skills</v>
      </c>
      <c r="X1460" t="str">
        <f t="shared" si="298"/>
        <v>Strengthen technical skills and practical knowledge</v>
      </c>
    </row>
    <row r="1461" spans="1:24" x14ac:dyDescent="0.3">
      <c r="A1461">
        <v>48</v>
      </c>
      <c r="B1461">
        <v>0</v>
      </c>
      <c r="C1461">
        <v>2</v>
      </c>
      <c r="D1461">
        <v>13</v>
      </c>
      <c r="E1461">
        <v>1</v>
      </c>
      <c r="F1461">
        <v>2.6428348870198102</v>
      </c>
      <c r="G1461">
        <v>18</v>
      </c>
      <c r="H1461">
        <v>44</v>
      </c>
      <c r="I1461">
        <v>68</v>
      </c>
      <c r="J1461">
        <v>2</v>
      </c>
      <c r="K1461">
        <v>1</v>
      </c>
      <c r="L1461" t="str">
        <f t="shared" si="286"/>
        <v>C1460</v>
      </c>
      <c r="M1461" t="str">
        <f t="shared" si="287"/>
        <v>Male</v>
      </c>
      <c r="N1461" t="str">
        <f t="shared" si="288"/>
        <v>Bachelor's Type 2</v>
      </c>
      <c r="O1461" t="str">
        <f t="shared" si="289"/>
        <v>Senior Level</v>
      </c>
      <c r="P1461" t="str">
        <f t="shared" si="290"/>
        <v>Low</v>
      </c>
      <c r="Q1461" t="str">
        <f t="shared" si="291"/>
        <v>Beginner</v>
      </c>
      <c r="R1461" t="str">
        <f t="shared" si="292"/>
        <v>Good</v>
      </c>
      <c r="S1461" t="str">
        <f t="shared" si="293"/>
        <v>Hired</v>
      </c>
      <c r="T1461">
        <f t="shared" si="294"/>
        <v>48</v>
      </c>
      <c r="U1461" t="str">
        <f t="shared" si="295"/>
        <v>Needs Improvement</v>
      </c>
      <c r="V1461" t="str">
        <f t="shared" si="296"/>
        <v>Personality</v>
      </c>
      <c r="W1461" t="str">
        <f t="shared" si="297"/>
        <v>Interview Preparation</v>
      </c>
      <c r="X1461" t="str">
        <f t="shared" si="298"/>
        <v>Improve interview preparation and communication</v>
      </c>
    </row>
    <row r="1462" spans="1:24" x14ac:dyDescent="0.3">
      <c r="A1462">
        <v>20</v>
      </c>
      <c r="B1462">
        <v>0</v>
      </c>
      <c r="C1462">
        <v>2</v>
      </c>
      <c r="D1462">
        <v>2</v>
      </c>
      <c r="E1462">
        <v>5</v>
      </c>
      <c r="F1462">
        <v>25.958491663133</v>
      </c>
      <c r="G1462">
        <v>80</v>
      </c>
      <c r="H1462">
        <v>90</v>
      </c>
      <c r="I1462">
        <v>69</v>
      </c>
      <c r="J1462">
        <v>2</v>
      </c>
      <c r="K1462">
        <v>1</v>
      </c>
      <c r="L1462" t="str">
        <f t="shared" si="286"/>
        <v>C1461</v>
      </c>
      <c r="M1462" t="str">
        <f t="shared" si="287"/>
        <v>Male</v>
      </c>
      <c r="N1462" t="str">
        <f t="shared" si="288"/>
        <v>Bachelor's Type 2</v>
      </c>
      <c r="O1462" t="str">
        <f t="shared" si="289"/>
        <v>Entry Level</v>
      </c>
      <c r="P1462" t="str">
        <f t="shared" si="290"/>
        <v>Strong</v>
      </c>
      <c r="Q1462" t="str">
        <f t="shared" si="291"/>
        <v>Advanced</v>
      </c>
      <c r="R1462" t="str">
        <f t="shared" si="292"/>
        <v>Good</v>
      </c>
      <c r="S1462" t="str">
        <f t="shared" si="293"/>
        <v>Hired</v>
      </c>
      <c r="T1462">
        <f t="shared" si="294"/>
        <v>69</v>
      </c>
      <c r="U1462" t="str">
        <f t="shared" si="295"/>
        <v>Developing</v>
      </c>
      <c r="V1462" t="str">
        <f t="shared" si="296"/>
        <v>Technical Skills</v>
      </c>
      <c r="W1462" t="str">
        <f t="shared" si="297"/>
        <v>Personality &amp; Communication</v>
      </c>
      <c r="X1462" t="str">
        <f t="shared" si="298"/>
        <v>Work on communication and personality development</v>
      </c>
    </row>
    <row r="1463" spans="1:24" x14ac:dyDescent="0.3">
      <c r="A1463">
        <v>39</v>
      </c>
      <c r="B1463">
        <v>1</v>
      </c>
      <c r="C1463">
        <v>2</v>
      </c>
      <c r="D1463">
        <v>9</v>
      </c>
      <c r="E1463">
        <v>4</v>
      </c>
      <c r="F1463">
        <v>31.0303314593591</v>
      </c>
      <c r="G1463">
        <v>89</v>
      </c>
      <c r="H1463">
        <v>79</v>
      </c>
      <c r="I1463">
        <v>66</v>
      </c>
      <c r="J1463">
        <v>2</v>
      </c>
      <c r="K1463">
        <v>1</v>
      </c>
      <c r="L1463" t="str">
        <f t="shared" si="286"/>
        <v>C1462</v>
      </c>
      <c r="M1463" t="str">
        <f t="shared" si="287"/>
        <v>Female</v>
      </c>
      <c r="N1463" t="str">
        <f t="shared" si="288"/>
        <v>Bachelor's Type 2</v>
      </c>
      <c r="O1463" t="str">
        <f t="shared" si="289"/>
        <v>Senior Level</v>
      </c>
      <c r="P1463" t="str">
        <f t="shared" si="290"/>
        <v>Strong</v>
      </c>
      <c r="Q1463" t="str">
        <f t="shared" si="291"/>
        <v>Advanced</v>
      </c>
      <c r="R1463" t="str">
        <f t="shared" si="292"/>
        <v>Good</v>
      </c>
      <c r="S1463" t="str">
        <f t="shared" si="293"/>
        <v>Hired</v>
      </c>
      <c r="T1463">
        <f t="shared" si="294"/>
        <v>75</v>
      </c>
      <c r="U1463" t="str">
        <f t="shared" si="295"/>
        <v>Job Ready</v>
      </c>
      <c r="V1463" t="str">
        <f t="shared" si="296"/>
        <v>Interview</v>
      </c>
      <c r="W1463" t="str">
        <f t="shared" si="297"/>
        <v>Personality &amp; Communication</v>
      </c>
      <c r="X1463" t="str">
        <f t="shared" si="298"/>
        <v>Work on communication and personality development</v>
      </c>
    </row>
    <row r="1464" spans="1:24" x14ac:dyDescent="0.3">
      <c r="A1464">
        <v>49</v>
      </c>
      <c r="B1464">
        <v>1</v>
      </c>
      <c r="C1464">
        <v>2</v>
      </c>
      <c r="D1464">
        <v>4</v>
      </c>
      <c r="E1464">
        <v>3</v>
      </c>
      <c r="F1464">
        <v>4.1239880678910401</v>
      </c>
      <c r="G1464">
        <v>5</v>
      </c>
      <c r="H1464">
        <v>89</v>
      </c>
      <c r="I1464">
        <v>47</v>
      </c>
      <c r="J1464">
        <v>2</v>
      </c>
      <c r="K1464">
        <v>1</v>
      </c>
      <c r="L1464" t="str">
        <f t="shared" si="286"/>
        <v>C1463</v>
      </c>
      <c r="M1464" t="str">
        <f t="shared" si="287"/>
        <v>Female</v>
      </c>
      <c r="N1464" t="str">
        <f t="shared" si="288"/>
        <v>Bachelor's Type 2</v>
      </c>
      <c r="O1464" t="str">
        <f t="shared" si="289"/>
        <v>Mid Level</v>
      </c>
      <c r="P1464" t="str">
        <f t="shared" si="290"/>
        <v>Low</v>
      </c>
      <c r="Q1464" t="str">
        <f t="shared" si="291"/>
        <v>Advanced</v>
      </c>
      <c r="R1464" t="str">
        <f t="shared" si="292"/>
        <v>Needs Improvement</v>
      </c>
      <c r="S1464" t="str">
        <f t="shared" si="293"/>
        <v>Hired</v>
      </c>
      <c r="T1464">
        <f t="shared" si="294"/>
        <v>44</v>
      </c>
      <c r="U1464" t="str">
        <f t="shared" si="295"/>
        <v>Needs Improvement</v>
      </c>
      <c r="V1464" t="str">
        <f t="shared" si="296"/>
        <v>Technical Skills</v>
      </c>
      <c r="W1464" t="str">
        <f t="shared" si="297"/>
        <v>Interview Preparation</v>
      </c>
      <c r="X1464" t="str">
        <f t="shared" si="298"/>
        <v>Improve interview preparation and communication</v>
      </c>
    </row>
    <row r="1465" spans="1:24" x14ac:dyDescent="0.3">
      <c r="A1465">
        <v>26</v>
      </c>
      <c r="B1465">
        <v>0</v>
      </c>
      <c r="C1465">
        <v>1</v>
      </c>
      <c r="D1465">
        <v>8</v>
      </c>
      <c r="E1465">
        <v>4</v>
      </c>
      <c r="F1465">
        <v>37.061223374945797</v>
      </c>
      <c r="G1465">
        <v>48</v>
      </c>
      <c r="H1465">
        <v>32</v>
      </c>
      <c r="I1465">
        <v>75</v>
      </c>
      <c r="J1465">
        <v>2</v>
      </c>
      <c r="K1465">
        <v>0</v>
      </c>
      <c r="L1465" t="str">
        <f t="shared" si="286"/>
        <v>C1464</v>
      </c>
      <c r="M1465" t="str">
        <f t="shared" si="287"/>
        <v>Male</v>
      </c>
      <c r="N1465" t="str">
        <f t="shared" si="288"/>
        <v>Bachelor's Type 1</v>
      </c>
      <c r="O1465" t="str">
        <f t="shared" si="289"/>
        <v>Senior Level</v>
      </c>
      <c r="P1465" t="str">
        <f t="shared" si="290"/>
        <v>Low</v>
      </c>
      <c r="Q1465" t="str">
        <f t="shared" si="291"/>
        <v>Beginner</v>
      </c>
      <c r="R1465" t="str">
        <f t="shared" si="292"/>
        <v>Strong</v>
      </c>
      <c r="S1465" t="str">
        <f t="shared" si="293"/>
        <v>Not Hired</v>
      </c>
      <c r="T1465">
        <f t="shared" si="294"/>
        <v>50</v>
      </c>
      <c r="U1465" t="str">
        <f t="shared" si="295"/>
        <v>Developing</v>
      </c>
      <c r="V1465" t="str">
        <f t="shared" si="296"/>
        <v>Personality</v>
      </c>
      <c r="W1465" t="str">
        <f t="shared" si="297"/>
        <v>Technical Skills</v>
      </c>
      <c r="X1465" t="str">
        <f t="shared" si="298"/>
        <v>Strengthen technical skills and practical knowledge</v>
      </c>
    </row>
    <row r="1466" spans="1:24" x14ac:dyDescent="0.3">
      <c r="A1466">
        <v>46</v>
      </c>
      <c r="B1466">
        <v>0</v>
      </c>
      <c r="C1466">
        <v>4</v>
      </c>
      <c r="D1466">
        <v>3</v>
      </c>
      <c r="E1466">
        <v>4</v>
      </c>
      <c r="F1466">
        <v>12.519753575728201</v>
      </c>
      <c r="G1466">
        <v>72</v>
      </c>
      <c r="H1466">
        <v>30</v>
      </c>
      <c r="I1466">
        <v>99</v>
      </c>
      <c r="J1466">
        <v>2</v>
      </c>
      <c r="K1466">
        <v>1</v>
      </c>
      <c r="L1466" t="str">
        <f t="shared" si="286"/>
        <v>C1465</v>
      </c>
      <c r="M1466" t="str">
        <f t="shared" si="287"/>
        <v>Male</v>
      </c>
      <c r="N1466" t="str">
        <f t="shared" si="288"/>
        <v>PhD</v>
      </c>
      <c r="O1466" t="str">
        <f t="shared" si="289"/>
        <v>Mid Level</v>
      </c>
      <c r="P1466" t="str">
        <f t="shared" si="290"/>
        <v>Average</v>
      </c>
      <c r="Q1466" t="str">
        <f t="shared" si="291"/>
        <v>Beginner</v>
      </c>
      <c r="R1466" t="str">
        <f t="shared" si="292"/>
        <v>Strong</v>
      </c>
      <c r="S1466" t="str">
        <f t="shared" si="293"/>
        <v>Hired</v>
      </c>
      <c r="T1466">
        <f t="shared" si="294"/>
        <v>58</v>
      </c>
      <c r="U1466" t="str">
        <f t="shared" si="295"/>
        <v>Developing</v>
      </c>
      <c r="V1466" t="str">
        <f t="shared" si="296"/>
        <v>Personality</v>
      </c>
      <c r="W1466" t="str">
        <f t="shared" si="297"/>
        <v>Technical Skills</v>
      </c>
      <c r="X1466" t="str">
        <f t="shared" si="298"/>
        <v>Strengthen technical skills and practical knowledge</v>
      </c>
    </row>
    <row r="1467" spans="1:24" x14ac:dyDescent="0.3">
      <c r="A1467">
        <v>23</v>
      </c>
      <c r="B1467">
        <v>1</v>
      </c>
      <c r="C1467">
        <v>3</v>
      </c>
      <c r="D1467">
        <v>0</v>
      </c>
      <c r="E1467">
        <v>5</v>
      </c>
      <c r="F1467">
        <v>35.260072688493302</v>
      </c>
      <c r="G1467">
        <v>49</v>
      </c>
      <c r="H1467">
        <v>46</v>
      </c>
      <c r="I1467">
        <v>32</v>
      </c>
      <c r="J1467">
        <v>2</v>
      </c>
      <c r="K1467">
        <v>0</v>
      </c>
      <c r="L1467" t="str">
        <f t="shared" si="286"/>
        <v>C1466</v>
      </c>
      <c r="M1467" t="str">
        <f t="shared" si="287"/>
        <v>Female</v>
      </c>
      <c r="N1467" t="str">
        <f t="shared" si="288"/>
        <v>Master's</v>
      </c>
      <c r="O1467" t="str">
        <f t="shared" si="289"/>
        <v>Entry Level</v>
      </c>
      <c r="P1467" t="str">
        <f t="shared" si="290"/>
        <v>Low</v>
      </c>
      <c r="Q1467" t="str">
        <f t="shared" si="291"/>
        <v>Beginner</v>
      </c>
      <c r="R1467" t="str">
        <f t="shared" si="292"/>
        <v>Needs Improvement</v>
      </c>
      <c r="S1467" t="str">
        <f t="shared" si="293"/>
        <v>Not Hired</v>
      </c>
      <c r="T1467">
        <f t="shared" si="294"/>
        <v>39</v>
      </c>
      <c r="U1467" t="str">
        <f t="shared" si="295"/>
        <v>Needs Improvement</v>
      </c>
      <c r="V1467" t="str">
        <f t="shared" si="296"/>
        <v>Interview</v>
      </c>
      <c r="W1467" t="str">
        <f t="shared" si="297"/>
        <v>Personality &amp; Communication</v>
      </c>
      <c r="X1467" t="str">
        <f t="shared" si="298"/>
        <v>Work on communication and personality development</v>
      </c>
    </row>
    <row r="1468" spans="1:24" x14ac:dyDescent="0.3">
      <c r="A1468">
        <v>48</v>
      </c>
      <c r="B1468">
        <v>0</v>
      </c>
      <c r="C1468">
        <v>4</v>
      </c>
      <c r="D1468">
        <v>3</v>
      </c>
      <c r="E1468">
        <v>2</v>
      </c>
      <c r="F1468">
        <v>50.0948570017622</v>
      </c>
      <c r="G1468">
        <v>80</v>
      </c>
      <c r="H1468">
        <v>5</v>
      </c>
      <c r="I1468">
        <v>35</v>
      </c>
      <c r="J1468">
        <v>2</v>
      </c>
      <c r="K1468">
        <v>1</v>
      </c>
      <c r="L1468" t="str">
        <f t="shared" si="286"/>
        <v>C1467</v>
      </c>
      <c r="M1468" t="str">
        <f t="shared" si="287"/>
        <v>Male</v>
      </c>
      <c r="N1468" t="str">
        <f t="shared" si="288"/>
        <v>PhD</v>
      </c>
      <c r="O1468" t="str">
        <f t="shared" si="289"/>
        <v>Mid Level</v>
      </c>
      <c r="P1468" t="str">
        <f t="shared" si="290"/>
        <v>Strong</v>
      </c>
      <c r="Q1468" t="str">
        <f t="shared" si="291"/>
        <v>Beginner</v>
      </c>
      <c r="R1468" t="str">
        <f t="shared" si="292"/>
        <v>Needs Improvement</v>
      </c>
      <c r="S1468" t="str">
        <f t="shared" si="293"/>
        <v>Hired</v>
      </c>
      <c r="T1468">
        <f t="shared" si="294"/>
        <v>41</v>
      </c>
      <c r="U1468" t="str">
        <f t="shared" si="295"/>
        <v>Needs Improvement</v>
      </c>
      <c r="V1468" t="str">
        <f t="shared" si="296"/>
        <v>Interview</v>
      </c>
      <c r="W1468" t="str">
        <f t="shared" si="297"/>
        <v>Technical Skills</v>
      </c>
      <c r="X1468" t="str">
        <f t="shared" si="298"/>
        <v>Strengthen technical skills and practical knowledge</v>
      </c>
    </row>
    <row r="1469" spans="1:24" x14ac:dyDescent="0.3">
      <c r="A1469">
        <v>25</v>
      </c>
      <c r="B1469">
        <v>1</v>
      </c>
      <c r="C1469">
        <v>2</v>
      </c>
      <c r="D1469">
        <v>5</v>
      </c>
      <c r="E1469">
        <v>3</v>
      </c>
      <c r="F1469">
        <v>35.5552935026925</v>
      </c>
      <c r="G1469">
        <v>94</v>
      </c>
      <c r="H1469">
        <v>71</v>
      </c>
      <c r="I1469">
        <v>32</v>
      </c>
      <c r="J1469">
        <v>1</v>
      </c>
      <c r="K1469">
        <v>0</v>
      </c>
      <c r="L1469" t="str">
        <f t="shared" si="286"/>
        <v>C1468</v>
      </c>
      <c r="M1469" t="str">
        <f t="shared" si="287"/>
        <v>Female</v>
      </c>
      <c r="N1469" t="str">
        <f t="shared" si="288"/>
        <v>Bachelor's Type 2</v>
      </c>
      <c r="O1469" t="str">
        <f t="shared" si="289"/>
        <v>Mid Level</v>
      </c>
      <c r="P1469" t="str">
        <f t="shared" si="290"/>
        <v>Strong</v>
      </c>
      <c r="Q1469" t="str">
        <f t="shared" si="291"/>
        <v>Intermediate</v>
      </c>
      <c r="R1469" t="str">
        <f t="shared" si="292"/>
        <v>Needs Improvement</v>
      </c>
      <c r="S1469" t="str">
        <f t="shared" si="293"/>
        <v>Not Hired</v>
      </c>
      <c r="T1469">
        <f t="shared" si="294"/>
        <v>63</v>
      </c>
      <c r="U1469" t="str">
        <f t="shared" si="295"/>
        <v>Developing</v>
      </c>
      <c r="V1469" t="str">
        <f t="shared" si="296"/>
        <v>Interview</v>
      </c>
      <c r="W1469" t="str">
        <f t="shared" si="297"/>
        <v>Personality &amp; Communication</v>
      </c>
      <c r="X1469" t="str">
        <f t="shared" si="298"/>
        <v>Work on communication and personality development</v>
      </c>
    </row>
    <row r="1470" spans="1:24" x14ac:dyDescent="0.3">
      <c r="A1470">
        <v>44</v>
      </c>
      <c r="B1470">
        <v>1</v>
      </c>
      <c r="C1470">
        <v>3</v>
      </c>
      <c r="D1470">
        <v>4</v>
      </c>
      <c r="E1470">
        <v>2</v>
      </c>
      <c r="F1470">
        <v>45.159652646180398</v>
      </c>
      <c r="G1470">
        <v>11</v>
      </c>
      <c r="H1470">
        <v>70</v>
      </c>
      <c r="I1470">
        <v>30</v>
      </c>
      <c r="J1470">
        <v>3</v>
      </c>
      <c r="K1470">
        <v>1</v>
      </c>
      <c r="L1470" t="str">
        <f t="shared" si="286"/>
        <v>C1469</v>
      </c>
      <c r="M1470" t="str">
        <f t="shared" si="287"/>
        <v>Female</v>
      </c>
      <c r="N1470" t="str">
        <f t="shared" si="288"/>
        <v>Master's</v>
      </c>
      <c r="O1470" t="str">
        <f t="shared" si="289"/>
        <v>Mid Level</v>
      </c>
      <c r="P1470" t="str">
        <f t="shared" si="290"/>
        <v>Low</v>
      </c>
      <c r="Q1470" t="str">
        <f t="shared" si="291"/>
        <v>Intermediate</v>
      </c>
      <c r="R1470" t="str">
        <f t="shared" si="292"/>
        <v>Needs Improvement</v>
      </c>
      <c r="S1470" t="str">
        <f t="shared" si="293"/>
        <v>Hired</v>
      </c>
      <c r="T1470">
        <f t="shared" si="294"/>
        <v>38</v>
      </c>
      <c r="U1470" t="str">
        <f t="shared" si="295"/>
        <v>Needs Improvement</v>
      </c>
      <c r="V1470" t="str">
        <f t="shared" si="296"/>
        <v>Technical Skills</v>
      </c>
      <c r="W1470" t="str">
        <f t="shared" si="297"/>
        <v>Interview Preparation</v>
      </c>
      <c r="X1470" t="str">
        <f t="shared" si="298"/>
        <v>Improve interview preparation and communication</v>
      </c>
    </row>
    <row r="1471" spans="1:24" x14ac:dyDescent="0.3">
      <c r="A1471">
        <v>20</v>
      </c>
      <c r="B1471">
        <v>1</v>
      </c>
      <c r="C1471">
        <v>3</v>
      </c>
      <c r="D1471">
        <v>13</v>
      </c>
      <c r="E1471">
        <v>4</v>
      </c>
      <c r="F1471">
        <v>48.409925337153297</v>
      </c>
      <c r="G1471">
        <v>22</v>
      </c>
      <c r="H1471">
        <v>33</v>
      </c>
      <c r="I1471">
        <v>20</v>
      </c>
      <c r="J1471">
        <v>3</v>
      </c>
      <c r="K1471">
        <v>1</v>
      </c>
      <c r="L1471" t="str">
        <f t="shared" si="286"/>
        <v>C1470</v>
      </c>
      <c r="M1471" t="str">
        <f t="shared" si="287"/>
        <v>Female</v>
      </c>
      <c r="N1471" t="str">
        <f t="shared" si="288"/>
        <v>Master's</v>
      </c>
      <c r="O1471" t="str">
        <f t="shared" si="289"/>
        <v>Senior Level</v>
      </c>
      <c r="P1471" t="str">
        <f t="shared" si="290"/>
        <v>Low</v>
      </c>
      <c r="Q1471" t="str">
        <f t="shared" si="291"/>
        <v>Beginner</v>
      </c>
      <c r="R1471" t="str">
        <f t="shared" si="292"/>
        <v>Needs Improvement</v>
      </c>
      <c r="S1471" t="str">
        <f t="shared" si="293"/>
        <v>Hired</v>
      </c>
      <c r="T1471">
        <f t="shared" si="294"/>
        <v>37</v>
      </c>
      <c r="U1471" t="str">
        <f t="shared" si="295"/>
        <v>Needs Improvement</v>
      </c>
      <c r="V1471" t="str">
        <f t="shared" si="296"/>
        <v>Technical Skills</v>
      </c>
      <c r="W1471" t="str">
        <f t="shared" si="297"/>
        <v>Personality &amp; Communication</v>
      </c>
      <c r="X1471" t="str">
        <f t="shared" si="298"/>
        <v>Work on communication and personality development</v>
      </c>
    </row>
    <row r="1472" spans="1:24" x14ac:dyDescent="0.3">
      <c r="A1472">
        <v>48</v>
      </c>
      <c r="B1472">
        <v>1</v>
      </c>
      <c r="C1472">
        <v>2</v>
      </c>
      <c r="D1472">
        <v>12</v>
      </c>
      <c r="E1472">
        <v>1</v>
      </c>
      <c r="F1472">
        <v>25.337552417615701</v>
      </c>
      <c r="G1472">
        <v>53</v>
      </c>
      <c r="H1472">
        <v>52</v>
      </c>
      <c r="I1472">
        <v>26</v>
      </c>
      <c r="J1472">
        <v>2</v>
      </c>
      <c r="K1472">
        <v>0</v>
      </c>
      <c r="L1472" t="str">
        <f t="shared" si="286"/>
        <v>C1471</v>
      </c>
      <c r="M1472" t="str">
        <f t="shared" si="287"/>
        <v>Female</v>
      </c>
      <c r="N1472" t="str">
        <f t="shared" si="288"/>
        <v>Bachelor's Type 2</v>
      </c>
      <c r="O1472" t="str">
        <f t="shared" si="289"/>
        <v>Senior Level</v>
      </c>
      <c r="P1472" t="str">
        <f t="shared" si="290"/>
        <v>Average</v>
      </c>
      <c r="Q1472" t="str">
        <f t="shared" si="291"/>
        <v>Intermediate</v>
      </c>
      <c r="R1472" t="str">
        <f t="shared" si="292"/>
        <v>Needs Improvement</v>
      </c>
      <c r="S1472" t="str">
        <f t="shared" si="293"/>
        <v>Not Hired</v>
      </c>
      <c r="T1472">
        <f t="shared" si="294"/>
        <v>51</v>
      </c>
      <c r="U1472" t="str">
        <f t="shared" si="295"/>
        <v>Developing</v>
      </c>
      <c r="V1472" t="str">
        <f t="shared" si="296"/>
        <v>Interview</v>
      </c>
      <c r="W1472" t="str">
        <f t="shared" si="297"/>
        <v>Personality &amp; Communication</v>
      </c>
      <c r="X1472" t="str">
        <f t="shared" si="298"/>
        <v>Work on communication and personality development</v>
      </c>
    </row>
    <row r="1473" spans="1:24" x14ac:dyDescent="0.3">
      <c r="A1473">
        <v>24</v>
      </c>
      <c r="B1473">
        <v>0</v>
      </c>
      <c r="C1473">
        <v>2</v>
      </c>
      <c r="D1473">
        <v>0</v>
      </c>
      <c r="E1473">
        <v>4</v>
      </c>
      <c r="F1473">
        <v>36.116248970985303</v>
      </c>
      <c r="G1473">
        <v>68</v>
      </c>
      <c r="H1473">
        <v>13</v>
      </c>
      <c r="I1473">
        <v>90</v>
      </c>
      <c r="J1473">
        <v>2</v>
      </c>
      <c r="K1473">
        <v>0</v>
      </c>
      <c r="L1473" t="str">
        <f t="shared" si="286"/>
        <v>C1472</v>
      </c>
      <c r="M1473" t="str">
        <f t="shared" si="287"/>
        <v>Male</v>
      </c>
      <c r="N1473" t="str">
        <f t="shared" si="288"/>
        <v>Bachelor's Type 2</v>
      </c>
      <c r="O1473" t="str">
        <f t="shared" si="289"/>
        <v>Entry Level</v>
      </c>
      <c r="P1473" t="str">
        <f t="shared" si="290"/>
        <v>Average</v>
      </c>
      <c r="Q1473" t="str">
        <f t="shared" si="291"/>
        <v>Beginner</v>
      </c>
      <c r="R1473" t="str">
        <f t="shared" si="292"/>
        <v>Strong</v>
      </c>
      <c r="S1473" t="str">
        <f t="shared" si="293"/>
        <v>Not Hired</v>
      </c>
      <c r="T1473">
        <f t="shared" si="294"/>
        <v>45</v>
      </c>
      <c r="U1473" t="str">
        <f t="shared" si="295"/>
        <v>Needs Improvement</v>
      </c>
      <c r="V1473" t="str">
        <f t="shared" si="296"/>
        <v>Personality</v>
      </c>
      <c r="W1473" t="str">
        <f t="shared" si="297"/>
        <v>Technical Skills</v>
      </c>
      <c r="X1473" t="str">
        <f t="shared" si="298"/>
        <v>Strengthen technical skills and practical knowledge</v>
      </c>
    </row>
    <row r="1474" spans="1:24" x14ac:dyDescent="0.3">
      <c r="A1474">
        <v>46</v>
      </c>
      <c r="B1474">
        <v>0</v>
      </c>
      <c r="C1474">
        <v>2</v>
      </c>
      <c r="D1474">
        <v>3</v>
      </c>
      <c r="E1474">
        <v>2</v>
      </c>
      <c r="F1474">
        <v>43.598462677792</v>
      </c>
      <c r="G1474">
        <v>99</v>
      </c>
      <c r="H1474">
        <v>15</v>
      </c>
      <c r="I1474">
        <v>71</v>
      </c>
      <c r="J1474">
        <v>2</v>
      </c>
      <c r="K1474">
        <v>1</v>
      </c>
      <c r="L1474" t="str">
        <f t="shared" si="286"/>
        <v>C1473</v>
      </c>
      <c r="M1474" t="str">
        <f t="shared" si="287"/>
        <v>Male</v>
      </c>
      <c r="N1474" t="str">
        <f t="shared" si="288"/>
        <v>Bachelor's Type 2</v>
      </c>
      <c r="O1474" t="str">
        <f t="shared" si="289"/>
        <v>Mid Level</v>
      </c>
      <c r="P1474" t="str">
        <f t="shared" si="290"/>
        <v>Strong</v>
      </c>
      <c r="Q1474" t="str">
        <f t="shared" si="291"/>
        <v>Beginner</v>
      </c>
      <c r="R1474" t="str">
        <f t="shared" si="292"/>
        <v>Good</v>
      </c>
      <c r="S1474" t="str">
        <f t="shared" si="293"/>
        <v>Hired</v>
      </c>
      <c r="T1474">
        <f t="shared" si="294"/>
        <v>54</v>
      </c>
      <c r="U1474" t="str">
        <f t="shared" si="295"/>
        <v>Developing</v>
      </c>
      <c r="V1474" t="str">
        <f t="shared" si="296"/>
        <v>Interview</v>
      </c>
      <c r="W1474" t="str">
        <f t="shared" si="297"/>
        <v>Technical Skills</v>
      </c>
      <c r="X1474" t="str">
        <f t="shared" si="298"/>
        <v>Strengthen technical skills and practical knowledge</v>
      </c>
    </row>
    <row r="1475" spans="1:24" x14ac:dyDescent="0.3">
      <c r="A1475">
        <v>42</v>
      </c>
      <c r="B1475">
        <v>0</v>
      </c>
      <c r="C1475">
        <v>3</v>
      </c>
      <c r="D1475">
        <v>5</v>
      </c>
      <c r="E1475">
        <v>4</v>
      </c>
      <c r="F1475">
        <v>18.830445643719301</v>
      </c>
      <c r="G1475">
        <v>58</v>
      </c>
      <c r="H1475">
        <v>42</v>
      </c>
      <c r="I1475">
        <v>100</v>
      </c>
      <c r="J1475">
        <v>2</v>
      </c>
      <c r="K1475">
        <v>0</v>
      </c>
      <c r="L1475" t="str">
        <f t="shared" ref="L1475:L1501" si="299">"C"&amp;TEXT(ROW()-1,"000")</f>
        <v>C1474</v>
      </c>
      <c r="M1475" t="str">
        <f t="shared" ref="M1475:M1501" si="300">IF(B1475=0,"Male","Female")</f>
        <v>Male</v>
      </c>
      <c r="N1475" t="str">
        <f t="shared" ref="N1475:N1501" si="301">IF(C1475=1,"Bachelor's Type 1",IF(C1475=2,"Bachelor's Type 2",IF(C1475=3,"Master's","PhD")))</f>
        <v>Master's</v>
      </c>
      <c r="O1475" t="str">
        <f t="shared" ref="O1475:O1501" si="302">IF(D1475&lt;=2,"Entry Level",IF(D1475&lt;=6,"Mid Level","Senior Level"))</f>
        <v>Mid Level</v>
      </c>
      <c r="P1475" t="str">
        <f t="shared" ref="P1475:P1501" si="303">IF(G1475&lt;50,"Low",IF(G1475&lt;75,"Average","Strong"))</f>
        <v>Average</v>
      </c>
      <c r="Q1475" t="str">
        <f t="shared" ref="Q1475:Q1501" si="304">IF(H1475&lt;50,"Beginner",IF(H1475&lt;75,"Intermediate","Advanced"))</f>
        <v>Beginner</v>
      </c>
      <c r="R1475" t="str">
        <f t="shared" ref="R1475:R1501" si="305">IF(I1475&lt;50,"Needs Improvement",IF(I1475&lt;75,"Good","Strong"))</f>
        <v>Strong</v>
      </c>
      <c r="S1475" t="str">
        <f t="shared" ref="S1475:S1501" si="306">IF(K1475=1,"Hired","Not Hired")</f>
        <v>Not Hired</v>
      </c>
      <c r="T1475">
        <f t="shared" ref="T1475:T1501" si="307">ROUND((G1475*30%)+(H1475*30%)+(I1475*20%)+((D1475/15)*100*15%)+(IF(C1475&lt;=2,50,IF(C1475=3,75,100))*5%),0)</f>
        <v>59</v>
      </c>
      <c r="U1475" t="str">
        <f t="shared" ref="U1475:U1501" si="308">IF(T1475&lt;50,"Needs Improvement",IF(T1475&lt;75,"Developing","Job Ready"))</f>
        <v>Developing</v>
      </c>
      <c r="V1475" t="str">
        <f t="shared" ref="V1475:V1501" si="309">IF(AND(G1475&gt;=H1475,G1475&gt;=I1475),"Interview",IF(H1475&gt;=I1475,"Technical Skills","Personality"))</f>
        <v>Personality</v>
      </c>
      <c r="W1475" t="str">
        <f t="shared" ref="W1475:W1501" si="310">IF(AND(G1475&lt;=H1475,G1475&lt;=I1475),"Interview Preparation",IF(H1475&lt;=I1475,"Technical Skills","Personality &amp; Communication"))</f>
        <v>Technical Skills</v>
      </c>
      <c r="X1475" t="str">
        <f t="shared" ref="X1475:X1501" si="311">IF(W1475="Interview Preparation","Improve interview preparation and communication",IF(W1475="Technical Skills","Strengthen technical skills and practical knowledge","Work on communication and personality development"))</f>
        <v>Strengthen technical skills and practical knowledge</v>
      </c>
    </row>
    <row r="1476" spans="1:24" x14ac:dyDescent="0.3">
      <c r="A1476">
        <v>20</v>
      </c>
      <c r="B1476">
        <v>0</v>
      </c>
      <c r="C1476">
        <v>2</v>
      </c>
      <c r="D1476">
        <v>12</v>
      </c>
      <c r="E1476">
        <v>1</v>
      </c>
      <c r="F1476">
        <v>14.069865828019701</v>
      </c>
      <c r="G1476">
        <v>35</v>
      </c>
      <c r="H1476">
        <v>72</v>
      </c>
      <c r="I1476">
        <v>61</v>
      </c>
      <c r="J1476">
        <v>2</v>
      </c>
      <c r="K1476">
        <v>1</v>
      </c>
      <c r="L1476" t="str">
        <f t="shared" si="299"/>
        <v>C1475</v>
      </c>
      <c r="M1476" t="str">
        <f t="shared" si="300"/>
        <v>Male</v>
      </c>
      <c r="N1476" t="str">
        <f t="shared" si="301"/>
        <v>Bachelor's Type 2</v>
      </c>
      <c r="O1476" t="str">
        <f t="shared" si="302"/>
        <v>Senior Level</v>
      </c>
      <c r="P1476" t="str">
        <f t="shared" si="303"/>
        <v>Low</v>
      </c>
      <c r="Q1476" t="str">
        <f t="shared" si="304"/>
        <v>Intermediate</v>
      </c>
      <c r="R1476" t="str">
        <f t="shared" si="305"/>
        <v>Good</v>
      </c>
      <c r="S1476" t="str">
        <f t="shared" si="306"/>
        <v>Hired</v>
      </c>
      <c r="T1476">
        <f t="shared" si="307"/>
        <v>59</v>
      </c>
      <c r="U1476" t="str">
        <f t="shared" si="308"/>
        <v>Developing</v>
      </c>
      <c r="V1476" t="str">
        <f t="shared" si="309"/>
        <v>Technical Skills</v>
      </c>
      <c r="W1476" t="str">
        <f t="shared" si="310"/>
        <v>Interview Preparation</v>
      </c>
      <c r="X1476" t="str">
        <f t="shared" si="311"/>
        <v>Improve interview preparation and communication</v>
      </c>
    </row>
    <row r="1477" spans="1:24" x14ac:dyDescent="0.3">
      <c r="A1477">
        <v>49</v>
      </c>
      <c r="B1477">
        <v>0</v>
      </c>
      <c r="C1477">
        <v>1</v>
      </c>
      <c r="D1477">
        <v>14</v>
      </c>
      <c r="E1477">
        <v>5</v>
      </c>
      <c r="F1477">
        <v>48.329928638916897</v>
      </c>
      <c r="G1477">
        <v>2</v>
      </c>
      <c r="H1477">
        <v>73</v>
      </c>
      <c r="I1477">
        <v>95</v>
      </c>
      <c r="J1477">
        <v>1</v>
      </c>
      <c r="K1477">
        <v>0</v>
      </c>
      <c r="L1477" t="str">
        <f t="shared" si="299"/>
        <v>C1476</v>
      </c>
      <c r="M1477" t="str">
        <f t="shared" si="300"/>
        <v>Male</v>
      </c>
      <c r="N1477" t="str">
        <f t="shared" si="301"/>
        <v>Bachelor's Type 1</v>
      </c>
      <c r="O1477" t="str">
        <f t="shared" si="302"/>
        <v>Senior Level</v>
      </c>
      <c r="P1477" t="str">
        <f t="shared" si="303"/>
        <v>Low</v>
      </c>
      <c r="Q1477" t="str">
        <f t="shared" si="304"/>
        <v>Intermediate</v>
      </c>
      <c r="R1477" t="str">
        <f t="shared" si="305"/>
        <v>Strong</v>
      </c>
      <c r="S1477" t="str">
        <f t="shared" si="306"/>
        <v>Not Hired</v>
      </c>
      <c r="T1477">
        <f t="shared" si="307"/>
        <v>58</v>
      </c>
      <c r="U1477" t="str">
        <f t="shared" si="308"/>
        <v>Developing</v>
      </c>
      <c r="V1477" t="str">
        <f t="shared" si="309"/>
        <v>Personality</v>
      </c>
      <c r="W1477" t="str">
        <f t="shared" si="310"/>
        <v>Interview Preparation</v>
      </c>
      <c r="X1477" t="str">
        <f t="shared" si="311"/>
        <v>Improve interview preparation and communication</v>
      </c>
    </row>
    <row r="1478" spans="1:24" x14ac:dyDescent="0.3">
      <c r="A1478">
        <v>23</v>
      </c>
      <c r="B1478">
        <v>0</v>
      </c>
      <c r="C1478">
        <v>2</v>
      </c>
      <c r="D1478">
        <v>9</v>
      </c>
      <c r="E1478">
        <v>2</v>
      </c>
      <c r="F1478">
        <v>37.315175018440897</v>
      </c>
      <c r="G1478">
        <v>57</v>
      </c>
      <c r="H1478">
        <v>80</v>
      </c>
      <c r="I1478">
        <v>25</v>
      </c>
      <c r="J1478">
        <v>2</v>
      </c>
      <c r="K1478">
        <v>1</v>
      </c>
      <c r="L1478" t="str">
        <f t="shared" si="299"/>
        <v>C1477</v>
      </c>
      <c r="M1478" t="str">
        <f t="shared" si="300"/>
        <v>Male</v>
      </c>
      <c r="N1478" t="str">
        <f t="shared" si="301"/>
        <v>Bachelor's Type 2</v>
      </c>
      <c r="O1478" t="str">
        <f t="shared" si="302"/>
        <v>Senior Level</v>
      </c>
      <c r="P1478" t="str">
        <f t="shared" si="303"/>
        <v>Average</v>
      </c>
      <c r="Q1478" t="str">
        <f t="shared" si="304"/>
        <v>Advanced</v>
      </c>
      <c r="R1478" t="str">
        <f t="shared" si="305"/>
        <v>Needs Improvement</v>
      </c>
      <c r="S1478" t="str">
        <f t="shared" si="306"/>
        <v>Hired</v>
      </c>
      <c r="T1478">
        <f t="shared" si="307"/>
        <v>58</v>
      </c>
      <c r="U1478" t="str">
        <f t="shared" si="308"/>
        <v>Developing</v>
      </c>
      <c r="V1478" t="str">
        <f t="shared" si="309"/>
        <v>Technical Skills</v>
      </c>
      <c r="W1478" t="str">
        <f t="shared" si="310"/>
        <v>Personality &amp; Communication</v>
      </c>
      <c r="X1478" t="str">
        <f t="shared" si="311"/>
        <v>Work on communication and personality development</v>
      </c>
    </row>
    <row r="1479" spans="1:24" x14ac:dyDescent="0.3">
      <c r="A1479">
        <v>41</v>
      </c>
      <c r="B1479">
        <v>0</v>
      </c>
      <c r="C1479">
        <v>4</v>
      </c>
      <c r="D1479">
        <v>9</v>
      </c>
      <c r="E1479">
        <v>4</v>
      </c>
      <c r="F1479">
        <v>11.9841066687913</v>
      </c>
      <c r="G1479">
        <v>87</v>
      </c>
      <c r="H1479">
        <v>11</v>
      </c>
      <c r="I1479">
        <v>65</v>
      </c>
      <c r="J1479">
        <v>1</v>
      </c>
      <c r="K1479">
        <v>1</v>
      </c>
      <c r="L1479" t="str">
        <f t="shared" si="299"/>
        <v>C1478</v>
      </c>
      <c r="M1479" t="str">
        <f t="shared" si="300"/>
        <v>Male</v>
      </c>
      <c r="N1479" t="str">
        <f t="shared" si="301"/>
        <v>PhD</v>
      </c>
      <c r="O1479" t="str">
        <f t="shared" si="302"/>
        <v>Senior Level</v>
      </c>
      <c r="P1479" t="str">
        <f t="shared" si="303"/>
        <v>Strong</v>
      </c>
      <c r="Q1479" t="str">
        <f t="shared" si="304"/>
        <v>Beginner</v>
      </c>
      <c r="R1479" t="str">
        <f t="shared" si="305"/>
        <v>Good</v>
      </c>
      <c r="S1479" t="str">
        <f t="shared" si="306"/>
        <v>Hired</v>
      </c>
      <c r="T1479">
        <f t="shared" si="307"/>
        <v>56</v>
      </c>
      <c r="U1479" t="str">
        <f t="shared" si="308"/>
        <v>Developing</v>
      </c>
      <c r="V1479" t="str">
        <f t="shared" si="309"/>
        <v>Interview</v>
      </c>
      <c r="W1479" t="str">
        <f t="shared" si="310"/>
        <v>Technical Skills</v>
      </c>
      <c r="X1479" t="str">
        <f t="shared" si="311"/>
        <v>Strengthen technical skills and practical knowledge</v>
      </c>
    </row>
    <row r="1480" spans="1:24" x14ac:dyDescent="0.3">
      <c r="A1480">
        <v>21</v>
      </c>
      <c r="B1480">
        <v>1</v>
      </c>
      <c r="C1480">
        <v>3</v>
      </c>
      <c r="D1480">
        <v>13</v>
      </c>
      <c r="E1480">
        <v>2</v>
      </c>
      <c r="F1480">
        <v>23.454169633805598</v>
      </c>
      <c r="G1480">
        <v>54</v>
      </c>
      <c r="H1480">
        <v>69</v>
      </c>
      <c r="I1480">
        <v>11</v>
      </c>
      <c r="J1480">
        <v>1</v>
      </c>
      <c r="K1480">
        <v>1</v>
      </c>
      <c r="L1480" t="str">
        <f t="shared" si="299"/>
        <v>C1479</v>
      </c>
      <c r="M1480" t="str">
        <f t="shared" si="300"/>
        <v>Female</v>
      </c>
      <c r="N1480" t="str">
        <f t="shared" si="301"/>
        <v>Master's</v>
      </c>
      <c r="O1480" t="str">
        <f t="shared" si="302"/>
        <v>Senior Level</v>
      </c>
      <c r="P1480" t="str">
        <f t="shared" si="303"/>
        <v>Average</v>
      </c>
      <c r="Q1480" t="str">
        <f t="shared" si="304"/>
        <v>Intermediate</v>
      </c>
      <c r="R1480" t="str">
        <f t="shared" si="305"/>
        <v>Needs Improvement</v>
      </c>
      <c r="S1480" t="str">
        <f t="shared" si="306"/>
        <v>Hired</v>
      </c>
      <c r="T1480">
        <f t="shared" si="307"/>
        <v>56</v>
      </c>
      <c r="U1480" t="str">
        <f t="shared" si="308"/>
        <v>Developing</v>
      </c>
      <c r="V1480" t="str">
        <f t="shared" si="309"/>
        <v>Technical Skills</v>
      </c>
      <c r="W1480" t="str">
        <f t="shared" si="310"/>
        <v>Personality &amp; Communication</v>
      </c>
      <c r="X1480" t="str">
        <f t="shared" si="311"/>
        <v>Work on communication and personality development</v>
      </c>
    </row>
    <row r="1481" spans="1:24" x14ac:dyDescent="0.3">
      <c r="A1481">
        <v>29</v>
      </c>
      <c r="B1481">
        <v>0</v>
      </c>
      <c r="C1481">
        <v>4</v>
      </c>
      <c r="D1481">
        <v>3</v>
      </c>
      <c r="E1481">
        <v>5</v>
      </c>
      <c r="F1481">
        <v>40.822588476890402</v>
      </c>
      <c r="G1481">
        <v>56</v>
      </c>
      <c r="H1481">
        <v>18</v>
      </c>
      <c r="I1481">
        <v>21</v>
      </c>
      <c r="J1481">
        <v>2</v>
      </c>
      <c r="K1481">
        <v>1</v>
      </c>
      <c r="L1481" t="str">
        <f t="shared" si="299"/>
        <v>C1480</v>
      </c>
      <c r="M1481" t="str">
        <f t="shared" si="300"/>
        <v>Male</v>
      </c>
      <c r="N1481" t="str">
        <f t="shared" si="301"/>
        <v>PhD</v>
      </c>
      <c r="O1481" t="str">
        <f t="shared" si="302"/>
        <v>Mid Level</v>
      </c>
      <c r="P1481" t="str">
        <f t="shared" si="303"/>
        <v>Average</v>
      </c>
      <c r="Q1481" t="str">
        <f t="shared" si="304"/>
        <v>Beginner</v>
      </c>
      <c r="R1481" t="str">
        <f t="shared" si="305"/>
        <v>Needs Improvement</v>
      </c>
      <c r="S1481" t="str">
        <f t="shared" si="306"/>
        <v>Hired</v>
      </c>
      <c r="T1481">
        <f t="shared" si="307"/>
        <v>34</v>
      </c>
      <c r="U1481" t="str">
        <f t="shared" si="308"/>
        <v>Needs Improvement</v>
      </c>
      <c r="V1481" t="str">
        <f t="shared" si="309"/>
        <v>Interview</v>
      </c>
      <c r="W1481" t="str">
        <f t="shared" si="310"/>
        <v>Technical Skills</v>
      </c>
      <c r="X1481" t="str">
        <f t="shared" si="311"/>
        <v>Strengthen technical skills and practical knowledge</v>
      </c>
    </row>
    <row r="1482" spans="1:24" x14ac:dyDescent="0.3">
      <c r="A1482">
        <v>24</v>
      </c>
      <c r="B1482">
        <v>0</v>
      </c>
      <c r="C1482">
        <v>2</v>
      </c>
      <c r="D1482">
        <v>14</v>
      </c>
      <c r="E1482">
        <v>4</v>
      </c>
      <c r="F1482">
        <v>28.353149545922101</v>
      </c>
      <c r="G1482">
        <v>16</v>
      </c>
      <c r="H1482">
        <v>40</v>
      </c>
      <c r="I1482">
        <v>16</v>
      </c>
      <c r="J1482">
        <v>2</v>
      </c>
      <c r="K1482">
        <v>1</v>
      </c>
      <c r="L1482" t="str">
        <f t="shared" si="299"/>
        <v>C1481</v>
      </c>
      <c r="M1482" t="str">
        <f t="shared" si="300"/>
        <v>Male</v>
      </c>
      <c r="N1482" t="str">
        <f t="shared" si="301"/>
        <v>Bachelor's Type 2</v>
      </c>
      <c r="O1482" t="str">
        <f t="shared" si="302"/>
        <v>Senior Level</v>
      </c>
      <c r="P1482" t="str">
        <f t="shared" si="303"/>
        <v>Low</v>
      </c>
      <c r="Q1482" t="str">
        <f t="shared" si="304"/>
        <v>Beginner</v>
      </c>
      <c r="R1482" t="str">
        <f t="shared" si="305"/>
        <v>Needs Improvement</v>
      </c>
      <c r="S1482" t="str">
        <f t="shared" si="306"/>
        <v>Hired</v>
      </c>
      <c r="T1482">
        <f t="shared" si="307"/>
        <v>37</v>
      </c>
      <c r="U1482" t="str">
        <f t="shared" si="308"/>
        <v>Needs Improvement</v>
      </c>
      <c r="V1482" t="str">
        <f t="shared" si="309"/>
        <v>Technical Skills</v>
      </c>
      <c r="W1482" t="str">
        <f t="shared" si="310"/>
        <v>Interview Preparation</v>
      </c>
      <c r="X1482" t="str">
        <f t="shared" si="311"/>
        <v>Improve interview preparation and communication</v>
      </c>
    </row>
    <row r="1483" spans="1:24" x14ac:dyDescent="0.3">
      <c r="A1483">
        <v>46</v>
      </c>
      <c r="B1483">
        <v>1</v>
      </c>
      <c r="C1483">
        <v>2</v>
      </c>
      <c r="D1483">
        <v>13</v>
      </c>
      <c r="E1483">
        <v>4</v>
      </c>
      <c r="F1483">
        <v>33.497604908294399</v>
      </c>
      <c r="G1483">
        <v>38</v>
      </c>
      <c r="H1483">
        <v>52</v>
      </c>
      <c r="I1483">
        <v>6</v>
      </c>
      <c r="J1483">
        <v>2</v>
      </c>
      <c r="K1483">
        <v>1</v>
      </c>
      <c r="L1483" t="str">
        <f t="shared" si="299"/>
        <v>C1482</v>
      </c>
      <c r="M1483" t="str">
        <f t="shared" si="300"/>
        <v>Female</v>
      </c>
      <c r="N1483" t="str">
        <f t="shared" si="301"/>
        <v>Bachelor's Type 2</v>
      </c>
      <c r="O1483" t="str">
        <f t="shared" si="302"/>
        <v>Senior Level</v>
      </c>
      <c r="P1483" t="str">
        <f t="shared" si="303"/>
        <v>Low</v>
      </c>
      <c r="Q1483" t="str">
        <f t="shared" si="304"/>
        <v>Intermediate</v>
      </c>
      <c r="R1483" t="str">
        <f t="shared" si="305"/>
        <v>Needs Improvement</v>
      </c>
      <c r="S1483" t="str">
        <f t="shared" si="306"/>
        <v>Hired</v>
      </c>
      <c r="T1483">
        <f t="shared" si="307"/>
        <v>44</v>
      </c>
      <c r="U1483" t="str">
        <f t="shared" si="308"/>
        <v>Needs Improvement</v>
      </c>
      <c r="V1483" t="str">
        <f t="shared" si="309"/>
        <v>Technical Skills</v>
      </c>
      <c r="W1483" t="str">
        <f t="shared" si="310"/>
        <v>Personality &amp; Communication</v>
      </c>
      <c r="X1483" t="str">
        <f t="shared" si="311"/>
        <v>Work on communication and personality development</v>
      </c>
    </row>
    <row r="1484" spans="1:24" x14ac:dyDescent="0.3">
      <c r="A1484">
        <v>29</v>
      </c>
      <c r="B1484">
        <v>0</v>
      </c>
      <c r="C1484">
        <v>1</v>
      </c>
      <c r="D1484">
        <v>8</v>
      </c>
      <c r="E1484">
        <v>2</v>
      </c>
      <c r="F1484">
        <v>38.688410102252597</v>
      </c>
      <c r="G1484">
        <v>89</v>
      </c>
      <c r="H1484">
        <v>28</v>
      </c>
      <c r="I1484">
        <v>67</v>
      </c>
      <c r="J1484">
        <v>2</v>
      </c>
      <c r="K1484">
        <v>1</v>
      </c>
      <c r="L1484" t="str">
        <f t="shared" si="299"/>
        <v>C1483</v>
      </c>
      <c r="M1484" t="str">
        <f t="shared" si="300"/>
        <v>Male</v>
      </c>
      <c r="N1484" t="str">
        <f t="shared" si="301"/>
        <v>Bachelor's Type 1</v>
      </c>
      <c r="O1484" t="str">
        <f t="shared" si="302"/>
        <v>Senior Level</v>
      </c>
      <c r="P1484" t="str">
        <f t="shared" si="303"/>
        <v>Strong</v>
      </c>
      <c r="Q1484" t="str">
        <f t="shared" si="304"/>
        <v>Beginner</v>
      </c>
      <c r="R1484" t="str">
        <f t="shared" si="305"/>
        <v>Good</v>
      </c>
      <c r="S1484" t="str">
        <f t="shared" si="306"/>
        <v>Hired</v>
      </c>
      <c r="T1484">
        <f t="shared" si="307"/>
        <v>59</v>
      </c>
      <c r="U1484" t="str">
        <f t="shared" si="308"/>
        <v>Developing</v>
      </c>
      <c r="V1484" t="str">
        <f t="shared" si="309"/>
        <v>Interview</v>
      </c>
      <c r="W1484" t="str">
        <f t="shared" si="310"/>
        <v>Technical Skills</v>
      </c>
      <c r="X1484" t="str">
        <f t="shared" si="311"/>
        <v>Strengthen technical skills and practical knowledge</v>
      </c>
    </row>
    <row r="1485" spans="1:24" x14ac:dyDescent="0.3">
      <c r="A1485">
        <v>20</v>
      </c>
      <c r="B1485">
        <v>0</v>
      </c>
      <c r="C1485">
        <v>1</v>
      </c>
      <c r="D1485">
        <v>4</v>
      </c>
      <c r="E1485">
        <v>2</v>
      </c>
      <c r="F1485">
        <v>32.100459440449001</v>
      </c>
      <c r="G1485">
        <v>67</v>
      </c>
      <c r="H1485">
        <v>69</v>
      </c>
      <c r="I1485">
        <v>36</v>
      </c>
      <c r="J1485">
        <v>3</v>
      </c>
      <c r="K1485">
        <v>1</v>
      </c>
      <c r="L1485" t="str">
        <f t="shared" si="299"/>
        <v>C1484</v>
      </c>
      <c r="M1485" t="str">
        <f t="shared" si="300"/>
        <v>Male</v>
      </c>
      <c r="N1485" t="str">
        <f t="shared" si="301"/>
        <v>Bachelor's Type 1</v>
      </c>
      <c r="O1485" t="str">
        <f t="shared" si="302"/>
        <v>Mid Level</v>
      </c>
      <c r="P1485" t="str">
        <f t="shared" si="303"/>
        <v>Average</v>
      </c>
      <c r="Q1485" t="str">
        <f t="shared" si="304"/>
        <v>Intermediate</v>
      </c>
      <c r="R1485" t="str">
        <f t="shared" si="305"/>
        <v>Needs Improvement</v>
      </c>
      <c r="S1485" t="str">
        <f t="shared" si="306"/>
        <v>Hired</v>
      </c>
      <c r="T1485">
        <f t="shared" si="307"/>
        <v>55</v>
      </c>
      <c r="U1485" t="str">
        <f t="shared" si="308"/>
        <v>Developing</v>
      </c>
      <c r="V1485" t="str">
        <f t="shared" si="309"/>
        <v>Technical Skills</v>
      </c>
      <c r="W1485" t="str">
        <f t="shared" si="310"/>
        <v>Personality &amp; Communication</v>
      </c>
      <c r="X1485" t="str">
        <f t="shared" si="311"/>
        <v>Work on communication and personality development</v>
      </c>
    </row>
    <row r="1486" spans="1:24" x14ac:dyDescent="0.3">
      <c r="A1486">
        <v>41</v>
      </c>
      <c r="B1486">
        <v>1</v>
      </c>
      <c r="C1486">
        <v>1</v>
      </c>
      <c r="D1486">
        <v>7</v>
      </c>
      <c r="E1486">
        <v>1</v>
      </c>
      <c r="F1486">
        <v>28.0039660961097</v>
      </c>
      <c r="G1486">
        <v>54</v>
      </c>
      <c r="H1486">
        <v>58</v>
      </c>
      <c r="I1486">
        <v>37</v>
      </c>
      <c r="J1486">
        <v>2</v>
      </c>
      <c r="K1486">
        <v>0</v>
      </c>
      <c r="L1486" t="str">
        <f t="shared" si="299"/>
        <v>C1485</v>
      </c>
      <c r="M1486" t="str">
        <f t="shared" si="300"/>
        <v>Female</v>
      </c>
      <c r="N1486" t="str">
        <f t="shared" si="301"/>
        <v>Bachelor's Type 1</v>
      </c>
      <c r="O1486" t="str">
        <f t="shared" si="302"/>
        <v>Senior Level</v>
      </c>
      <c r="P1486" t="str">
        <f t="shared" si="303"/>
        <v>Average</v>
      </c>
      <c r="Q1486" t="str">
        <f t="shared" si="304"/>
        <v>Intermediate</v>
      </c>
      <c r="R1486" t="str">
        <f t="shared" si="305"/>
        <v>Needs Improvement</v>
      </c>
      <c r="S1486" t="str">
        <f t="shared" si="306"/>
        <v>Not Hired</v>
      </c>
      <c r="T1486">
        <f t="shared" si="307"/>
        <v>51</v>
      </c>
      <c r="U1486" t="str">
        <f t="shared" si="308"/>
        <v>Developing</v>
      </c>
      <c r="V1486" t="str">
        <f t="shared" si="309"/>
        <v>Technical Skills</v>
      </c>
      <c r="W1486" t="str">
        <f t="shared" si="310"/>
        <v>Personality &amp; Communication</v>
      </c>
      <c r="X1486" t="str">
        <f t="shared" si="311"/>
        <v>Work on communication and personality development</v>
      </c>
    </row>
    <row r="1487" spans="1:24" x14ac:dyDescent="0.3">
      <c r="A1487">
        <v>25</v>
      </c>
      <c r="B1487">
        <v>0</v>
      </c>
      <c r="C1487">
        <v>2</v>
      </c>
      <c r="D1487">
        <v>8</v>
      </c>
      <c r="E1487">
        <v>5</v>
      </c>
      <c r="F1487">
        <v>38.480714219388602</v>
      </c>
      <c r="G1487">
        <v>44</v>
      </c>
      <c r="H1487">
        <v>88</v>
      </c>
      <c r="I1487">
        <v>95</v>
      </c>
      <c r="J1487">
        <v>2</v>
      </c>
      <c r="K1487">
        <v>0</v>
      </c>
      <c r="L1487" t="str">
        <f t="shared" si="299"/>
        <v>C1486</v>
      </c>
      <c r="M1487" t="str">
        <f t="shared" si="300"/>
        <v>Male</v>
      </c>
      <c r="N1487" t="str">
        <f t="shared" si="301"/>
        <v>Bachelor's Type 2</v>
      </c>
      <c r="O1487" t="str">
        <f t="shared" si="302"/>
        <v>Senior Level</v>
      </c>
      <c r="P1487" t="str">
        <f t="shared" si="303"/>
        <v>Low</v>
      </c>
      <c r="Q1487" t="str">
        <f t="shared" si="304"/>
        <v>Advanced</v>
      </c>
      <c r="R1487" t="str">
        <f t="shared" si="305"/>
        <v>Strong</v>
      </c>
      <c r="S1487" t="str">
        <f t="shared" si="306"/>
        <v>Not Hired</v>
      </c>
      <c r="T1487">
        <f t="shared" si="307"/>
        <v>69</v>
      </c>
      <c r="U1487" t="str">
        <f t="shared" si="308"/>
        <v>Developing</v>
      </c>
      <c r="V1487" t="str">
        <f t="shared" si="309"/>
        <v>Personality</v>
      </c>
      <c r="W1487" t="str">
        <f t="shared" si="310"/>
        <v>Interview Preparation</v>
      </c>
      <c r="X1487" t="str">
        <f t="shared" si="311"/>
        <v>Improve interview preparation and communication</v>
      </c>
    </row>
    <row r="1488" spans="1:24" x14ac:dyDescent="0.3">
      <c r="A1488">
        <v>32</v>
      </c>
      <c r="B1488">
        <v>0</v>
      </c>
      <c r="C1488">
        <v>1</v>
      </c>
      <c r="D1488">
        <v>9</v>
      </c>
      <c r="E1488">
        <v>1</v>
      </c>
      <c r="F1488">
        <v>37.37815177161</v>
      </c>
      <c r="G1488">
        <v>75</v>
      </c>
      <c r="H1488">
        <v>63</v>
      </c>
      <c r="I1488">
        <v>10</v>
      </c>
      <c r="J1488">
        <v>1</v>
      </c>
      <c r="K1488">
        <v>0</v>
      </c>
      <c r="L1488" t="str">
        <f t="shared" si="299"/>
        <v>C1487</v>
      </c>
      <c r="M1488" t="str">
        <f t="shared" si="300"/>
        <v>Male</v>
      </c>
      <c r="N1488" t="str">
        <f t="shared" si="301"/>
        <v>Bachelor's Type 1</v>
      </c>
      <c r="O1488" t="str">
        <f t="shared" si="302"/>
        <v>Senior Level</v>
      </c>
      <c r="P1488" t="str">
        <f t="shared" si="303"/>
        <v>Strong</v>
      </c>
      <c r="Q1488" t="str">
        <f t="shared" si="304"/>
        <v>Intermediate</v>
      </c>
      <c r="R1488" t="str">
        <f t="shared" si="305"/>
        <v>Needs Improvement</v>
      </c>
      <c r="S1488" t="str">
        <f t="shared" si="306"/>
        <v>Not Hired</v>
      </c>
      <c r="T1488">
        <f t="shared" si="307"/>
        <v>55</v>
      </c>
      <c r="U1488" t="str">
        <f t="shared" si="308"/>
        <v>Developing</v>
      </c>
      <c r="V1488" t="str">
        <f t="shared" si="309"/>
        <v>Interview</v>
      </c>
      <c r="W1488" t="str">
        <f t="shared" si="310"/>
        <v>Personality &amp; Communication</v>
      </c>
      <c r="X1488" t="str">
        <f t="shared" si="311"/>
        <v>Work on communication and personality development</v>
      </c>
    </row>
    <row r="1489" spans="1:24" x14ac:dyDescent="0.3">
      <c r="A1489">
        <v>50</v>
      </c>
      <c r="B1489">
        <v>0</v>
      </c>
      <c r="C1489">
        <v>2</v>
      </c>
      <c r="D1489">
        <v>4</v>
      </c>
      <c r="E1489">
        <v>4</v>
      </c>
      <c r="F1489">
        <v>32.493620009158903</v>
      </c>
      <c r="G1489">
        <v>0</v>
      </c>
      <c r="H1489">
        <v>23</v>
      </c>
      <c r="I1489">
        <v>0</v>
      </c>
      <c r="J1489">
        <v>1</v>
      </c>
      <c r="K1489">
        <v>1</v>
      </c>
      <c r="L1489" t="str">
        <f t="shared" si="299"/>
        <v>C1488</v>
      </c>
      <c r="M1489" t="str">
        <f t="shared" si="300"/>
        <v>Male</v>
      </c>
      <c r="N1489" t="str">
        <f t="shared" si="301"/>
        <v>Bachelor's Type 2</v>
      </c>
      <c r="O1489" t="str">
        <f t="shared" si="302"/>
        <v>Mid Level</v>
      </c>
      <c r="P1489" t="str">
        <f t="shared" si="303"/>
        <v>Low</v>
      </c>
      <c r="Q1489" t="str">
        <f t="shared" si="304"/>
        <v>Beginner</v>
      </c>
      <c r="R1489" t="str">
        <f t="shared" si="305"/>
        <v>Needs Improvement</v>
      </c>
      <c r="S1489" t="str">
        <f t="shared" si="306"/>
        <v>Hired</v>
      </c>
      <c r="T1489">
        <f t="shared" si="307"/>
        <v>13</v>
      </c>
      <c r="U1489" t="str">
        <f t="shared" si="308"/>
        <v>Needs Improvement</v>
      </c>
      <c r="V1489" t="str">
        <f t="shared" si="309"/>
        <v>Technical Skills</v>
      </c>
      <c r="W1489" t="str">
        <f t="shared" si="310"/>
        <v>Interview Preparation</v>
      </c>
      <c r="X1489" t="str">
        <f t="shared" si="311"/>
        <v>Improve interview preparation and communication</v>
      </c>
    </row>
    <row r="1490" spans="1:24" x14ac:dyDescent="0.3">
      <c r="A1490">
        <v>34</v>
      </c>
      <c r="B1490">
        <v>1</v>
      </c>
      <c r="C1490">
        <v>4</v>
      </c>
      <c r="D1490">
        <v>5</v>
      </c>
      <c r="E1490">
        <v>2</v>
      </c>
      <c r="F1490">
        <v>18.989470669096399</v>
      </c>
      <c r="G1490">
        <v>20</v>
      </c>
      <c r="H1490">
        <v>88</v>
      </c>
      <c r="I1490">
        <v>24</v>
      </c>
      <c r="J1490">
        <v>2</v>
      </c>
      <c r="K1490">
        <v>1</v>
      </c>
      <c r="L1490" t="str">
        <f t="shared" si="299"/>
        <v>C1489</v>
      </c>
      <c r="M1490" t="str">
        <f t="shared" si="300"/>
        <v>Female</v>
      </c>
      <c r="N1490" t="str">
        <f t="shared" si="301"/>
        <v>PhD</v>
      </c>
      <c r="O1490" t="str">
        <f t="shared" si="302"/>
        <v>Mid Level</v>
      </c>
      <c r="P1490" t="str">
        <f t="shared" si="303"/>
        <v>Low</v>
      </c>
      <c r="Q1490" t="str">
        <f t="shared" si="304"/>
        <v>Advanced</v>
      </c>
      <c r="R1490" t="str">
        <f t="shared" si="305"/>
        <v>Needs Improvement</v>
      </c>
      <c r="S1490" t="str">
        <f t="shared" si="306"/>
        <v>Hired</v>
      </c>
      <c r="T1490">
        <f t="shared" si="307"/>
        <v>47</v>
      </c>
      <c r="U1490" t="str">
        <f t="shared" si="308"/>
        <v>Needs Improvement</v>
      </c>
      <c r="V1490" t="str">
        <f t="shared" si="309"/>
        <v>Technical Skills</v>
      </c>
      <c r="W1490" t="str">
        <f t="shared" si="310"/>
        <v>Interview Preparation</v>
      </c>
      <c r="X1490" t="str">
        <f t="shared" si="311"/>
        <v>Improve interview preparation and communication</v>
      </c>
    </row>
    <row r="1491" spans="1:24" x14ac:dyDescent="0.3">
      <c r="A1491">
        <v>23</v>
      </c>
      <c r="B1491">
        <v>0</v>
      </c>
      <c r="C1491">
        <v>2</v>
      </c>
      <c r="D1491">
        <v>0</v>
      </c>
      <c r="E1491">
        <v>4</v>
      </c>
      <c r="F1491">
        <v>21.290604610013499</v>
      </c>
      <c r="G1491">
        <v>82</v>
      </c>
      <c r="H1491">
        <v>15</v>
      </c>
      <c r="I1491">
        <v>41</v>
      </c>
      <c r="J1491">
        <v>2</v>
      </c>
      <c r="K1491">
        <v>1</v>
      </c>
      <c r="L1491" t="str">
        <f t="shared" si="299"/>
        <v>C1490</v>
      </c>
      <c r="M1491" t="str">
        <f t="shared" si="300"/>
        <v>Male</v>
      </c>
      <c r="N1491" t="str">
        <f t="shared" si="301"/>
        <v>Bachelor's Type 2</v>
      </c>
      <c r="O1491" t="str">
        <f t="shared" si="302"/>
        <v>Entry Level</v>
      </c>
      <c r="P1491" t="str">
        <f t="shared" si="303"/>
        <v>Strong</v>
      </c>
      <c r="Q1491" t="str">
        <f t="shared" si="304"/>
        <v>Beginner</v>
      </c>
      <c r="R1491" t="str">
        <f t="shared" si="305"/>
        <v>Needs Improvement</v>
      </c>
      <c r="S1491" t="str">
        <f t="shared" si="306"/>
        <v>Hired</v>
      </c>
      <c r="T1491">
        <f t="shared" si="307"/>
        <v>40</v>
      </c>
      <c r="U1491" t="str">
        <f t="shared" si="308"/>
        <v>Needs Improvement</v>
      </c>
      <c r="V1491" t="str">
        <f t="shared" si="309"/>
        <v>Interview</v>
      </c>
      <c r="W1491" t="str">
        <f t="shared" si="310"/>
        <v>Technical Skills</v>
      </c>
      <c r="X1491" t="str">
        <f t="shared" si="311"/>
        <v>Strengthen technical skills and practical knowledge</v>
      </c>
    </row>
    <row r="1492" spans="1:24" x14ac:dyDescent="0.3">
      <c r="A1492">
        <v>32</v>
      </c>
      <c r="B1492">
        <v>0</v>
      </c>
      <c r="C1492">
        <v>3</v>
      </c>
      <c r="D1492">
        <v>10</v>
      </c>
      <c r="E1492">
        <v>4</v>
      </c>
      <c r="F1492">
        <v>49.521927444204799</v>
      </c>
      <c r="G1492">
        <v>20</v>
      </c>
      <c r="H1492">
        <v>51</v>
      </c>
      <c r="I1492">
        <v>51</v>
      </c>
      <c r="J1492">
        <v>2</v>
      </c>
      <c r="K1492">
        <v>0</v>
      </c>
      <c r="L1492" t="str">
        <f t="shared" si="299"/>
        <v>C1491</v>
      </c>
      <c r="M1492" t="str">
        <f t="shared" si="300"/>
        <v>Male</v>
      </c>
      <c r="N1492" t="str">
        <f t="shared" si="301"/>
        <v>Master's</v>
      </c>
      <c r="O1492" t="str">
        <f t="shared" si="302"/>
        <v>Senior Level</v>
      </c>
      <c r="P1492" t="str">
        <f t="shared" si="303"/>
        <v>Low</v>
      </c>
      <c r="Q1492" t="str">
        <f t="shared" si="304"/>
        <v>Intermediate</v>
      </c>
      <c r="R1492" t="str">
        <f t="shared" si="305"/>
        <v>Good</v>
      </c>
      <c r="S1492" t="str">
        <f t="shared" si="306"/>
        <v>Not Hired</v>
      </c>
      <c r="T1492">
        <f t="shared" si="307"/>
        <v>45</v>
      </c>
      <c r="U1492" t="str">
        <f t="shared" si="308"/>
        <v>Needs Improvement</v>
      </c>
      <c r="V1492" t="str">
        <f t="shared" si="309"/>
        <v>Technical Skills</v>
      </c>
      <c r="W1492" t="str">
        <f t="shared" si="310"/>
        <v>Interview Preparation</v>
      </c>
      <c r="X1492" t="str">
        <f t="shared" si="311"/>
        <v>Improve interview preparation and communication</v>
      </c>
    </row>
    <row r="1493" spans="1:24" x14ac:dyDescent="0.3">
      <c r="A1493">
        <v>43</v>
      </c>
      <c r="B1493">
        <v>1</v>
      </c>
      <c r="C1493">
        <v>2</v>
      </c>
      <c r="D1493">
        <v>15</v>
      </c>
      <c r="E1493">
        <v>3</v>
      </c>
      <c r="F1493">
        <v>6.6192966145762897</v>
      </c>
      <c r="G1493">
        <v>51</v>
      </c>
      <c r="H1493">
        <v>79</v>
      </c>
      <c r="I1493">
        <v>23</v>
      </c>
      <c r="J1493">
        <v>2</v>
      </c>
      <c r="K1493">
        <v>0</v>
      </c>
      <c r="L1493" t="str">
        <f t="shared" si="299"/>
        <v>C1492</v>
      </c>
      <c r="M1493" t="str">
        <f t="shared" si="300"/>
        <v>Female</v>
      </c>
      <c r="N1493" t="str">
        <f t="shared" si="301"/>
        <v>Bachelor's Type 2</v>
      </c>
      <c r="O1493" t="str">
        <f t="shared" si="302"/>
        <v>Senior Level</v>
      </c>
      <c r="P1493" t="str">
        <f t="shared" si="303"/>
        <v>Average</v>
      </c>
      <c r="Q1493" t="str">
        <f t="shared" si="304"/>
        <v>Advanced</v>
      </c>
      <c r="R1493" t="str">
        <f t="shared" si="305"/>
        <v>Needs Improvement</v>
      </c>
      <c r="S1493" t="str">
        <f t="shared" si="306"/>
        <v>Not Hired</v>
      </c>
      <c r="T1493">
        <f t="shared" si="307"/>
        <v>61</v>
      </c>
      <c r="U1493" t="str">
        <f t="shared" si="308"/>
        <v>Developing</v>
      </c>
      <c r="V1493" t="str">
        <f t="shared" si="309"/>
        <v>Technical Skills</v>
      </c>
      <c r="W1493" t="str">
        <f t="shared" si="310"/>
        <v>Personality &amp; Communication</v>
      </c>
      <c r="X1493" t="str">
        <f t="shared" si="311"/>
        <v>Work on communication and personality development</v>
      </c>
    </row>
    <row r="1494" spans="1:24" x14ac:dyDescent="0.3">
      <c r="A1494">
        <v>39</v>
      </c>
      <c r="B1494">
        <v>0</v>
      </c>
      <c r="C1494">
        <v>2</v>
      </c>
      <c r="D1494">
        <v>11</v>
      </c>
      <c r="E1494">
        <v>3</v>
      </c>
      <c r="F1494">
        <v>14.425245862641701</v>
      </c>
      <c r="G1494">
        <v>81</v>
      </c>
      <c r="H1494">
        <v>5</v>
      </c>
      <c r="I1494">
        <v>52</v>
      </c>
      <c r="J1494">
        <v>2</v>
      </c>
      <c r="K1494">
        <v>0</v>
      </c>
      <c r="L1494" t="str">
        <f t="shared" si="299"/>
        <v>C1493</v>
      </c>
      <c r="M1494" t="str">
        <f t="shared" si="300"/>
        <v>Male</v>
      </c>
      <c r="N1494" t="str">
        <f t="shared" si="301"/>
        <v>Bachelor's Type 2</v>
      </c>
      <c r="O1494" t="str">
        <f t="shared" si="302"/>
        <v>Senior Level</v>
      </c>
      <c r="P1494" t="str">
        <f t="shared" si="303"/>
        <v>Strong</v>
      </c>
      <c r="Q1494" t="str">
        <f t="shared" si="304"/>
        <v>Beginner</v>
      </c>
      <c r="R1494" t="str">
        <f t="shared" si="305"/>
        <v>Good</v>
      </c>
      <c r="S1494" t="str">
        <f t="shared" si="306"/>
        <v>Not Hired</v>
      </c>
      <c r="T1494">
        <f t="shared" si="307"/>
        <v>50</v>
      </c>
      <c r="U1494" t="str">
        <f t="shared" si="308"/>
        <v>Developing</v>
      </c>
      <c r="V1494" t="str">
        <f t="shared" si="309"/>
        <v>Interview</v>
      </c>
      <c r="W1494" t="str">
        <f t="shared" si="310"/>
        <v>Technical Skills</v>
      </c>
      <c r="X1494" t="str">
        <f t="shared" si="311"/>
        <v>Strengthen technical skills and practical knowledge</v>
      </c>
    </row>
    <row r="1495" spans="1:24" x14ac:dyDescent="0.3">
      <c r="A1495">
        <v>43</v>
      </c>
      <c r="B1495">
        <v>1</v>
      </c>
      <c r="C1495">
        <v>2</v>
      </c>
      <c r="D1495">
        <v>14</v>
      </c>
      <c r="E1495">
        <v>4</v>
      </c>
      <c r="F1495">
        <v>25.620087960216701</v>
      </c>
      <c r="G1495">
        <v>42</v>
      </c>
      <c r="H1495">
        <v>36</v>
      </c>
      <c r="I1495">
        <v>55</v>
      </c>
      <c r="J1495">
        <v>1</v>
      </c>
      <c r="K1495">
        <v>0</v>
      </c>
      <c r="L1495" t="str">
        <f t="shared" si="299"/>
        <v>C1494</v>
      </c>
      <c r="M1495" t="str">
        <f t="shared" si="300"/>
        <v>Female</v>
      </c>
      <c r="N1495" t="str">
        <f t="shared" si="301"/>
        <v>Bachelor's Type 2</v>
      </c>
      <c r="O1495" t="str">
        <f t="shared" si="302"/>
        <v>Senior Level</v>
      </c>
      <c r="P1495" t="str">
        <f t="shared" si="303"/>
        <v>Low</v>
      </c>
      <c r="Q1495" t="str">
        <f t="shared" si="304"/>
        <v>Beginner</v>
      </c>
      <c r="R1495" t="str">
        <f t="shared" si="305"/>
        <v>Good</v>
      </c>
      <c r="S1495" t="str">
        <f t="shared" si="306"/>
        <v>Not Hired</v>
      </c>
      <c r="T1495">
        <f t="shared" si="307"/>
        <v>51</v>
      </c>
      <c r="U1495" t="str">
        <f t="shared" si="308"/>
        <v>Developing</v>
      </c>
      <c r="V1495" t="str">
        <f t="shared" si="309"/>
        <v>Personality</v>
      </c>
      <c r="W1495" t="str">
        <f t="shared" si="310"/>
        <v>Technical Skills</v>
      </c>
      <c r="X1495" t="str">
        <f t="shared" si="311"/>
        <v>Strengthen technical skills and practical knowledge</v>
      </c>
    </row>
    <row r="1496" spans="1:24" x14ac:dyDescent="0.3">
      <c r="A1496">
        <v>34</v>
      </c>
      <c r="B1496">
        <v>1</v>
      </c>
      <c r="C1496">
        <v>1</v>
      </c>
      <c r="D1496">
        <v>6</v>
      </c>
      <c r="E1496">
        <v>2</v>
      </c>
      <c r="F1496">
        <v>42.836484307189203</v>
      </c>
      <c r="G1496">
        <v>51</v>
      </c>
      <c r="H1496">
        <v>84</v>
      </c>
      <c r="I1496">
        <v>62</v>
      </c>
      <c r="J1496">
        <v>1</v>
      </c>
      <c r="K1496">
        <v>0</v>
      </c>
      <c r="L1496" t="str">
        <f t="shared" si="299"/>
        <v>C1495</v>
      </c>
      <c r="M1496" t="str">
        <f t="shared" si="300"/>
        <v>Female</v>
      </c>
      <c r="N1496" t="str">
        <f t="shared" si="301"/>
        <v>Bachelor's Type 1</v>
      </c>
      <c r="O1496" t="str">
        <f t="shared" si="302"/>
        <v>Mid Level</v>
      </c>
      <c r="P1496" t="str">
        <f t="shared" si="303"/>
        <v>Average</v>
      </c>
      <c r="Q1496" t="str">
        <f t="shared" si="304"/>
        <v>Advanced</v>
      </c>
      <c r="R1496" t="str">
        <f t="shared" si="305"/>
        <v>Good</v>
      </c>
      <c r="S1496" t="str">
        <f t="shared" si="306"/>
        <v>Not Hired</v>
      </c>
      <c r="T1496">
        <f t="shared" si="307"/>
        <v>61</v>
      </c>
      <c r="U1496" t="str">
        <f t="shared" si="308"/>
        <v>Developing</v>
      </c>
      <c r="V1496" t="str">
        <f t="shared" si="309"/>
        <v>Technical Skills</v>
      </c>
      <c r="W1496" t="str">
        <f t="shared" si="310"/>
        <v>Interview Preparation</v>
      </c>
      <c r="X1496" t="str">
        <f t="shared" si="311"/>
        <v>Improve interview preparation and communication</v>
      </c>
    </row>
    <row r="1497" spans="1:24" x14ac:dyDescent="0.3">
      <c r="A1497">
        <v>48</v>
      </c>
      <c r="B1497">
        <v>0</v>
      </c>
      <c r="C1497">
        <v>2</v>
      </c>
      <c r="D1497">
        <v>3</v>
      </c>
      <c r="E1497">
        <v>4</v>
      </c>
      <c r="F1497">
        <v>9.1837831864863908</v>
      </c>
      <c r="G1497">
        <v>66</v>
      </c>
      <c r="H1497">
        <v>3</v>
      </c>
      <c r="I1497">
        <v>80</v>
      </c>
      <c r="J1497">
        <v>3</v>
      </c>
      <c r="K1497">
        <v>1</v>
      </c>
      <c r="L1497" t="str">
        <f t="shared" si="299"/>
        <v>C1496</v>
      </c>
      <c r="M1497" t="str">
        <f t="shared" si="300"/>
        <v>Male</v>
      </c>
      <c r="N1497" t="str">
        <f t="shared" si="301"/>
        <v>Bachelor's Type 2</v>
      </c>
      <c r="O1497" t="str">
        <f t="shared" si="302"/>
        <v>Mid Level</v>
      </c>
      <c r="P1497" t="str">
        <f t="shared" si="303"/>
        <v>Average</v>
      </c>
      <c r="Q1497" t="str">
        <f t="shared" si="304"/>
        <v>Beginner</v>
      </c>
      <c r="R1497" t="str">
        <f t="shared" si="305"/>
        <v>Strong</v>
      </c>
      <c r="S1497" t="str">
        <f t="shared" si="306"/>
        <v>Hired</v>
      </c>
      <c r="T1497">
        <f t="shared" si="307"/>
        <v>42</v>
      </c>
      <c r="U1497" t="str">
        <f t="shared" si="308"/>
        <v>Needs Improvement</v>
      </c>
      <c r="V1497" t="str">
        <f t="shared" si="309"/>
        <v>Personality</v>
      </c>
      <c r="W1497" t="str">
        <f t="shared" si="310"/>
        <v>Technical Skills</v>
      </c>
      <c r="X1497" t="str">
        <f t="shared" si="311"/>
        <v>Strengthen technical skills and practical knowledge</v>
      </c>
    </row>
    <row r="1498" spans="1:24" x14ac:dyDescent="0.3">
      <c r="A1498">
        <v>27</v>
      </c>
      <c r="B1498">
        <v>1</v>
      </c>
      <c r="C1498">
        <v>2</v>
      </c>
      <c r="D1498">
        <v>10</v>
      </c>
      <c r="E1498">
        <v>3</v>
      </c>
      <c r="F1498">
        <v>14.847730906230399</v>
      </c>
      <c r="G1498">
        <v>43</v>
      </c>
      <c r="H1498">
        <v>97</v>
      </c>
      <c r="I1498">
        <v>7</v>
      </c>
      <c r="J1498">
        <v>2</v>
      </c>
      <c r="K1498">
        <v>0</v>
      </c>
      <c r="L1498" t="str">
        <f t="shared" si="299"/>
        <v>C1497</v>
      </c>
      <c r="M1498" t="str">
        <f t="shared" si="300"/>
        <v>Female</v>
      </c>
      <c r="N1498" t="str">
        <f t="shared" si="301"/>
        <v>Bachelor's Type 2</v>
      </c>
      <c r="O1498" t="str">
        <f t="shared" si="302"/>
        <v>Senior Level</v>
      </c>
      <c r="P1498" t="str">
        <f t="shared" si="303"/>
        <v>Low</v>
      </c>
      <c r="Q1498" t="str">
        <f t="shared" si="304"/>
        <v>Advanced</v>
      </c>
      <c r="R1498" t="str">
        <f t="shared" si="305"/>
        <v>Needs Improvement</v>
      </c>
      <c r="S1498" t="str">
        <f t="shared" si="306"/>
        <v>Not Hired</v>
      </c>
      <c r="T1498">
        <f t="shared" si="307"/>
        <v>56</v>
      </c>
      <c r="U1498" t="str">
        <f t="shared" si="308"/>
        <v>Developing</v>
      </c>
      <c r="V1498" t="str">
        <f t="shared" si="309"/>
        <v>Technical Skills</v>
      </c>
      <c r="W1498" t="str">
        <f t="shared" si="310"/>
        <v>Personality &amp; Communication</v>
      </c>
      <c r="X1498" t="str">
        <f t="shared" si="311"/>
        <v>Work on communication and personality development</v>
      </c>
    </row>
    <row r="1499" spans="1:24" x14ac:dyDescent="0.3">
      <c r="A1499">
        <v>24</v>
      </c>
      <c r="B1499">
        <v>1</v>
      </c>
      <c r="C1499">
        <v>1</v>
      </c>
      <c r="D1499">
        <v>1</v>
      </c>
      <c r="E1499">
        <v>2</v>
      </c>
      <c r="F1499">
        <v>4.2899108897619396</v>
      </c>
      <c r="G1499">
        <v>31</v>
      </c>
      <c r="H1499">
        <v>91</v>
      </c>
      <c r="I1499">
        <v>58</v>
      </c>
      <c r="J1499">
        <v>1</v>
      </c>
      <c r="K1499">
        <v>1</v>
      </c>
      <c r="L1499" t="str">
        <f t="shared" si="299"/>
        <v>C1498</v>
      </c>
      <c r="M1499" t="str">
        <f t="shared" si="300"/>
        <v>Female</v>
      </c>
      <c r="N1499" t="str">
        <f t="shared" si="301"/>
        <v>Bachelor's Type 1</v>
      </c>
      <c r="O1499" t="str">
        <f t="shared" si="302"/>
        <v>Entry Level</v>
      </c>
      <c r="P1499" t="str">
        <f t="shared" si="303"/>
        <v>Low</v>
      </c>
      <c r="Q1499" t="str">
        <f t="shared" si="304"/>
        <v>Advanced</v>
      </c>
      <c r="R1499" t="str">
        <f t="shared" si="305"/>
        <v>Good</v>
      </c>
      <c r="S1499" t="str">
        <f t="shared" si="306"/>
        <v>Hired</v>
      </c>
      <c r="T1499">
        <f t="shared" si="307"/>
        <v>52</v>
      </c>
      <c r="U1499" t="str">
        <f t="shared" si="308"/>
        <v>Developing</v>
      </c>
      <c r="V1499" t="str">
        <f t="shared" si="309"/>
        <v>Technical Skills</v>
      </c>
      <c r="W1499" t="str">
        <f t="shared" si="310"/>
        <v>Interview Preparation</v>
      </c>
      <c r="X1499" t="str">
        <f t="shared" si="311"/>
        <v>Improve interview preparation and communication</v>
      </c>
    </row>
    <row r="1500" spans="1:24" x14ac:dyDescent="0.3">
      <c r="A1500">
        <v>48</v>
      </c>
      <c r="B1500">
        <v>0</v>
      </c>
      <c r="C1500">
        <v>2</v>
      </c>
      <c r="D1500">
        <v>4</v>
      </c>
      <c r="E1500">
        <v>4</v>
      </c>
      <c r="F1500">
        <v>36.299263302540901</v>
      </c>
      <c r="G1500">
        <v>9</v>
      </c>
      <c r="H1500">
        <v>37</v>
      </c>
      <c r="I1500">
        <v>44</v>
      </c>
      <c r="J1500">
        <v>2</v>
      </c>
      <c r="K1500">
        <v>1</v>
      </c>
      <c r="L1500" t="str">
        <f t="shared" si="299"/>
        <v>C1499</v>
      </c>
      <c r="M1500" t="str">
        <f t="shared" si="300"/>
        <v>Male</v>
      </c>
      <c r="N1500" t="str">
        <f t="shared" si="301"/>
        <v>Bachelor's Type 2</v>
      </c>
      <c r="O1500" t="str">
        <f t="shared" si="302"/>
        <v>Mid Level</v>
      </c>
      <c r="P1500" t="str">
        <f t="shared" si="303"/>
        <v>Low</v>
      </c>
      <c r="Q1500" t="str">
        <f t="shared" si="304"/>
        <v>Beginner</v>
      </c>
      <c r="R1500" t="str">
        <f t="shared" si="305"/>
        <v>Needs Improvement</v>
      </c>
      <c r="S1500" t="str">
        <f t="shared" si="306"/>
        <v>Hired</v>
      </c>
      <c r="T1500">
        <f t="shared" si="307"/>
        <v>29</v>
      </c>
      <c r="U1500" t="str">
        <f t="shared" si="308"/>
        <v>Needs Improvement</v>
      </c>
      <c r="V1500" t="str">
        <f t="shared" si="309"/>
        <v>Personality</v>
      </c>
      <c r="W1500" t="str">
        <f t="shared" si="310"/>
        <v>Interview Preparation</v>
      </c>
      <c r="X1500" t="str">
        <f t="shared" si="311"/>
        <v>Improve interview preparation and communication</v>
      </c>
    </row>
    <row r="1501" spans="1:24" x14ac:dyDescent="0.3">
      <c r="A1501">
        <v>34</v>
      </c>
      <c r="B1501">
        <v>1</v>
      </c>
      <c r="C1501">
        <v>2</v>
      </c>
      <c r="D1501">
        <v>11</v>
      </c>
      <c r="E1501">
        <v>5</v>
      </c>
      <c r="F1501">
        <v>12.910471773780801</v>
      </c>
      <c r="G1501">
        <v>63</v>
      </c>
      <c r="H1501">
        <v>40</v>
      </c>
      <c r="I1501">
        <v>26</v>
      </c>
      <c r="J1501">
        <v>2</v>
      </c>
      <c r="K1501">
        <v>1</v>
      </c>
      <c r="L1501" t="str">
        <f t="shared" si="299"/>
        <v>C1500</v>
      </c>
      <c r="M1501" t="str">
        <f t="shared" si="300"/>
        <v>Female</v>
      </c>
      <c r="N1501" t="str">
        <f t="shared" si="301"/>
        <v>Bachelor's Type 2</v>
      </c>
      <c r="O1501" t="str">
        <f t="shared" si="302"/>
        <v>Senior Level</v>
      </c>
      <c r="P1501" t="str">
        <f t="shared" si="303"/>
        <v>Average</v>
      </c>
      <c r="Q1501" t="str">
        <f t="shared" si="304"/>
        <v>Beginner</v>
      </c>
      <c r="R1501" t="str">
        <f t="shared" si="305"/>
        <v>Needs Improvement</v>
      </c>
      <c r="S1501" t="str">
        <f t="shared" si="306"/>
        <v>Hired</v>
      </c>
      <c r="T1501">
        <f t="shared" si="307"/>
        <v>50</v>
      </c>
      <c r="U1501" t="str">
        <f t="shared" si="308"/>
        <v>Developing</v>
      </c>
      <c r="V1501" t="str">
        <f t="shared" si="309"/>
        <v>Interview</v>
      </c>
      <c r="W1501" t="str">
        <f t="shared" si="310"/>
        <v>Personality &amp; Communication</v>
      </c>
      <c r="X1501" t="str">
        <f t="shared" si="311"/>
        <v>Work on communication and personality development</v>
      </c>
    </row>
  </sheetData>
  <autoFilter ref="A1:X1501" xr:uid="{7EB02D1B-0317-410B-9EB1-B7D18E9FA0B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D7A4-7ED8-41AB-99AD-7E960D7A7792}">
  <dimension ref="A1:T183"/>
  <sheetViews>
    <sheetView showGridLines="0" tabSelected="1" topLeftCell="A158" zoomScale="70" zoomScaleNormal="70" workbookViewId="0">
      <selection activeCell="C171" sqref="C171"/>
    </sheetView>
  </sheetViews>
  <sheetFormatPr defaultRowHeight="14.4" x14ac:dyDescent="0.3"/>
  <sheetData>
    <row r="1" spans="1:20" ht="37.200000000000003" customHeight="1" x14ac:dyDescent="0.3">
      <c r="A1" s="19" t="s">
        <v>73</v>
      </c>
      <c r="B1" s="20"/>
      <c r="C1" s="20"/>
      <c r="D1" s="20"/>
      <c r="E1" s="20"/>
      <c r="F1" s="20"/>
      <c r="G1" s="20"/>
      <c r="H1" s="20"/>
      <c r="I1" s="20"/>
      <c r="J1" s="20"/>
      <c r="K1" s="20"/>
      <c r="L1" s="20"/>
      <c r="M1" s="20"/>
      <c r="N1" s="20"/>
      <c r="O1" s="20"/>
      <c r="P1" s="20"/>
      <c r="Q1" s="20"/>
      <c r="R1" s="20"/>
      <c r="S1" s="21"/>
    </row>
    <row r="2" spans="1:20" ht="24.6" customHeight="1" x14ac:dyDescent="0.3">
      <c r="A2" s="14" t="s">
        <v>80</v>
      </c>
      <c r="B2" s="15"/>
      <c r="C2" s="15"/>
      <c r="D2" s="15"/>
      <c r="E2" s="15"/>
      <c r="F2" s="15"/>
      <c r="G2" s="15"/>
      <c r="H2" s="15"/>
      <c r="I2" s="15"/>
      <c r="J2" s="15"/>
      <c r="K2" s="15"/>
      <c r="L2" s="15"/>
      <c r="M2" s="15"/>
      <c r="N2" s="15"/>
      <c r="O2" s="15"/>
      <c r="P2" s="15"/>
      <c r="Q2" s="15"/>
      <c r="R2" s="15"/>
      <c r="S2" s="16"/>
      <c r="T2" s="13"/>
    </row>
    <row r="3" spans="1:20" x14ac:dyDescent="0.3">
      <c r="S3" s="11"/>
      <c r="T3" s="13"/>
    </row>
    <row r="4" spans="1:20" x14ac:dyDescent="0.3">
      <c r="A4" s="23" t="s">
        <v>21</v>
      </c>
      <c r="B4" s="24"/>
      <c r="C4" s="25"/>
      <c r="D4" s="23" t="s">
        <v>74</v>
      </c>
      <c r="E4" s="24"/>
      <c r="F4" s="25"/>
      <c r="G4" s="23" t="s">
        <v>24</v>
      </c>
      <c r="H4" s="27"/>
      <c r="I4" s="28"/>
      <c r="J4" s="23" t="s">
        <v>41</v>
      </c>
      <c r="K4" s="27"/>
      <c r="L4" s="28"/>
      <c r="M4" s="17" t="s">
        <v>48</v>
      </c>
      <c r="N4" s="17"/>
      <c r="O4" s="17"/>
      <c r="S4" s="12"/>
      <c r="T4" s="13"/>
    </row>
    <row r="5" spans="1:20" x14ac:dyDescent="0.3">
      <c r="A5" s="22">
        <f>COUNTA(recruitment_data!A2:A1501)</f>
        <v>1500</v>
      </c>
      <c r="B5" s="22"/>
      <c r="C5" s="22"/>
      <c r="D5" s="26">
        <f>COUNTIF(recruitment_data!K2:K1501,1)</f>
        <v>465</v>
      </c>
      <c r="E5" s="26"/>
      <c r="F5" s="26"/>
      <c r="G5" s="29">
        <f>D5/A5</f>
        <v>0.31</v>
      </c>
      <c r="H5" s="29"/>
      <c r="I5" s="29"/>
      <c r="J5" s="30">
        <f>AVERAGE(recruitment_data!T2:T1501)</f>
        <v>51.102666666666664</v>
      </c>
      <c r="K5" s="30"/>
      <c r="L5" s="30"/>
      <c r="M5" s="18">
        <f>COUNTIF(recruitment_data!U2:U1501,"Needs Improvement")</f>
        <v>672</v>
      </c>
      <c r="N5" s="18"/>
      <c r="O5" s="18"/>
      <c r="S5" s="10"/>
      <c r="T5" s="13"/>
    </row>
    <row r="6" spans="1:20" x14ac:dyDescent="0.3">
      <c r="A6" s="22"/>
      <c r="B6" s="22"/>
      <c r="C6" s="22"/>
      <c r="D6" s="26"/>
      <c r="E6" s="26"/>
      <c r="F6" s="26"/>
      <c r="G6" s="29"/>
      <c r="H6" s="29"/>
      <c r="I6" s="29"/>
      <c r="J6" s="30"/>
      <c r="K6" s="30"/>
      <c r="L6" s="30"/>
      <c r="M6" s="18"/>
      <c r="N6" s="18"/>
      <c r="O6" s="18"/>
      <c r="S6" s="10"/>
      <c r="T6" s="13"/>
    </row>
    <row r="7" spans="1:20" x14ac:dyDescent="0.3">
      <c r="A7" s="22"/>
      <c r="B7" s="22"/>
      <c r="C7" s="22"/>
      <c r="D7" s="26"/>
      <c r="E7" s="26"/>
      <c r="F7" s="26"/>
      <c r="G7" s="29"/>
      <c r="H7" s="29"/>
      <c r="I7" s="29"/>
      <c r="J7" s="30"/>
      <c r="K7" s="30"/>
      <c r="L7" s="30"/>
      <c r="M7" s="18"/>
      <c r="N7" s="18"/>
      <c r="O7" s="18"/>
      <c r="S7" s="10"/>
      <c r="T7" s="13"/>
    </row>
    <row r="8" spans="1:20" x14ac:dyDescent="0.3">
      <c r="A8" s="22"/>
      <c r="B8" s="22"/>
      <c r="C8" s="22"/>
      <c r="D8" s="26"/>
      <c r="E8" s="26"/>
      <c r="F8" s="26"/>
      <c r="G8" s="29"/>
      <c r="H8" s="29"/>
      <c r="I8" s="29"/>
      <c r="J8" s="30"/>
      <c r="K8" s="30"/>
      <c r="L8" s="30"/>
      <c r="M8" s="18"/>
      <c r="N8" s="18"/>
      <c r="O8" s="18"/>
      <c r="S8" s="10"/>
      <c r="T8" s="13"/>
    </row>
    <row r="9" spans="1:20" x14ac:dyDescent="0.3">
      <c r="S9" s="10"/>
      <c r="T9" s="13"/>
    </row>
    <row r="10" spans="1:20" x14ac:dyDescent="0.3">
      <c r="S10" s="10"/>
      <c r="T10" s="13"/>
    </row>
    <row r="11" spans="1:20" x14ac:dyDescent="0.3">
      <c r="S11" s="10"/>
      <c r="T11" s="13"/>
    </row>
    <row r="12" spans="1:20" x14ac:dyDescent="0.3">
      <c r="S12" s="10"/>
      <c r="T12" s="13"/>
    </row>
    <row r="13" spans="1:20" x14ac:dyDescent="0.3">
      <c r="S13" s="10"/>
      <c r="T13" s="13"/>
    </row>
    <row r="14" spans="1:20" x14ac:dyDescent="0.3">
      <c r="S14" s="10"/>
      <c r="T14" s="13"/>
    </row>
    <row r="15" spans="1:20" x14ac:dyDescent="0.3">
      <c r="S15" s="10"/>
      <c r="T15" s="13"/>
    </row>
    <row r="16" spans="1:20" x14ac:dyDescent="0.3">
      <c r="S16" s="10"/>
      <c r="T16" s="13"/>
    </row>
    <row r="17" spans="19:20" x14ac:dyDescent="0.3">
      <c r="S17" s="10"/>
      <c r="T17" s="13"/>
    </row>
    <row r="18" spans="19:20" x14ac:dyDescent="0.3">
      <c r="S18" s="10"/>
      <c r="T18" s="13"/>
    </row>
    <row r="19" spans="19:20" x14ac:dyDescent="0.3">
      <c r="S19" s="10"/>
      <c r="T19" s="13"/>
    </row>
    <row r="20" spans="19:20" x14ac:dyDescent="0.3">
      <c r="S20" s="10"/>
      <c r="T20" s="13"/>
    </row>
    <row r="21" spans="19:20" x14ac:dyDescent="0.3">
      <c r="S21" s="10"/>
      <c r="T21" s="13"/>
    </row>
    <row r="22" spans="19:20" x14ac:dyDescent="0.3">
      <c r="S22" s="10"/>
      <c r="T22" s="13"/>
    </row>
    <row r="23" spans="19:20" x14ac:dyDescent="0.3">
      <c r="S23" s="10"/>
      <c r="T23" s="13"/>
    </row>
    <row r="24" spans="19:20" x14ac:dyDescent="0.3">
      <c r="S24" s="10"/>
      <c r="T24" s="13"/>
    </row>
    <row r="25" spans="19:20" x14ac:dyDescent="0.3">
      <c r="S25" s="10"/>
      <c r="T25" s="13"/>
    </row>
    <row r="26" spans="19:20" x14ac:dyDescent="0.3">
      <c r="S26" s="10"/>
      <c r="T26" s="13"/>
    </row>
    <row r="27" spans="19:20" x14ac:dyDescent="0.3">
      <c r="S27" s="10"/>
      <c r="T27" s="13"/>
    </row>
    <row r="28" spans="19:20" x14ac:dyDescent="0.3">
      <c r="S28" s="10"/>
      <c r="T28" s="13"/>
    </row>
    <row r="29" spans="19:20" x14ac:dyDescent="0.3">
      <c r="S29" s="10"/>
      <c r="T29" s="13"/>
    </row>
    <row r="30" spans="19:20" x14ac:dyDescent="0.3">
      <c r="S30" s="10"/>
      <c r="T30" s="13"/>
    </row>
    <row r="31" spans="19:20" x14ac:dyDescent="0.3">
      <c r="S31" s="10"/>
      <c r="T31" s="13"/>
    </row>
    <row r="32" spans="19:20" x14ac:dyDescent="0.3">
      <c r="S32" s="10"/>
      <c r="T32" s="13"/>
    </row>
    <row r="33" spans="19:20" x14ac:dyDescent="0.3">
      <c r="S33" s="10"/>
      <c r="T33" s="13"/>
    </row>
    <row r="34" spans="19:20" x14ac:dyDescent="0.3">
      <c r="S34" s="10"/>
      <c r="T34" s="13"/>
    </row>
    <row r="35" spans="19:20" x14ac:dyDescent="0.3">
      <c r="S35" s="10"/>
      <c r="T35" s="13"/>
    </row>
    <row r="36" spans="19:20" x14ac:dyDescent="0.3">
      <c r="S36" s="10"/>
      <c r="T36" s="13"/>
    </row>
    <row r="37" spans="19:20" x14ac:dyDescent="0.3">
      <c r="S37" s="10"/>
      <c r="T37" s="13"/>
    </row>
    <row r="38" spans="19:20" x14ac:dyDescent="0.3">
      <c r="S38" s="10"/>
      <c r="T38" s="13"/>
    </row>
    <row r="39" spans="19:20" x14ac:dyDescent="0.3">
      <c r="S39" s="10"/>
      <c r="T39" s="13"/>
    </row>
    <row r="40" spans="19:20" x14ac:dyDescent="0.3">
      <c r="S40" s="10"/>
      <c r="T40" s="13"/>
    </row>
    <row r="41" spans="19:20" x14ac:dyDescent="0.3">
      <c r="S41" s="10"/>
      <c r="T41" s="13"/>
    </row>
    <row r="42" spans="19:20" x14ac:dyDescent="0.3">
      <c r="S42" s="10"/>
      <c r="T42" s="13"/>
    </row>
    <row r="43" spans="19:20" x14ac:dyDescent="0.3">
      <c r="S43" s="10"/>
      <c r="T43" s="13"/>
    </row>
    <row r="44" spans="19:20" x14ac:dyDescent="0.3">
      <c r="S44" s="10"/>
      <c r="T44" s="13"/>
    </row>
    <row r="45" spans="19:20" x14ac:dyDescent="0.3">
      <c r="S45" s="10"/>
      <c r="T45" s="13"/>
    </row>
    <row r="46" spans="19:20" x14ac:dyDescent="0.3">
      <c r="S46" s="10"/>
      <c r="T46" s="13"/>
    </row>
    <row r="47" spans="19:20" x14ac:dyDescent="0.3">
      <c r="S47" s="10"/>
      <c r="T47" s="13"/>
    </row>
    <row r="48" spans="19:20" x14ac:dyDescent="0.3">
      <c r="S48" s="10"/>
      <c r="T48" s="13"/>
    </row>
    <row r="49" spans="1:20" x14ac:dyDescent="0.3">
      <c r="S49" s="10"/>
      <c r="T49" s="13"/>
    </row>
    <row r="50" spans="1:20" x14ac:dyDescent="0.3">
      <c r="S50" s="10"/>
      <c r="T50" s="13"/>
    </row>
    <row r="51" spans="1:20" x14ac:dyDescent="0.3">
      <c r="S51" s="10"/>
      <c r="T51" s="13"/>
    </row>
    <row r="52" spans="1:20" x14ac:dyDescent="0.3">
      <c r="S52" s="10"/>
      <c r="T52" s="13"/>
    </row>
    <row r="53" spans="1:20" x14ac:dyDescent="0.3">
      <c r="S53" s="10"/>
      <c r="T53" s="13"/>
    </row>
    <row r="54" spans="1:20" x14ac:dyDescent="0.3">
      <c r="S54" s="10"/>
      <c r="T54" s="13"/>
    </row>
    <row r="55" spans="1:20" x14ac:dyDescent="0.3">
      <c r="S55" s="10"/>
      <c r="T55" s="13"/>
    </row>
    <row r="56" spans="1:20" x14ac:dyDescent="0.3">
      <c r="S56" s="10"/>
      <c r="T56" s="13"/>
    </row>
    <row r="57" spans="1:20" x14ac:dyDescent="0.3">
      <c r="S57" s="10"/>
    </row>
    <row r="63" spans="1:20" ht="23.4" x14ac:dyDescent="0.3">
      <c r="A63" s="31" t="s">
        <v>127</v>
      </c>
    </row>
    <row r="65" spans="1:1" ht="18" x14ac:dyDescent="0.3">
      <c r="A65" s="32" t="s">
        <v>81</v>
      </c>
    </row>
    <row r="66" spans="1:1" x14ac:dyDescent="0.3">
      <c r="A66" s="33"/>
    </row>
    <row r="67" spans="1:1" x14ac:dyDescent="0.3">
      <c r="A67" s="33" t="s">
        <v>82</v>
      </c>
    </row>
    <row r="68" spans="1:1" x14ac:dyDescent="0.3">
      <c r="A68" s="33"/>
    </row>
    <row r="69" spans="1:1" x14ac:dyDescent="0.3">
      <c r="A69" s="33" t="s">
        <v>83</v>
      </c>
    </row>
    <row r="70" spans="1:1" x14ac:dyDescent="0.3">
      <c r="A70" s="33"/>
    </row>
    <row r="71" spans="1:1" x14ac:dyDescent="0.3">
      <c r="A71" s="33" t="s">
        <v>84</v>
      </c>
    </row>
    <row r="75" spans="1:1" ht="18" x14ac:dyDescent="0.3">
      <c r="A75" s="32" t="s">
        <v>85</v>
      </c>
    </row>
    <row r="76" spans="1:1" x14ac:dyDescent="0.3">
      <c r="A76" s="33"/>
    </row>
    <row r="77" spans="1:1" x14ac:dyDescent="0.3">
      <c r="A77" s="33" t="s">
        <v>86</v>
      </c>
    </row>
    <row r="78" spans="1:1" x14ac:dyDescent="0.3">
      <c r="A78" s="33"/>
    </row>
    <row r="79" spans="1:1" x14ac:dyDescent="0.3">
      <c r="A79" s="33" t="s">
        <v>87</v>
      </c>
    </row>
    <row r="83" spans="1:1" ht="18" x14ac:dyDescent="0.3">
      <c r="A83" s="32" t="s">
        <v>88</v>
      </c>
    </row>
    <row r="84" spans="1:1" x14ac:dyDescent="0.3">
      <c r="A84" s="33"/>
    </row>
    <row r="85" spans="1:1" x14ac:dyDescent="0.3">
      <c r="A85" s="35" t="s">
        <v>89</v>
      </c>
    </row>
    <row r="86" spans="1:1" x14ac:dyDescent="0.3">
      <c r="A86" s="33"/>
    </row>
    <row r="87" spans="1:1" x14ac:dyDescent="0.3">
      <c r="A87" s="35" t="s">
        <v>90</v>
      </c>
    </row>
    <row r="88" spans="1:1" x14ac:dyDescent="0.3">
      <c r="A88" s="33"/>
    </row>
    <row r="89" spans="1:1" x14ac:dyDescent="0.3">
      <c r="A89" s="35" t="s">
        <v>91</v>
      </c>
    </row>
    <row r="91" spans="1:1" x14ac:dyDescent="0.3">
      <c r="A91" s="34" t="s">
        <v>92</v>
      </c>
    </row>
    <row r="95" spans="1:1" ht="18" x14ac:dyDescent="0.3">
      <c r="A95" s="32" t="s">
        <v>93</v>
      </c>
    </row>
    <row r="96" spans="1:1" x14ac:dyDescent="0.3">
      <c r="A96" s="33"/>
    </row>
    <row r="97" spans="1:1" x14ac:dyDescent="0.3">
      <c r="A97" s="35" t="s">
        <v>94</v>
      </c>
    </row>
    <row r="98" spans="1:1" x14ac:dyDescent="0.3">
      <c r="A98" s="33"/>
    </row>
    <row r="99" spans="1:1" x14ac:dyDescent="0.3">
      <c r="A99" s="35" t="s">
        <v>95</v>
      </c>
    </row>
    <row r="100" spans="1:1" x14ac:dyDescent="0.3">
      <c r="A100" s="33"/>
    </row>
    <row r="101" spans="1:1" x14ac:dyDescent="0.3">
      <c r="A101" s="35" t="s">
        <v>96</v>
      </c>
    </row>
    <row r="103" spans="1:1" x14ac:dyDescent="0.3">
      <c r="A103" s="34" t="s">
        <v>97</v>
      </c>
    </row>
    <row r="107" spans="1:1" ht="18" x14ac:dyDescent="0.3">
      <c r="A107" s="32" t="s">
        <v>98</v>
      </c>
    </row>
    <row r="108" spans="1:1" x14ac:dyDescent="0.3">
      <c r="A108" s="33"/>
    </row>
    <row r="109" spans="1:1" x14ac:dyDescent="0.3">
      <c r="A109" s="33" t="s">
        <v>99</v>
      </c>
    </row>
    <row r="110" spans="1:1" x14ac:dyDescent="0.3">
      <c r="A110" s="33"/>
    </row>
    <row r="111" spans="1:1" x14ac:dyDescent="0.3">
      <c r="A111" s="33"/>
    </row>
    <row r="112" spans="1:1" x14ac:dyDescent="0.3">
      <c r="A112" s="36"/>
    </row>
    <row r="113" spans="1:1" x14ac:dyDescent="0.3">
      <c r="A113" s="37" t="s">
        <v>100</v>
      </c>
    </row>
    <row r="114" spans="1:1" x14ac:dyDescent="0.3">
      <c r="A114" s="36"/>
    </row>
    <row r="115" spans="1:1" x14ac:dyDescent="0.3">
      <c r="A115" s="37" t="s">
        <v>101</v>
      </c>
    </row>
    <row r="117" spans="1:1" x14ac:dyDescent="0.3">
      <c r="A117" s="34" t="s">
        <v>102</v>
      </c>
    </row>
    <row r="121" spans="1:1" ht="18" x14ac:dyDescent="0.3">
      <c r="A121" s="32" t="s">
        <v>103</v>
      </c>
    </row>
    <row r="122" spans="1:1" x14ac:dyDescent="0.3">
      <c r="A122" s="33"/>
    </row>
    <row r="123" spans="1:1" x14ac:dyDescent="0.3">
      <c r="A123" s="33" t="s">
        <v>104</v>
      </c>
    </row>
    <row r="124" spans="1:1" x14ac:dyDescent="0.3">
      <c r="A124" s="33"/>
    </row>
    <row r="125" spans="1:1" x14ac:dyDescent="0.3">
      <c r="A125" s="33" t="s">
        <v>105</v>
      </c>
    </row>
    <row r="127" spans="1:1" x14ac:dyDescent="0.3">
      <c r="A127" s="34" t="s">
        <v>106</v>
      </c>
    </row>
    <row r="131" spans="1:1" ht="18" x14ac:dyDescent="0.3">
      <c r="A131" s="32" t="s">
        <v>107</v>
      </c>
    </row>
    <row r="132" spans="1:1" x14ac:dyDescent="0.3">
      <c r="A132" s="33"/>
    </row>
    <row r="133" spans="1:1" x14ac:dyDescent="0.3">
      <c r="A133" s="35" t="s">
        <v>108</v>
      </c>
    </row>
    <row r="134" spans="1:1" x14ac:dyDescent="0.3">
      <c r="A134" s="33"/>
    </row>
    <row r="135" spans="1:1" x14ac:dyDescent="0.3">
      <c r="A135" s="33" t="s">
        <v>109</v>
      </c>
    </row>
    <row r="136" spans="1:1" x14ac:dyDescent="0.3">
      <c r="A136" s="33"/>
    </row>
    <row r="137" spans="1:1" x14ac:dyDescent="0.3">
      <c r="A137" s="33" t="s">
        <v>110</v>
      </c>
    </row>
    <row r="139" spans="1:1" x14ac:dyDescent="0.3">
      <c r="A139" s="34" t="s">
        <v>111</v>
      </c>
    </row>
    <row r="143" spans="1:1" ht="18" x14ac:dyDescent="0.3">
      <c r="A143" s="32" t="s">
        <v>112</v>
      </c>
    </row>
    <row r="144" spans="1:1" x14ac:dyDescent="0.3">
      <c r="A144" s="33"/>
    </row>
    <row r="145" spans="1:1" x14ac:dyDescent="0.3">
      <c r="A145" s="35" t="s">
        <v>113</v>
      </c>
    </row>
    <row r="147" spans="1:1" x14ac:dyDescent="0.3">
      <c r="A147" s="34" t="s">
        <v>114</v>
      </c>
    </row>
    <row r="151" spans="1:1" ht="18" x14ac:dyDescent="0.3">
      <c r="A151" s="32" t="s">
        <v>115</v>
      </c>
    </row>
    <row r="153" spans="1:1" x14ac:dyDescent="0.3">
      <c r="A153" t="s">
        <v>116</v>
      </c>
    </row>
    <row r="154" spans="1:1" x14ac:dyDescent="0.3">
      <c r="A154" s="33"/>
    </row>
    <row r="155" spans="1:1" x14ac:dyDescent="0.3">
      <c r="A155" s="35" t="s">
        <v>117</v>
      </c>
    </row>
    <row r="156" spans="1:1" x14ac:dyDescent="0.3">
      <c r="A156" s="33"/>
    </row>
    <row r="157" spans="1:1" x14ac:dyDescent="0.3">
      <c r="A157" s="35" t="s">
        <v>118</v>
      </c>
    </row>
    <row r="158" spans="1:1" x14ac:dyDescent="0.3">
      <c r="A158" s="33"/>
    </row>
    <row r="159" spans="1:1" x14ac:dyDescent="0.3">
      <c r="A159" s="35" t="s">
        <v>119</v>
      </c>
    </row>
    <row r="161" spans="1:1" x14ac:dyDescent="0.3">
      <c r="A161" s="34" t="s">
        <v>120</v>
      </c>
    </row>
    <row r="165" spans="1:1" ht="23.4" x14ac:dyDescent="0.3">
      <c r="A165" s="31" t="s">
        <v>128</v>
      </c>
    </row>
    <row r="166" spans="1:1" x14ac:dyDescent="0.3">
      <c r="A166" s="33"/>
    </row>
    <row r="167" spans="1:1" x14ac:dyDescent="0.3">
      <c r="A167" s="33" t="s">
        <v>121</v>
      </c>
    </row>
    <row r="168" spans="1:1" x14ac:dyDescent="0.3">
      <c r="A168" s="33"/>
    </row>
    <row r="169" spans="1:1" x14ac:dyDescent="0.3">
      <c r="A169" s="33" t="s">
        <v>122</v>
      </c>
    </row>
    <row r="170" spans="1:1" x14ac:dyDescent="0.3">
      <c r="A170" s="33"/>
    </row>
    <row r="171" spans="1:1" x14ac:dyDescent="0.3">
      <c r="A171" s="33" t="s">
        <v>123</v>
      </c>
    </row>
    <row r="172" spans="1:1" x14ac:dyDescent="0.3">
      <c r="A172" s="33"/>
    </row>
    <row r="173" spans="1:1" x14ac:dyDescent="0.3">
      <c r="A173" s="33" t="s">
        <v>124</v>
      </c>
    </row>
    <row r="174" spans="1:1" x14ac:dyDescent="0.3">
      <c r="A174" s="33"/>
    </row>
    <row r="175" spans="1:1" x14ac:dyDescent="0.3">
      <c r="A175" s="33" t="s">
        <v>125</v>
      </c>
    </row>
    <row r="176" spans="1:1" x14ac:dyDescent="0.3">
      <c r="A176" s="33"/>
    </row>
    <row r="177" spans="1:1" x14ac:dyDescent="0.3">
      <c r="A177" s="33" t="s">
        <v>126</v>
      </c>
    </row>
    <row r="181" spans="1:1" ht="23.4" x14ac:dyDescent="0.3">
      <c r="A181" s="31"/>
    </row>
    <row r="182" spans="1:1" x14ac:dyDescent="0.3">
      <c r="A182" s="33"/>
    </row>
    <row r="183" spans="1:1" x14ac:dyDescent="0.3">
      <c r="A183" s="33"/>
    </row>
  </sheetData>
  <mergeCells count="12">
    <mergeCell ref="A2:S2"/>
    <mergeCell ref="M4:O4"/>
    <mergeCell ref="M5:O8"/>
    <mergeCell ref="A1:S1"/>
    <mergeCell ref="A5:C8"/>
    <mergeCell ref="A4:C4"/>
    <mergeCell ref="D4:F4"/>
    <mergeCell ref="D5:F8"/>
    <mergeCell ref="G4:I4"/>
    <mergeCell ref="J4:L4"/>
    <mergeCell ref="G5:I8"/>
    <mergeCell ref="J5:L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A86A1-95D7-4402-875A-46FB3E5CDF5B}">
  <dimension ref="A1:E33"/>
  <sheetViews>
    <sheetView workbookViewId="0">
      <selection activeCell="D35" sqref="D35"/>
    </sheetView>
  </sheetViews>
  <sheetFormatPr defaultRowHeight="14.4" x14ac:dyDescent="0.3"/>
  <cols>
    <col min="1" max="1" width="14.6640625" customWidth="1"/>
    <col min="2" max="2" width="11.109375" customWidth="1"/>
    <col min="4" max="4" width="10.44140625" customWidth="1"/>
  </cols>
  <sheetData>
    <row r="1" spans="1:4" x14ac:dyDescent="0.3">
      <c r="A1" s="1" t="s">
        <v>19</v>
      </c>
      <c r="B1" s="1" t="s">
        <v>20</v>
      </c>
    </row>
    <row r="2" spans="1:4" ht="28.8" x14ac:dyDescent="0.3">
      <c r="A2" s="2" t="s">
        <v>21</v>
      </c>
      <c r="B2" s="2">
        <f>COUNTA(recruitment_data!A2:A1502)</f>
        <v>1500</v>
      </c>
    </row>
    <row r="3" spans="1:4" x14ac:dyDescent="0.3">
      <c r="A3" s="2" t="s">
        <v>22</v>
      </c>
      <c r="B3" s="2">
        <f>COUNTIF(recruitment_data!S2:S1502,"Hired")</f>
        <v>465</v>
      </c>
    </row>
    <row r="4" spans="1:4" x14ac:dyDescent="0.3">
      <c r="A4" s="2" t="s">
        <v>23</v>
      </c>
      <c r="B4" s="2">
        <f>COUNTIF(recruitment_data!S2:S1502,"Not Hired")</f>
        <v>1035</v>
      </c>
    </row>
    <row r="5" spans="1:4" x14ac:dyDescent="0.3">
      <c r="A5" s="2" t="s">
        <v>24</v>
      </c>
      <c r="B5" s="2">
        <f>COUNTIF(recruitment_data!S2:S1502,"Hired")/COUNTA(recruitment_data!A2:A1502)</f>
        <v>0.31</v>
      </c>
    </row>
    <row r="6" spans="1:4" ht="28.8" x14ac:dyDescent="0.3">
      <c r="A6" s="2" t="s">
        <v>25</v>
      </c>
      <c r="B6" s="2">
        <f>AVERAGE(recruitment_data!G2:G1502)</f>
        <v>50.564</v>
      </c>
    </row>
    <row r="7" spans="1:4" ht="28.8" x14ac:dyDescent="0.3">
      <c r="A7" s="2" t="s">
        <v>26</v>
      </c>
      <c r="B7" s="2">
        <f>AVERAGE(recruitment_data!H2:H1502)</f>
        <v>51.116</v>
      </c>
    </row>
    <row r="8" spans="1:4" ht="43.2" x14ac:dyDescent="0.3">
      <c r="A8" s="2" t="s">
        <v>27</v>
      </c>
      <c r="B8" s="2">
        <f>AVERAGE(recruitment_data!I2:I1502)</f>
        <v>49.387333333333331</v>
      </c>
    </row>
    <row r="9" spans="1:4" ht="28.8" x14ac:dyDescent="0.3">
      <c r="A9" s="2" t="s">
        <v>28</v>
      </c>
      <c r="B9" s="2">
        <f>AVERAGE(recruitment_data!T2:T1502)</f>
        <v>51.102666666666664</v>
      </c>
    </row>
    <row r="14" spans="1:4" ht="28.8" x14ac:dyDescent="0.3">
      <c r="A14" s="1" t="s">
        <v>19</v>
      </c>
      <c r="B14" s="4" t="s">
        <v>34</v>
      </c>
      <c r="C14" s="4" t="s">
        <v>35</v>
      </c>
      <c r="D14" s="4" t="s">
        <v>46</v>
      </c>
    </row>
    <row r="15" spans="1:4" x14ac:dyDescent="0.3">
      <c r="A15" s="2" t="s">
        <v>36</v>
      </c>
      <c r="B15" s="3">
        <f>COUNTIF(recruitment_data!S2:S1502,"Hired")</f>
        <v>465</v>
      </c>
      <c r="C15" s="3">
        <f>COUNTIF(recruitment_data!S2:S1502,"Not Hired")</f>
        <v>1035</v>
      </c>
      <c r="D15">
        <f>C15-B15</f>
        <v>570</v>
      </c>
    </row>
    <row r="16" spans="1:4" ht="28.8" x14ac:dyDescent="0.3">
      <c r="A16" s="2" t="s">
        <v>37</v>
      </c>
      <c r="B16" s="3">
        <f>AVERAGEIF(recruitment_data!S2:S1502,"Hired",recruitment_data!G2:G1502)</f>
        <v>56.8</v>
      </c>
      <c r="C16" s="3">
        <f>AVERAGEIF(recruitment_data!S2:S1502,"Not Hired",recruitment_data!G2:G1502)</f>
        <v>47.762318840579709</v>
      </c>
      <c r="D16">
        <f>ABS(C16-B16)</f>
        <v>9.0376811594202877</v>
      </c>
    </row>
    <row r="17" spans="1:5" x14ac:dyDescent="0.3">
      <c r="A17" s="2" t="s">
        <v>38</v>
      </c>
      <c r="B17" s="3">
        <f>AVERAGEIF(recruitment_data!S2:S1502,"Hired",recruitment_data!H2:H1502)</f>
        <v>60.032258064516128</v>
      </c>
      <c r="C17" s="3">
        <f>AVERAGEIF(recruitment_data!S2:S1502,"Not Hired",recruitment_data!H2:H1502)</f>
        <v>47.110144927536233</v>
      </c>
      <c r="D17">
        <f t="shared" ref="D17:D20" si="0">ABS(C17-B17)</f>
        <v>12.922113136979895</v>
      </c>
    </row>
    <row r="18" spans="1:5" ht="28.8" x14ac:dyDescent="0.3">
      <c r="A18" s="2" t="s">
        <v>39</v>
      </c>
      <c r="B18" s="3">
        <f>AVERAGEIF(recruitment_data!S2:S1502,"Hired",recruitment_data!I2:I1502)</f>
        <v>56.793548387096777</v>
      </c>
      <c r="C18" s="3">
        <f>AVERAGEIF(recruitment_data!S2:S1502,"Not Hired",recruitment_data!I2:I1502)</f>
        <v>46.059903381642513</v>
      </c>
      <c r="D18">
        <f t="shared" si="0"/>
        <v>10.733645005454264</v>
      </c>
    </row>
    <row r="19" spans="1:5" x14ac:dyDescent="0.3">
      <c r="A19" s="2" t="s">
        <v>40</v>
      </c>
      <c r="B19" s="3">
        <f>AVERAGEIF(recruitment_data!S2:S1502,"Hired",recruitment_data!D2:D1502)</f>
        <v>8.5419354838709669</v>
      </c>
      <c r="C19" s="3">
        <f>AVERAGEIF(recruitment_data!S2:S1502,"Not Hired",recruitment_data!D2:D1502)</f>
        <v>7.3130434782608695</v>
      </c>
      <c r="D19">
        <f t="shared" si="0"/>
        <v>1.2288920056100974</v>
      </c>
    </row>
    <row r="20" spans="1:5" ht="28.8" x14ac:dyDescent="0.3">
      <c r="A20" s="2" t="s">
        <v>41</v>
      </c>
      <c r="B20" s="3">
        <f>AVERAGEIF(recruitment_data!S2:S1502,"Hired",recruitment_data!T2:T1502)</f>
        <v>58.288172043010753</v>
      </c>
      <c r="C20" s="3">
        <f>AVERAGEIF(recruitment_data!S2:S1502,"Not Hired",recruitment_data!T2:T1502)</f>
        <v>47.874396135265698</v>
      </c>
      <c r="D20">
        <f t="shared" si="0"/>
        <v>10.413775907745055</v>
      </c>
    </row>
    <row r="24" spans="1:5" ht="28.8" x14ac:dyDescent="0.3">
      <c r="A24" s="1" t="s">
        <v>42</v>
      </c>
      <c r="B24" s="4" t="s">
        <v>21</v>
      </c>
      <c r="C24" s="4" t="s">
        <v>34</v>
      </c>
      <c r="D24" s="4" t="s">
        <v>35</v>
      </c>
      <c r="E24" s="4" t="s">
        <v>24</v>
      </c>
    </row>
    <row r="25" spans="1:5" x14ac:dyDescent="0.3">
      <c r="A25" s="2" t="s">
        <v>43</v>
      </c>
      <c r="B25" s="3">
        <f>COUNTIF(recruitment_data!Q2:Q1502,A25)</f>
        <v>697</v>
      </c>
      <c r="C25" s="3">
        <f>COUNTIFS(recruitment_data!Q2:Q1502,A25,recruitment_data!S2:S1502,"Hired")</f>
        <v>144</v>
      </c>
      <c r="D25" s="3">
        <f>COUNTIFS(recruitment_data!Q2:Q1502,A25,recruitment_data!S2:S1502,"Not Hired")</f>
        <v>553</v>
      </c>
      <c r="E25" s="3">
        <f>C25/B25</f>
        <v>0.20659971305595409</v>
      </c>
    </row>
    <row r="26" spans="1:5" x14ac:dyDescent="0.3">
      <c r="A26" s="2" t="s">
        <v>44</v>
      </c>
      <c r="B26" s="3">
        <f>COUNTIF(recruitment_data!Q3:Q1503,A26)</f>
        <v>395</v>
      </c>
      <c r="C26" s="3">
        <f>COUNTIFS(recruitment_data!Q3:Q1503,A26,recruitment_data!S3:S1503,"Hired")</f>
        <v>152</v>
      </c>
      <c r="D26" s="3">
        <f>COUNTIFS(recruitment_data!Q3:Q1503,A26,recruitment_data!S3:S1503,"Not Hired")</f>
        <v>243</v>
      </c>
      <c r="E26" s="3">
        <f t="shared" ref="E26:E27" si="1">C26/B26</f>
        <v>0.38481012658227848</v>
      </c>
    </row>
    <row r="27" spans="1:5" x14ac:dyDescent="0.3">
      <c r="A27" s="2" t="s">
        <v>45</v>
      </c>
      <c r="B27" s="3">
        <f>COUNTIF(recruitment_data!Q4:Q1504,A27)</f>
        <v>407</v>
      </c>
      <c r="C27" s="3">
        <f>COUNTIFS(recruitment_data!Q4:Q1504,A27,recruitment_data!S4:S1504,"Hired")</f>
        <v>168</v>
      </c>
      <c r="D27" s="3">
        <f>COUNTIFS(recruitment_data!Q4:Q1504,A27,recruitment_data!S4:S1504,"Not Hired")</f>
        <v>239</v>
      </c>
      <c r="E27" s="3">
        <f t="shared" si="1"/>
        <v>0.41277641277641275</v>
      </c>
    </row>
    <row r="28" spans="1:5" x14ac:dyDescent="0.3">
      <c r="E28" s="3"/>
    </row>
    <row r="30" spans="1:5" ht="28.8" x14ac:dyDescent="0.3">
      <c r="A30" s="1" t="s">
        <v>47</v>
      </c>
      <c r="B30" s="4" t="s">
        <v>21</v>
      </c>
      <c r="C30" s="4" t="s">
        <v>34</v>
      </c>
      <c r="D30" s="4" t="s">
        <v>35</v>
      </c>
      <c r="E30" s="4" t="s">
        <v>24</v>
      </c>
    </row>
    <row r="31" spans="1:5" ht="28.8" x14ac:dyDescent="0.3">
      <c r="A31" s="2" t="s">
        <v>48</v>
      </c>
      <c r="B31" s="3">
        <f>COUNTIF(recruitment_data!U2:U1502,A31)</f>
        <v>672</v>
      </c>
      <c r="C31" s="3">
        <f>COUNTIFS(recruitment_data!U2:U1502,A31,recruitment_data!S2:S1502,"Hired")</f>
        <v>107</v>
      </c>
      <c r="D31" s="3">
        <f>COUNTIFS(recruitment_data!U2:U1502,A31,recruitment_data!S2:S1502,"Not Hired")</f>
        <v>565</v>
      </c>
      <c r="E31" s="3">
        <f>C31/B31</f>
        <v>0.15922619047619047</v>
      </c>
    </row>
    <row r="32" spans="1:5" x14ac:dyDescent="0.3">
      <c r="A32" s="2" t="s">
        <v>49</v>
      </c>
      <c r="B32" s="3">
        <f>COUNTIF(recruitment_data!U3:U1503,A32)</f>
        <v>758</v>
      </c>
      <c r="C32" s="3">
        <f>COUNTIFS(recruitment_data!U3:U1503,A32,recruitment_data!S3:S1503,"Hired")</f>
        <v>302</v>
      </c>
      <c r="D32" s="3">
        <f>COUNTIFS(recruitment_data!U3:U1503,A32,recruitment_data!S3:S1503,"Not Hired")</f>
        <v>456</v>
      </c>
      <c r="E32" s="3">
        <f t="shared" ref="E32:E33" si="2">C32/B32</f>
        <v>0.39841688654353563</v>
      </c>
    </row>
    <row r="33" spans="1:5" x14ac:dyDescent="0.3">
      <c r="A33" s="2" t="s">
        <v>50</v>
      </c>
      <c r="B33" s="3">
        <f>COUNTIF(recruitment_data!U4:U1504,A33)</f>
        <v>69</v>
      </c>
      <c r="C33" s="3">
        <f>COUNTIFS(recruitment_data!U4:U1504,A33,recruitment_data!S4:S1504,"Hired")</f>
        <v>55</v>
      </c>
      <c r="D33" s="3">
        <f>COUNTIFS(recruitment_data!U4:U1504,A33,recruitment_data!S4:S1504,"Not Hired")</f>
        <v>14</v>
      </c>
      <c r="E33" s="3">
        <f t="shared" si="2"/>
        <v>0.79710144927536231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27B43-EE03-4B39-9793-C0C2A83958F1}">
  <dimension ref="A1:E98"/>
  <sheetViews>
    <sheetView topLeftCell="A4" workbookViewId="0">
      <selection activeCell="B103" sqref="B103"/>
    </sheetView>
  </sheetViews>
  <sheetFormatPr defaultRowHeight="14.4" x14ac:dyDescent="0.3"/>
  <cols>
    <col min="1" max="1" width="23.21875" bestFit="1" customWidth="1"/>
    <col min="2" max="3" width="22.33203125" bestFit="1" customWidth="1"/>
    <col min="4" max="5" width="10.77734375" bestFit="1" customWidth="1"/>
  </cols>
  <sheetData>
    <row r="1" spans="1:5" x14ac:dyDescent="0.3">
      <c r="A1" s="5" t="s">
        <v>55</v>
      </c>
      <c r="B1" s="5" t="s">
        <v>18</v>
      </c>
    </row>
    <row r="2" spans="1:5" x14ac:dyDescent="0.3">
      <c r="A2" s="5" t="s">
        <v>31</v>
      </c>
      <c r="B2" t="s">
        <v>34</v>
      </c>
      <c r="C2" t="s">
        <v>35</v>
      </c>
      <c r="D2" t="s">
        <v>51</v>
      </c>
    </row>
    <row r="3" spans="1:5" x14ac:dyDescent="0.3">
      <c r="A3" t="s">
        <v>52</v>
      </c>
      <c r="B3">
        <v>167</v>
      </c>
      <c r="C3">
        <v>357</v>
      </c>
      <c r="D3">
        <v>524</v>
      </c>
    </row>
    <row r="4" spans="1:5" x14ac:dyDescent="0.3">
      <c r="A4" t="s">
        <v>53</v>
      </c>
      <c r="B4">
        <v>144</v>
      </c>
      <c r="C4">
        <v>326</v>
      </c>
      <c r="D4">
        <v>470</v>
      </c>
    </row>
    <row r="5" spans="1:5" x14ac:dyDescent="0.3">
      <c r="A5" t="s">
        <v>54</v>
      </c>
      <c r="B5">
        <v>154</v>
      </c>
      <c r="C5">
        <v>352</v>
      </c>
      <c r="D5">
        <v>506</v>
      </c>
    </row>
    <row r="6" spans="1:5" x14ac:dyDescent="0.3">
      <c r="A6" t="s">
        <v>51</v>
      </c>
      <c r="B6">
        <v>465</v>
      </c>
      <c r="C6">
        <v>1035</v>
      </c>
      <c r="D6">
        <v>1500</v>
      </c>
    </row>
    <row r="14" spans="1:5" x14ac:dyDescent="0.3">
      <c r="A14" s="5" t="s">
        <v>55</v>
      </c>
      <c r="B14" s="5" t="s">
        <v>18</v>
      </c>
    </row>
    <row r="15" spans="1:5" x14ac:dyDescent="0.3">
      <c r="A15" s="5" t="s">
        <v>32</v>
      </c>
      <c r="B15" t="s">
        <v>34</v>
      </c>
      <c r="C15" t="s">
        <v>35</v>
      </c>
      <c r="D15" t="s">
        <v>51</v>
      </c>
      <c r="E15" t="s">
        <v>24</v>
      </c>
    </row>
    <row r="16" spans="1:5" x14ac:dyDescent="0.3">
      <c r="A16" t="s">
        <v>59</v>
      </c>
      <c r="B16">
        <v>90</v>
      </c>
      <c r="C16">
        <v>166</v>
      </c>
      <c r="D16">
        <v>256</v>
      </c>
      <c r="E16" s="6">
        <v>0.33069999999999999</v>
      </c>
    </row>
    <row r="17" spans="1:5" x14ac:dyDescent="0.3">
      <c r="A17" t="s">
        <v>64</v>
      </c>
      <c r="B17">
        <v>70</v>
      </c>
      <c r="C17">
        <v>166</v>
      </c>
      <c r="D17">
        <v>236</v>
      </c>
      <c r="E17" s="6">
        <v>0.31080000000000002</v>
      </c>
    </row>
    <row r="18" spans="1:5" x14ac:dyDescent="0.3">
      <c r="A18" t="s">
        <v>54</v>
      </c>
      <c r="B18">
        <v>68</v>
      </c>
      <c r="C18">
        <v>178</v>
      </c>
      <c r="D18">
        <v>246</v>
      </c>
      <c r="E18" s="6">
        <v>0.2878</v>
      </c>
    </row>
    <row r="19" spans="1:5" x14ac:dyDescent="0.3">
      <c r="A19" t="s">
        <v>51</v>
      </c>
      <c r="B19">
        <v>228</v>
      </c>
      <c r="C19">
        <v>510</v>
      </c>
      <c r="D19">
        <v>738</v>
      </c>
      <c r="E19" s="6">
        <v>0.31</v>
      </c>
    </row>
    <row r="23" spans="1:5" x14ac:dyDescent="0.3">
      <c r="A23" s="5" t="s">
        <v>30</v>
      </c>
      <c r="B23" t="s">
        <v>55</v>
      </c>
      <c r="C23" t="s">
        <v>68</v>
      </c>
    </row>
    <row r="24" spans="1:5" x14ac:dyDescent="0.3">
      <c r="A24" t="s">
        <v>49</v>
      </c>
      <c r="B24">
        <v>375</v>
      </c>
      <c r="C24">
        <v>59.624000000000002</v>
      </c>
    </row>
    <row r="25" spans="1:5" x14ac:dyDescent="0.3">
      <c r="A25" t="s">
        <v>50</v>
      </c>
      <c r="B25">
        <v>34</v>
      </c>
      <c r="C25">
        <v>79.058823529411768</v>
      </c>
    </row>
    <row r="26" spans="1:5" x14ac:dyDescent="0.3">
      <c r="A26" t="s">
        <v>48</v>
      </c>
      <c r="B26">
        <v>329</v>
      </c>
      <c r="C26">
        <v>38.373860182370819</v>
      </c>
    </row>
    <row r="27" spans="1:5" x14ac:dyDescent="0.3">
      <c r="A27" t="s">
        <v>51</v>
      </c>
      <c r="B27">
        <v>738</v>
      </c>
      <c r="C27">
        <v>51.046070460704605</v>
      </c>
    </row>
    <row r="31" spans="1:5" x14ac:dyDescent="0.3">
      <c r="A31" s="5" t="s">
        <v>55</v>
      </c>
      <c r="B31" s="5" t="s">
        <v>18</v>
      </c>
    </row>
    <row r="32" spans="1:5" x14ac:dyDescent="0.3">
      <c r="A32" s="5" t="s">
        <v>30</v>
      </c>
      <c r="B32" t="s">
        <v>34</v>
      </c>
      <c r="C32" t="s">
        <v>35</v>
      </c>
      <c r="D32" t="s">
        <v>51</v>
      </c>
    </row>
    <row r="33" spans="1:5" x14ac:dyDescent="0.3">
      <c r="A33" t="s">
        <v>49</v>
      </c>
      <c r="B33">
        <v>143</v>
      </c>
      <c r="C33">
        <v>232</v>
      </c>
      <c r="D33">
        <v>375</v>
      </c>
    </row>
    <row r="34" spans="1:5" x14ac:dyDescent="0.3">
      <c r="A34" t="s">
        <v>50</v>
      </c>
      <c r="B34">
        <v>31</v>
      </c>
      <c r="C34">
        <v>3</v>
      </c>
      <c r="D34">
        <v>34</v>
      </c>
    </row>
    <row r="35" spans="1:5" x14ac:dyDescent="0.3">
      <c r="A35" t="s">
        <v>48</v>
      </c>
      <c r="B35">
        <v>54</v>
      </c>
      <c r="C35">
        <v>275</v>
      </c>
      <c r="D35">
        <v>329</v>
      </c>
    </row>
    <row r="36" spans="1:5" x14ac:dyDescent="0.3">
      <c r="A36" t="s">
        <v>51</v>
      </c>
      <c r="B36">
        <v>228</v>
      </c>
      <c r="C36">
        <v>510</v>
      </c>
      <c r="D36">
        <v>738</v>
      </c>
    </row>
    <row r="41" spans="1:5" x14ac:dyDescent="0.3">
      <c r="A41" s="1" t="s">
        <v>47</v>
      </c>
      <c r="B41" s="4" t="s">
        <v>34</v>
      </c>
      <c r="C41" s="4" t="s">
        <v>35</v>
      </c>
      <c r="D41" s="4" t="s">
        <v>69</v>
      </c>
      <c r="E41" s="4" t="s">
        <v>24</v>
      </c>
    </row>
    <row r="42" spans="1:5" x14ac:dyDescent="0.3">
      <c r="A42" s="7" t="s">
        <v>50</v>
      </c>
      <c r="B42" s="3">
        <v>55</v>
      </c>
      <c r="C42" s="3">
        <v>14</v>
      </c>
      <c r="D42" s="3">
        <v>69</v>
      </c>
      <c r="E42" s="8">
        <v>0.79710000000000003</v>
      </c>
    </row>
    <row r="43" spans="1:5" x14ac:dyDescent="0.3">
      <c r="A43" s="7" t="s">
        <v>49</v>
      </c>
      <c r="B43" s="3">
        <v>303</v>
      </c>
      <c r="C43" s="3">
        <v>456</v>
      </c>
      <c r="D43" s="3">
        <v>759</v>
      </c>
      <c r="E43" s="8">
        <v>0.3992</v>
      </c>
    </row>
    <row r="44" spans="1:5" x14ac:dyDescent="0.3">
      <c r="A44" s="7" t="s">
        <v>48</v>
      </c>
      <c r="B44" s="3">
        <v>107</v>
      </c>
      <c r="C44" s="3">
        <v>565</v>
      </c>
      <c r="D44" s="3">
        <v>672</v>
      </c>
      <c r="E44" s="8">
        <v>0.15920000000000001</v>
      </c>
    </row>
    <row r="45" spans="1:5" x14ac:dyDescent="0.3">
      <c r="A45" s="7" t="s">
        <v>70</v>
      </c>
      <c r="B45" s="3">
        <v>465</v>
      </c>
      <c r="C45" s="3">
        <v>1035</v>
      </c>
      <c r="D45" s="3">
        <v>1500</v>
      </c>
      <c r="E45" s="8">
        <v>0.31</v>
      </c>
    </row>
    <row r="48" spans="1:5" x14ac:dyDescent="0.3">
      <c r="A48" s="5" t="s">
        <v>55</v>
      </c>
      <c r="B48" s="5" t="s">
        <v>18</v>
      </c>
    </row>
    <row r="49" spans="1:5" x14ac:dyDescent="0.3">
      <c r="A49" s="5" t="s">
        <v>14</v>
      </c>
      <c r="B49" t="s">
        <v>34</v>
      </c>
      <c r="C49" t="s">
        <v>35</v>
      </c>
      <c r="D49" t="s">
        <v>51</v>
      </c>
    </row>
    <row r="50" spans="1:5" x14ac:dyDescent="0.3">
      <c r="A50" t="s">
        <v>57</v>
      </c>
      <c r="B50">
        <v>29</v>
      </c>
      <c r="C50">
        <v>107</v>
      </c>
      <c r="D50">
        <v>136</v>
      </c>
    </row>
    <row r="51" spans="1:5" x14ac:dyDescent="0.3">
      <c r="A51" t="s">
        <v>61</v>
      </c>
      <c r="B51">
        <v>48</v>
      </c>
      <c r="C51">
        <v>127</v>
      </c>
      <c r="D51">
        <v>175</v>
      </c>
    </row>
    <row r="52" spans="1:5" x14ac:dyDescent="0.3">
      <c r="A52" t="s">
        <v>65</v>
      </c>
      <c r="B52">
        <v>151</v>
      </c>
      <c r="C52">
        <v>276</v>
      </c>
      <c r="D52">
        <v>427</v>
      </c>
    </row>
    <row r="53" spans="1:5" x14ac:dyDescent="0.3">
      <c r="A53" t="s">
        <v>51</v>
      </c>
      <c r="B53">
        <v>228</v>
      </c>
      <c r="C53">
        <v>510</v>
      </c>
      <c r="D53">
        <v>738</v>
      </c>
    </row>
    <row r="55" spans="1:5" x14ac:dyDescent="0.3">
      <c r="A55" s="1" t="s">
        <v>71</v>
      </c>
      <c r="B55" s="4" t="s">
        <v>34</v>
      </c>
      <c r="C55" s="4" t="s">
        <v>35</v>
      </c>
      <c r="D55" s="4" t="s">
        <v>69</v>
      </c>
      <c r="E55" s="4" t="s">
        <v>24</v>
      </c>
    </row>
    <row r="56" spans="1:5" x14ac:dyDescent="0.3">
      <c r="A56" s="7" t="s">
        <v>57</v>
      </c>
      <c r="B56" s="3">
        <v>52</v>
      </c>
      <c r="C56" s="3">
        <v>218</v>
      </c>
      <c r="D56" s="3">
        <v>270</v>
      </c>
      <c r="E56" s="8">
        <v>0.19259999999999999</v>
      </c>
    </row>
    <row r="57" spans="1:5" x14ac:dyDescent="0.3">
      <c r="A57" s="7" t="s">
        <v>61</v>
      </c>
      <c r="B57" s="3">
        <v>97</v>
      </c>
      <c r="C57" s="3">
        <v>262</v>
      </c>
      <c r="D57" s="3">
        <v>359</v>
      </c>
      <c r="E57" s="8">
        <v>0.2702</v>
      </c>
    </row>
    <row r="58" spans="1:5" x14ac:dyDescent="0.3">
      <c r="A58" s="7" t="s">
        <v>65</v>
      </c>
      <c r="B58" s="3">
        <v>316</v>
      </c>
      <c r="C58" s="3">
        <v>555</v>
      </c>
      <c r="D58" s="3">
        <v>871</v>
      </c>
      <c r="E58" s="8">
        <v>0.36280000000000001</v>
      </c>
    </row>
    <row r="59" spans="1:5" x14ac:dyDescent="0.3">
      <c r="A59" s="7" t="s">
        <v>70</v>
      </c>
      <c r="B59" s="3">
        <v>465</v>
      </c>
      <c r="C59" s="3">
        <v>1035</v>
      </c>
      <c r="D59" s="3">
        <v>1500</v>
      </c>
      <c r="E59" s="8">
        <v>0.31</v>
      </c>
    </row>
    <row r="61" spans="1:5" x14ac:dyDescent="0.3">
      <c r="A61" s="5" t="s">
        <v>55</v>
      </c>
      <c r="B61" s="5" t="s">
        <v>18</v>
      </c>
    </row>
    <row r="62" spans="1:5" x14ac:dyDescent="0.3">
      <c r="A62" s="5" t="s">
        <v>15</v>
      </c>
      <c r="B62" t="s">
        <v>34</v>
      </c>
      <c r="C62" t="s">
        <v>35</v>
      </c>
      <c r="D62" t="s">
        <v>51</v>
      </c>
    </row>
    <row r="63" spans="1:5" x14ac:dyDescent="0.3">
      <c r="A63" t="s">
        <v>63</v>
      </c>
      <c r="B63">
        <v>44</v>
      </c>
      <c r="C63">
        <v>141</v>
      </c>
      <c r="D63">
        <v>185</v>
      </c>
    </row>
    <row r="64" spans="1:5" x14ac:dyDescent="0.3">
      <c r="A64" t="s">
        <v>58</v>
      </c>
      <c r="B64">
        <v>94</v>
      </c>
      <c r="C64">
        <v>269</v>
      </c>
      <c r="D64">
        <v>363</v>
      </c>
    </row>
    <row r="65" spans="1:5" x14ac:dyDescent="0.3">
      <c r="A65" t="s">
        <v>67</v>
      </c>
      <c r="B65">
        <v>90</v>
      </c>
      <c r="C65">
        <v>100</v>
      </c>
      <c r="D65">
        <v>190</v>
      </c>
    </row>
    <row r="66" spans="1:5" x14ac:dyDescent="0.3">
      <c r="A66" t="s">
        <v>51</v>
      </c>
      <c r="B66">
        <v>228</v>
      </c>
      <c r="C66">
        <v>510</v>
      </c>
      <c r="D66">
        <v>738</v>
      </c>
    </row>
    <row r="68" spans="1:5" x14ac:dyDescent="0.3">
      <c r="A68" s="1" t="s">
        <v>72</v>
      </c>
      <c r="B68" s="4" t="s">
        <v>34</v>
      </c>
      <c r="C68" s="4" t="s">
        <v>35</v>
      </c>
      <c r="D68" s="4" t="s">
        <v>69</v>
      </c>
      <c r="E68" s="4" t="s">
        <v>24</v>
      </c>
    </row>
    <row r="69" spans="1:5" x14ac:dyDescent="0.3">
      <c r="A69" s="7" t="s">
        <v>58</v>
      </c>
      <c r="B69" s="3">
        <v>184</v>
      </c>
      <c r="C69" s="3">
        <v>533</v>
      </c>
      <c r="D69" s="3">
        <v>717</v>
      </c>
      <c r="E69" s="8">
        <v>0.25659999999999999</v>
      </c>
    </row>
    <row r="70" spans="1:5" x14ac:dyDescent="0.3">
      <c r="A70" s="7" t="s">
        <v>63</v>
      </c>
      <c r="B70" s="3">
        <v>98</v>
      </c>
      <c r="C70" s="3">
        <v>301</v>
      </c>
      <c r="D70" s="3">
        <v>399</v>
      </c>
      <c r="E70" s="8">
        <v>0.24560000000000001</v>
      </c>
    </row>
    <row r="71" spans="1:5" x14ac:dyDescent="0.3">
      <c r="A71" s="7" t="s">
        <v>67</v>
      </c>
      <c r="B71" s="3">
        <v>183</v>
      </c>
      <c r="C71" s="3">
        <v>201</v>
      </c>
      <c r="D71" s="3">
        <v>384</v>
      </c>
      <c r="E71" s="8">
        <v>0.47660000000000002</v>
      </c>
    </row>
    <row r="72" spans="1:5" x14ac:dyDescent="0.3">
      <c r="A72" s="7" t="s">
        <v>70</v>
      </c>
      <c r="B72" s="3">
        <v>465</v>
      </c>
      <c r="C72" s="3">
        <v>1035</v>
      </c>
      <c r="D72" s="3">
        <v>1500</v>
      </c>
      <c r="E72" s="8">
        <v>0.31</v>
      </c>
    </row>
    <row r="75" spans="1:5" x14ac:dyDescent="0.3">
      <c r="A75" s="5" t="s">
        <v>55</v>
      </c>
      <c r="B75" s="5" t="s">
        <v>18</v>
      </c>
    </row>
    <row r="76" spans="1:5" x14ac:dyDescent="0.3">
      <c r="A76" s="5" t="s">
        <v>16</v>
      </c>
      <c r="B76" t="s">
        <v>34</v>
      </c>
      <c r="C76" t="s">
        <v>35</v>
      </c>
      <c r="D76" t="s">
        <v>51</v>
      </c>
    </row>
    <row r="77" spans="1:5" x14ac:dyDescent="0.3">
      <c r="A77" t="s">
        <v>45</v>
      </c>
      <c r="B77">
        <v>87</v>
      </c>
      <c r="C77">
        <v>113</v>
      </c>
      <c r="D77">
        <v>200</v>
      </c>
    </row>
    <row r="78" spans="1:5" x14ac:dyDescent="0.3">
      <c r="A78" t="s">
        <v>43</v>
      </c>
      <c r="B78">
        <v>62</v>
      </c>
      <c r="C78">
        <v>281</v>
      </c>
      <c r="D78">
        <v>343</v>
      </c>
    </row>
    <row r="79" spans="1:5" x14ac:dyDescent="0.3">
      <c r="A79" t="s">
        <v>44</v>
      </c>
      <c r="B79">
        <v>79</v>
      </c>
      <c r="C79">
        <v>116</v>
      </c>
      <c r="D79">
        <v>195</v>
      </c>
    </row>
    <row r="80" spans="1:5" x14ac:dyDescent="0.3">
      <c r="A80" t="s">
        <v>51</v>
      </c>
      <c r="B80">
        <v>228</v>
      </c>
      <c r="C80">
        <v>510</v>
      </c>
      <c r="D80">
        <v>738</v>
      </c>
    </row>
    <row r="83" spans="1:4" x14ac:dyDescent="0.3">
      <c r="A83" s="5" t="s">
        <v>55</v>
      </c>
      <c r="B83" s="5" t="s">
        <v>18</v>
      </c>
    </row>
    <row r="84" spans="1:4" x14ac:dyDescent="0.3">
      <c r="A84" s="5" t="s">
        <v>13</v>
      </c>
      <c r="B84" t="s">
        <v>34</v>
      </c>
      <c r="C84" t="s">
        <v>35</v>
      </c>
      <c r="D84" t="s">
        <v>51</v>
      </c>
    </row>
    <row r="85" spans="1:4" x14ac:dyDescent="0.3">
      <c r="A85" t="s">
        <v>56</v>
      </c>
      <c r="B85">
        <v>27</v>
      </c>
      <c r="C85">
        <v>120</v>
      </c>
      <c r="D85">
        <v>147</v>
      </c>
    </row>
    <row r="86" spans="1:4" x14ac:dyDescent="0.3">
      <c r="A86" t="s">
        <v>62</v>
      </c>
      <c r="B86">
        <v>82</v>
      </c>
      <c r="C86">
        <v>281</v>
      </c>
      <c r="D86">
        <v>363</v>
      </c>
    </row>
    <row r="87" spans="1:4" x14ac:dyDescent="0.3">
      <c r="A87" t="s">
        <v>66</v>
      </c>
      <c r="B87">
        <v>81</v>
      </c>
      <c r="C87">
        <v>83</v>
      </c>
      <c r="D87">
        <v>164</v>
      </c>
    </row>
    <row r="88" spans="1:4" x14ac:dyDescent="0.3">
      <c r="A88" t="s">
        <v>60</v>
      </c>
      <c r="B88">
        <v>38</v>
      </c>
      <c r="C88">
        <v>26</v>
      </c>
      <c r="D88">
        <v>64</v>
      </c>
    </row>
    <row r="89" spans="1:4" x14ac:dyDescent="0.3">
      <c r="A89" t="s">
        <v>51</v>
      </c>
      <c r="B89">
        <v>228</v>
      </c>
      <c r="C89">
        <v>510</v>
      </c>
      <c r="D89">
        <v>738</v>
      </c>
    </row>
    <row r="93" spans="1:4" x14ac:dyDescent="0.3">
      <c r="A93" s="5" t="s">
        <v>55</v>
      </c>
      <c r="B93" s="5" t="s">
        <v>18</v>
      </c>
    </row>
    <row r="94" spans="1:4" x14ac:dyDescent="0.3">
      <c r="A94" s="5" t="s">
        <v>31</v>
      </c>
      <c r="B94" t="s">
        <v>34</v>
      </c>
      <c r="C94" t="s">
        <v>35</v>
      </c>
      <c r="D94" t="s">
        <v>51</v>
      </c>
    </row>
    <row r="95" spans="1:4" x14ac:dyDescent="0.3">
      <c r="A95" t="s">
        <v>52</v>
      </c>
      <c r="B95">
        <v>167</v>
      </c>
      <c r="C95">
        <v>357</v>
      </c>
      <c r="D95">
        <v>524</v>
      </c>
    </row>
    <row r="96" spans="1:4" x14ac:dyDescent="0.3">
      <c r="A96" t="s">
        <v>53</v>
      </c>
      <c r="B96">
        <v>144</v>
      </c>
      <c r="C96">
        <v>326</v>
      </c>
      <c r="D96">
        <v>470</v>
      </c>
    </row>
    <row r="97" spans="1:4" x14ac:dyDescent="0.3">
      <c r="A97" t="s">
        <v>54</v>
      </c>
      <c r="B97">
        <v>154</v>
      </c>
      <c r="C97">
        <v>352</v>
      </c>
      <c r="D97">
        <v>506</v>
      </c>
    </row>
    <row r="98" spans="1:4" x14ac:dyDescent="0.3">
      <c r="A98" t="s">
        <v>51</v>
      </c>
      <c r="B98">
        <v>465</v>
      </c>
      <c r="C98">
        <v>1035</v>
      </c>
      <c r="D98">
        <v>1500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Sheet4</vt:lpstr>
      <vt:lpstr>Sheet5</vt:lpstr>
      <vt:lpstr>Sheet6</vt:lpstr>
      <vt:lpstr>Sheet7</vt:lpstr>
      <vt:lpstr>recruitment_data</vt:lpstr>
      <vt:lpstr>HireMao_Dashboard</vt:lpstr>
      <vt:lpstr>Analysis</vt:lpstr>
      <vt:lpstr>primaryS.Pivot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Deepika kaushik</cp:lastModifiedBy>
  <dcterms:created xsi:type="dcterms:W3CDTF">2026-07-22T13:55:05Z</dcterms:created>
  <dcterms:modified xsi:type="dcterms:W3CDTF">2026-07-25T11:07:59Z</dcterms:modified>
</cp:coreProperties>
</file>